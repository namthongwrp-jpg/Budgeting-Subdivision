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229381f4fee7ef2/1. กยผ.สป/ประจำปี 69/BudgetDashboard/data/"/>
    </mc:Choice>
  </mc:AlternateContent>
  <xr:revisionPtr revIDLastSave="14" documentId="13_ncr:1_{BB7FA12E-636F-49A3-897D-CEB6CF6C1CA4}" xr6:coauthVersionLast="47" xr6:coauthVersionMax="47" xr10:uidLastSave="{2E4094DF-0425-4B8C-82D1-AC3CAD59FDAE}"/>
  <bookViews>
    <workbookView xWindow="22620" yWindow="2340" windowWidth="14115" windowHeight="15345" firstSheet="1" activeTab="1" xr2:uid="{6C3E21BC-DCD2-48BB-B413-177D585347CC}"/>
  </bookViews>
  <sheets>
    <sheet name="สรุปยานพาหนะ 67-70 (2)" sheetId="15" state="hidden" r:id="rId1"/>
    <sheet name="BudgetData" sheetId="27" r:id="rId2"/>
    <sheet name="รวมครุภัณฑ์ 70 (data)" sheetId="24" r:id="rId3"/>
    <sheet name="BudgetData (สูตร)" sheetId="28" r:id="rId4"/>
    <sheet name="สรุปยานพาหนะ 67-70" sheetId="13" r:id="rId5"/>
    <sheet name="สรุป" sheetId="12" state="hidden" r:id="rId6"/>
    <sheet name="ครุภัณฑ์ 67 (data)" sheetId="19" r:id="rId7"/>
    <sheet name="ครุภัณฑ์ 68 (data)" sheetId="22" r:id="rId8"/>
    <sheet name="ครุภัณฑ์ 69 (data)" sheetId="23" r:id="rId9"/>
    <sheet name="ครุภัณฑ์ 67" sheetId="5" r:id="rId10"/>
    <sheet name="สิ่งก่อสร้าง 67" sheetId="6" state="hidden" r:id="rId11"/>
    <sheet name="ครุภัณฑ์ 68" sheetId="3" r:id="rId12"/>
    <sheet name="สิ่งก่อสร้าง 68" sheetId="4" state="hidden" r:id="rId13"/>
    <sheet name="ครุภัณฑ์ 69" sheetId="1" r:id="rId14"/>
    <sheet name="รวมครุภัณฑ์ 70" sheetId="14" r:id="rId15"/>
    <sheet name="สิ่งก่อสร้าง 69" sheetId="2" state="hidden" r:id="rId16"/>
  </sheets>
  <externalReferences>
    <externalReference r:id="rId17"/>
  </externalReferences>
  <definedNames>
    <definedName name="_xlnm._FilterDatabase" localSheetId="3" hidden="1">'BudgetData (สูตร)'!$A$1:$L$630</definedName>
    <definedName name="_xlnm._FilterDatabase" localSheetId="9" hidden="1">'ครุภัณฑ์ 67'!$A$3:$G$119</definedName>
    <definedName name="_xlnm._FilterDatabase" localSheetId="6" hidden="1">'ครุภัณฑ์ 67 (data)'!$A$1:$H$71</definedName>
    <definedName name="_xlnm._FilterDatabase" localSheetId="11" hidden="1">'ครุภัณฑ์ 68'!$A$3:$G$53</definedName>
    <definedName name="_xlnm._FilterDatabase" localSheetId="7" hidden="1">'ครุภัณฑ์ 68 (data)'!$A$1:$H$27</definedName>
    <definedName name="_xlnm._FilterDatabase" localSheetId="13" hidden="1">'ครุภัณฑ์ 69'!$A$3:$G$118</definedName>
    <definedName name="_xlnm._FilterDatabase" localSheetId="8" hidden="1">'ครุภัณฑ์ 69 (data)'!$A$1:$H$80</definedName>
    <definedName name="_xlnm._FilterDatabase" localSheetId="14" hidden="1">'รวมครุภัณฑ์ 70'!$A$1:$W$455</definedName>
    <definedName name="_xlnm._FilterDatabase" localSheetId="2" hidden="1">'รวมครุภัณฑ์ 70 (data)'!$A$1:$W$455</definedName>
    <definedName name="_xlnm._FilterDatabase" localSheetId="5" hidden="1">สรุป!$A$4:$O$115</definedName>
    <definedName name="_xlnm._FilterDatabase" localSheetId="4" hidden="1">'สรุปยานพาหนะ 67-70'!$A$4:$Q$115</definedName>
    <definedName name="_xlnm._FilterDatabase" localSheetId="0" hidden="1">'สรุปยานพาหนะ 67-70 (2)'!$A$4:$Q$115</definedName>
    <definedName name="_xlnm._FilterDatabase" localSheetId="10" hidden="1">'สิ่งก่อสร้าง 67'!$A$3:$I$37</definedName>
    <definedName name="_xlnm._FilterDatabase" localSheetId="12" hidden="1">'สิ่งก่อสร้าง 68'!$A$3:$I$52</definedName>
    <definedName name="_xlnm._FilterDatabase" localSheetId="15" hidden="1">'สิ่งก่อสร้าง 69'!$A$3:$G$10</definedName>
    <definedName name="_xlnm.Print_Area" localSheetId="9">'ครุภัณฑ์ 67'!$A$1:$G$119</definedName>
    <definedName name="_xlnm.Print_Area" localSheetId="6">'ครุภัณฑ์ 67 (data)'!$A$1:$H$71</definedName>
    <definedName name="_xlnm.Print_Area" localSheetId="11">'ครุภัณฑ์ 68'!$A$1:$G$51</definedName>
    <definedName name="_xlnm.Print_Area" localSheetId="7">'ครุภัณฑ์ 68 (data)'!$A$1:$H$26</definedName>
    <definedName name="_xlnm.Print_Area" localSheetId="13">'ครุภัณฑ์ 69'!$A$1:$G$116</definedName>
    <definedName name="_xlnm.Print_Area" localSheetId="8">'ครุภัณฑ์ 69 (data)'!$A$1:$H$79</definedName>
    <definedName name="_xlnm.Print_Area" localSheetId="14">'รวมครุภัณฑ์ 70'!$A$1:$U$456</definedName>
    <definedName name="_xlnm.Print_Area" localSheetId="2">'รวมครุภัณฑ์ 70 (data)'!$A$2:$U$457</definedName>
    <definedName name="_xlnm.Print_Titles" localSheetId="14">'รวมครุภัณฑ์ 70'!$1:$1</definedName>
    <definedName name="_xlnm.Print_Titles" localSheetId="2">'รวมครุภัณฑ์ 70 (data)'!$1:$1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177" i="27" l="1"/>
  <c r="J178" i="27"/>
  <c r="J179" i="27"/>
  <c r="J180" i="27"/>
  <c r="J181" i="27"/>
  <c r="J182" i="27"/>
  <c r="J183" i="27"/>
  <c r="J184" i="27"/>
  <c r="J185" i="27"/>
  <c r="J186" i="27"/>
  <c r="J187" i="27"/>
  <c r="J188" i="27"/>
  <c r="J189" i="27"/>
  <c r="J190" i="27"/>
  <c r="J191" i="27"/>
  <c r="J192" i="27"/>
  <c r="J193" i="27"/>
  <c r="J194" i="27"/>
  <c r="J195" i="27"/>
  <c r="J196" i="27"/>
  <c r="J197" i="27"/>
  <c r="J198" i="27"/>
  <c r="J199" i="27"/>
  <c r="J200" i="27"/>
  <c r="J201" i="27"/>
  <c r="J202" i="27"/>
  <c r="J203" i="27"/>
  <c r="J204" i="27"/>
  <c r="J205" i="27"/>
  <c r="J206" i="27"/>
  <c r="J207" i="27"/>
  <c r="J208" i="27"/>
  <c r="J209" i="27"/>
  <c r="J210" i="27"/>
  <c r="J211" i="27"/>
  <c r="J212" i="27"/>
  <c r="J213" i="27"/>
  <c r="J214" i="27"/>
  <c r="J215" i="27"/>
  <c r="J216" i="27"/>
  <c r="J217" i="27"/>
  <c r="J218" i="27"/>
  <c r="J219" i="27"/>
  <c r="J220" i="27"/>
  <c r="J221" i="27"/>
  <c r="J222" i="27"/>
  <c r="J223" i="27"/>
  <c r="J224" i="27"/>
  <c r="J225" i="27"/>
  <c r="J226" i="27"/>
  <c r="J227" i="27"/>
  <c r="J228" i="27"/>
  <c r="J229" i="27"/>
  <c r="J230" i="27"/>
  <c r="J231" i="27"/>
  <c r="J232" i="27"/>
  <c r="J233" i="27"/>
  <c r="J234" i="27"/>
  <c r="J235" i="27"/>
  <c r="J236" i="27"/>
  <c r="J237" i="27"/>
  <c r="J238" i="27"/>
  <c r="J239" i="27"/>
  <c r="J240" i="27"/>
  <c r="J241" i="27"/>
  <c r="J242" i="27"/>
  <c r="J243" i="27"/>
  <c r="J244" i="27"/>
  <c r="J245" i="27"/>
  <c r="J246" i="27"/>
  <c r="J247" i="27"/>
  <c r="J248" i="27"/>
  <c r="J249" i="27"/>
  <c r="J250" i="27"/>
  <c r="J251" i="27"/>
  <c r="J252" i="27"/>
  <c r="J253" i="27"/>
  <c r="J254" i="27"/>
  <c r="J255" i="27"/>
  <c r="J256" i="27"/>
  <c r="J257" i="27"/>
  <c r="J258" i="27"/>
  <c r="J259" i="27"/>
  <c r="J260" i="27"/>
  <c r="J261" i="27"/>
  <c r="J262" i="27"/>
  <c r="J263" i="27"/>
  <c r="J264" i="27"/>
  <c r="J265" i="27"/>
  <c r="J266" i="27"/>
  <c r="J267" i="27"/>
  <c r="J268" i="27"/>
  <c r="J269" i="27"/>
  <c r="J270" i="27"/>
  <c r="J271" i="27"/>
  <c r="J272" i="27"/>
  <c r="J273" i="27"/>
  <c r="J274" i="27"/>
  <c r="J275" i="27"/>
  <c r="J276" i="27"/>
  <c r="J277" i="27"/>
  <c r="J278" i="27"/>
  <c r="J279" i="27"/>
  <c r="J280" i="27"/>
  <c r="J281" i="27"/>
  <c r="J282" i="27"/>
  <c r="J283" i="27"/>
  <c r="J284" i="27"/>
  <c r="J285" i="27"/>
  <c r="J286" i="27"/>
  <c r="J287" i="27"/>
  <c r="J288" i="27"/>
  <c r="J289" i="27"/>
  <c r="J290" i="27"/>
  <c r="J291" i="27"/>
  <c r="J292" i="27"/>
  <c r="J293" i="27"/>
  <c r="J294" i="27"/>
  <c r="J295" i="27"/>
  <c r="J296" i="27"/>
  <c r="J297" i="27"/>
  <c r="J298" i="27"/>
  <c r="J299" i="27"/>
  <c r="J300" i="27"/>
  <c r="J301" i="27"/>
  <c r="J302" i="27"/>
  <c r="J303" i="27"/>
  <c r="J304" i="27"/>
  <c r="J305" i="27"/>
  <c r="J306" i="27"/>
  <c r="J307" i="27"/>
  <c r="J308" i="27"/>
  <c r="J309" i="27"/>
  <c r="J310" i="27"/>
  <c r="J311" i="27"/>
  <c r="J312" i="27"/>
  <c r="J313" i="27"/>
  <c r="J314" i="27"/>
  <c r="J315" i="27"/>
  <c r="J316" i="27"/>
  <c r="J317" i="27"/>
  <c r="J318" i="27"/>
  <c r="J319" i="27"/>
  <c r="J320" i="27"/>
  <c r="J321" i="27"/>
  <c r="J322" i="27"/>
  <c r="J323" i="27"/>
  <c r="J324" i="27"/>
  <c r="J325" i="27"/>
  <c r="J326" i="27"/>
  <c r="J327" i="27"/>
  <c r="J328" i="27"/>
  <c r="J329" i="27"/>
  <c r="J330" i="27"/>
  <c r="J331" i="27"/>
  <c r="J332" i="27"/>
  <c r="J333" i="27"/>
  <c r="J334" i="27"/>
  <c r="J335" i="27"/>
  <c r="J336" i="27"/>
  <c r="J337" i="27"/>
  <c r="J338" i="27"/>
  <c r="J339" i="27"/>
  <c r="J340" i="27"/>
  <c r="J341" i="27"/>
  <c r="J342" i="27"/>
  <c r="J343" i="27"/>
  <c r="J344" i="27"/>
  <c r="J345" i="27"/>
  <c r="J346" i="27"/>
  <c r="J347" i="27"/>
  <c r="J348" i="27"/>
  <c r="J349" i="27"/>
  <c r="J350" i="27"/>
  <c r="J351" i="27"/>
  <c r="J352" i="27"/>
  <c r="J353" i="27"/>
  <c r="J354" i="27"/>
  <c r="J355" i="27"/>
  <c r="J356" i="27"/>
  <c r="J357" i="27"/>
  <c r="J358" i="27"/>
  <c r="J359" i="27"/>
  <c r="J360" i="27"/>
  <c r="J361" i="27"/>
  <c r="J362" i="27"/>
  <c r="J363" i="27"/>
  <c r="J364" i="27"/>
  <c r="J365" i="27"/>
  <c r="J366" i="27"/>
  <c r="J367" i="27"/>
  <c r="J368" i="27"/>
  <c r="J369" i="27"/>
  <c r="J370" i="27"/>
  <c r="J371" i="27"/>
  <c r="J372" i="27"/>
  <c r="J373" i="27"/>
  <c r="J374" i="27"/>
  <c r="J375" i="27"/>
  <c r="J376" i="27"/>
  <c r="J377" i="27"/>
  <c r="J378" i="27"/>
  <c r="J379" i="27"/>
  <c r="J380" i="27"/>
  <c r="J381" i="27"/>
  <c r="J382" i="27"/>
  <c r="J383" i="27"/>
  <c r="J384" i="27"/>
  <c r="J385" i="27"/>
  <c r="J386" i="27"/>
  <c r="J387" i="27"/>
  <c r="J388" i="27"/>
  <c r="J389" i="27"/>
  <c r="J390" i="27"/>
  <c r="J391" i="27"/>
  <c r="J392" i="27"/>
  <c r="J393" i="27"/>
  <c r="J394" i="27"/>
  <c r="J395" i="27"/>
  <c r="J396" i="27"/>
  <c r="J397" i="27"/>
  <c r="J398" i="27"/>
  <c r="J399" i="27"/>
  <c r="J400" i="27"/>
  <c r="J401" i="27"/>
  <c r="J402" i="27"/>
  <c r="J403" i="27"/>
  <c r="J404" i="27"/>
  <c r="J405" i="27"/>
  <c r="J406" i="27"/>
  <c r="J407" i="27"/>
  <c r="J408" i="27"/>
  <c r="J409" i="27"/>
  <c r="J410" i="27"/>
  <c r="J411" i="27"/>
  <c r="J412" i="27"/>
  <c r="J413" i="27"/>
  <c r="J414" i="27"/>
  <c r="J415" i="27"/>
  <c r="J416" i="27"/>
  <c r="J417" i="27"/>
  <c r="J418" i="27"/>
  <c r="J419" i="27"/>
  <c r="J420" i="27"/>
  <c r="J421" i="27"/>
  <c r="J422" i="27"/>
  <c r="J423" i="27"/>
  <c r="J424" i="27"/>
  <c r="J425" i="27"/>
  <c r="J426" i="27"/>
  <c r="J427" i="27"/>
  <c r="J428" i="27"/>
  <c r="J429" i="27"/>
  <c r="J430" i="27"/>
  <c r="J431" i="27"/>
  <c r="J432" i="27"/>
  <c r="J433" i="27"/>
  <c r="J434" i="27"/>
  <c r="J435" i="27"/>
  <c r="J436" i="27"/>
  <c r="J437" i="27"/>
  <c r="J438" i="27"/>
  <c r="J439" i="27"/>
  <c r="J440" i="27"/>
  <c r="J441" i="27"/>
  <c r="J442" i="27"/>
  <c r="J443" i="27"/>
  <c r="J444" i="27"/>
  <c r="J445" i="27"/>
  <c r="J446" i="27"/>
  <c r="J447" i="27"/>
  <c r="J448" i="27"/>
  <c r="J449" i="27"/>
  <c r="J450" i="27"/>
  <c r="J451" i="27"/>
  <c r="J452" i="27"/>
  <c r="J453" i="27"/>
  <c r="J454" i="27"/>
  <c r="J455" i="27"/>
  <c r="J456" i="27"/>
  <c r="J457" i="27"/>
  <c r="J458" i="27"/>
  <c r="J459" i="27"/>
  <c r="J460" i="27"/>
  <c r="J461" i="27"/>
  <c r="J462" i="27"/>
  <c r="J463" i="27"/>
  <c r="J464" i="27"/>
  <c r="J465" i="27"/>
  <c r="J466" i="27"/>
  <c r="J467" i="27"/>
  <c r="J468" i="27"/>
  <c r="J469" i="27"/>
  <c r="J470" i="27"/>
  <c r="J471" i="27"/>
  <c r="J472" i="27"/>
  <c r="J473" i="27"/>
  <c r="J474" i="27"/>
  <c r="J475" i="27"/>
  <c r="J476" i="27"/>
  <c r="J477" i="27"/>
  <c r="J478" i="27"/>
  <c r="J479" i="27"/>
  <c r="J480" i="27"/>
  <c r="J481" i="27"/>
  <c r="J482" i="27"/>
  <c r="J483" i="27"/>
  <c r="J484" i="27"/>
  <c r="J485" i="27"/>
  <c r="J486" i="27"/>
  <c r="J487" i="27"/>
  <c r="J488" i="27"/>
  <c r="J489" i="27"/>
  <c r="J490" i="27"/>
  <c r="J491" i="27"/>
  <c r="J492" i="27"/>
  <c r="J493" i="27"/>
  <c r="J494" i="27"/>
  <c r="J495" i="27"/>
  <c r="J496" i="27"/>
  <c r="J497" i="27"/>
  <c r="J498" i="27"/>
  <c r="J499" i="27"/>
  <c r="J500" i="27"/>
  <c r="J501" i="27"/>
  <c r="J502" i="27"/>
  <c r="J503" i="27"/>
  <c r="J504" i="27"/>
  <c r="J505" i="27"/>
  <c r="J506" i="27"/>
  <c r="J507" i="27"/>
  <c r="J508" i="27"/>
  <c r="J509" i="27"/>
  <c r="J510" i="27"/>
  <c r="J511" i="27"/>
  <c r="J512" i="27"/>
  <c r="J513" i="27"/>
  <c r="J514" i="27"/>
  <c r="J515" i="27"/>
  <c r="J516" i="27"/>
  <c r="J517" i="27"/>
  <c r="J518" i="27"/>
  <c r="J519" i="27"/>
  <c r="J520" i="27"/>
  <c r="J521" i="27"/>
  <c r="J522" i="27"/>
  <c r="J523" i="27"/>
  <c r="J524" i="27"/>
  <c r="J525" i="27"/>
  <c r="J526" i="27"/>
  <c r="J527" i="27"/>
  <c r="J528" i="27"/>
  <c r="J529" i="27"/>
  <c r="J530" i="27"/>
  <c r="J531" i="27"/>
  <c r="J532" i="27"/>
  <c r="J533" i="27"/>
  <c r="J534" i="27"/>
  <c r="J535" i="27"/>
  <c r="J536" i="27"/>
  <c r="J537" i="27"/>
  <c r="J538" i="27"/>
  <c r="J539" i="27"/>
  <c r="J540" i="27"/>
  <c r="J541" i="27"/>
  <c r="J542" i="27"/>
  <c r="J543" i="27"/>
  <c r="J544" i="27"/>
  <c r="J545" i="27"/>
  <c r="J546" i="27"/>
  <c r="J547" i="27"/>
  <c r="J548" i="27"/>
  <c r="J549" i="27"/>
  <c r="J550" i="27"/>
  <c r="J551" i="27"/>
  <c r="J552" i="27"/>
  <c r="J553" i="27"/>
  <c r="J554" i="27"/>
  <c r="J555" i="27"/>
  <c r="J556" i="27"/>
  <c r="J557" i="27"/>
  <c r="J558" i="27"/>
  <c r="J559" i="27"/>
  <c r="J560" i="27"/>
  <c r="J561" i="27"/>
  <c r="J562" i="27"/>
  <c r="J563" i="27"/>
  <c r="J564" i="27"/>
  <c r="J565" i="27"/>
  <c r="J566" i="27"/>
  <c r="J567" i="27"/>
  <c r="J568" i="27"/>
  <c r="J569" i="27"/>
  <c r="J570" i="27"/>
  <c r="J571" i="27"/>
  <c r="J572" i="27"/>
  <c r="J573" i="27"/>
  <c r="J574" i="27"/>
  <c r="J575" i="27"/>
  <c r="J576" i="27"/>
  <c r="J577" i="27"/>
  <c r="J578" i="27"/>
  <c r="J579" i="27"/>
  <c r="J580" i="27"/>
  <c r="J581" i="27"/>
  <c r="J582" i="27"/>
  <c r="J583" i="27"/>
  <c r="J584" i="27"/>
  <c r="J585" i="27"/>
  <c r="J586" i="27"/>
  <c r="J587" i="27"/>
  <c r="J588" i="27"/>
  <c r="J589" i="27"/>
  <c r="J590" i="27"/>
  <c r="J591" i="27"/>
  <c r="J592" i="27"/>
  <c r="J593" i="27"/>
  <c r="J594" i="27"/>
  <c r="J595" i="27"/>
  <c r="J596" i="27"/>
  <c r="J597" i="27"/>
  <c r="J598" i="27"/>
  <c r="J599" i="27"/>
  <c r="J600" i="27"/>
  <c r="J601" i="27"/>
  <c r="J602" i="27"/>
  <c r="J603" i="27"/>
  <c r="J604" i="27"/>
  <c r="J605" i="27"/>
  <c r="J606" i="27"/>
  <c r="J607" i="27"/>
  <c r="J608" i="27"/>
  <c r="J609" i="27"/>
  <c r="J610" i="27"/>
  <c r="J611" i="27"/>
  <c r="J612" i="27"/>
  <c r="J613" i="27"/>
  <c r="J614" i="27"/>
  <c r="J615" i="27"/>
  <c r="J616" i="27"/>
  <c r="J617" i="27"/>
  <c r="J618" i="27"/>
  <c r="J619" i="27"/>
  <c r="J620" i="27"/>
  <c r="J621" i="27"/>
  <c r="J622" i="27"/>
  <c r="J623" i="27"/>
  <c r="J624" i="27"/>
  <c r="J625" i="27"/>
  <c r="J626" i="27"/>
  <c r="J627" i="27"/>
  <c r="J628" i="27"/>
  <c r="J629" i="27"/>
  <c r="J630" i="27"/>
  <c r="H178" i="28"/>
  <c r="I178" i="28"/>
  <c r="H179" i="28"/>
  <c r="I179" i="28"/>
  <c r="L179" i="28" s="1"/>
  <c r="H180" i="28"/>
  <c r="I180" i="28"/>
  <c r="H181" i="28"/>
  <c r="I181" i="28"/>
  <c r="H182" i="28"/>
  <c r="L182" i="28" s="1"/>
  <c r="I182" i="28"/>
  <c r="H183" i="28"/>
  <c r="L183" i="28" s="1"/>
  <c r="I183" i="28"/>
  <c r="H184" i="28"/>
  <c r="I184" i="28"/>
  <c r="H185" i="28"/>
  <c r="I185" i="28"/>
  <c r="H186" i="28"/>
  <c r="I186" i="28"/>
  <c r="H187" i="28"/>
  <c r="I187" i="28"/>
  <c r="H188" i="28"/>
  <c r="I188" i="28"/>
  <c r="H189" i="28"/>
  <c r="I189" i="28"/>
  <c r="H190" i="28"/>
  <c r="I190" i="28"/>
  <c r="H191" i="28"/>
  <c r="I191" i="28"/>
  <c r="H192" i="28"/>
  <c r="I192" i="28"/>
  <c r="H193" i="28"/>
  <c r="L193" i="28" s="1"/>
  <c r="I193" i="28"/>
  <c r="H194" i="28"/>
  <c r="I194" i="28"/>
  <c r="H195" i="28"/>
  <c r="I195" i="28"/>
  <c r="H196" i="28"/>
  <c r="I196" i="28"/>
  <c r="L196" i="28" s="1"/>
  <c r="H197" i="28"/>
  <c r="L197" i="28" s="1"/>
  <c r="I197" i="28"/>
  <c r="H198" i="28"/>
  <c r="I198" i="28"/>
  <c r="H199" i="28"/>
  <c r="I199" i="28"/>
  <c r="L199" i="28" s="1"/>
  <c r="H200" i="28"/>
  <c r="I200" i="28"/>
  <c r="L200" i="28" s="1"/>
  <c r="H201" i="28"/>
  <c r="L201" i="28" s="1"/>
  <c r="I201" i="28"/>
  <c r="H202" i="28"/>
  <c r="I202" i="28"/>
  <c r="H203" i="28"/>
  <c r="I203" i="28"/>
  <c r="H204" i="28"/>
  <c r="I204" i="28"/>
  <c r="H205" i="28"/>
  <c r="I205" i="28"/>
  <c r="H206" i="28"/>
  <c r="I206" i="28"/>
  <c r="H207" i="28"/>
  <c r="I207" i="28"/>
  <c r="H208" i="28"/>
  <c r="I208" i="28"/>
  <c r="H209" i="28"/>
  <c r="I209" i="28"/>
  <c r="H210" i="28"/>
  <c r="I210" i="28"/>
  <c r="H211" i="28"/>
  <c r="L211" i="28" s="1"/>
  <c r="I211" i="28"/>
  <c r="H212" i="28"/>
  <c r="I212" i="28"/>
  <c r="L212" i="28" s="1"/>
  <c r="H213" i="28"/>
  <c r="L213" i="28" s="1"/>
  <c r="I213" i="28"/>
  <c r="H214" i="28"/>
  <c r="I214" i="28"/>
  <c r="H215" i="28"/>
  <c r="I215" i="28"/>
  <c r="L215" i="28" s="1"/>
  <c r="H216" i="28"/>
  <c r="I216" i="28"/>
  <c r="L216" i="28" s="1"/>
  <c r="H217" i="28"/>
  <c r="L217" i="28" s="1"/>
  <c r="I217" i="28"/>
  <c r="H218" i="28"/>
  <c r="I218" i="28"/>
  <c r="H219" i="28"/>
  <c r="I219" i="28"/>
  <c r="L219" i="28" s="1"/>
  <c r="H220" i="28"/>
  <c r="I220" i="28"/>
  <c r="H221" i="28"/>
  <c r="I221" i="28"/>
  <c r="H222" i="28"/>
  <c r="I222" i="28"/>
  <c r="H223" i="28"/>
  <c r="I223" i="28"/>
  <c r="H224" i="28"/>
  <c r="I224" i="28"/>
  <c r="H225" i="28"/>
  <c r="L225" i="28" s="1"/>
  <c r="I225" i="28"/>
  <c r="H226" i="28"/>
  <c r="I226" i="28"/>
  <c r="H227" i="28"/>
  <c r="I227" i="28"/>
  <c r="H228" i="28"/>
  <c r="I228" i="28"/>
  <c r="H229" i="28"/>
  <c r="I229" i="28"/>
  <c r="H230" i="28"/>
  <c r="I230" i="28"/>
  <c r="L230" i="28" s="1"/>
  <c r="H231" i="28"/>
  <c r="L231" i="28" s="1"/>
  <c r="I231" i="28"/>
  <c r="H232" i="28"/>
  <c r="I232" i="28"/>
  <c r="H233" i="28"/>
  <c r="L233" i="28" s="1"/>
  <c r="I233" i="28"/>
  <c r="H234" i="28"/>
  <c r="I234" i="28"/>
  <c r="H235" i="28"/>
  <c r="I235" i="28"/>
  <c r="H236" i="28"/>
  <c r="I236" i="28"/>
  <c r="H237" i="28"/>
  <c r="I237" i="28"/>
  <c r="H238" i="28"/>
  <c r="I238" i="28"/>
  <c r="H239" i="28"/>
  <c r="I239" i="28"/>
  <c r="H240" i="28"/>
  <c r="I240" i="28"/>
  <c r="H241" i="28"/>
  <c r="I241" i="28"/>
  <c r="H242" i="28"/>
  <c r="I242" i="28"/>
  <c r="H243" i="28"/>
  <c r="I243" i="28"/>
  <c r="H244" i="28"/>
  <c r="I244" i="28"/>
  <c r="H245" i="28"/>
  <c r="I245" i="28"/>
  <c r="H246" i="28"/>
  <c r="I246" i="28"/>
  <c r="L246" i="28" s="1"/>
  <c r="H247" i="28"/>
  <c r="I247" i="28"/>
  <c r="L247" i="28" s="1"/>
  <c r="H248" i="28"/>
  <c r="I248" i="28"/>
  <c r="L248" i="28" s="1"/>
  <c r="H249" i="28"/>
  <c r="L249" i="28" s="1"/>
  <c r="I249" i="28"/>
  <c r="H250" i="28"/>
  <c r="I250" i="28"/>
  <c r="H251" i="28"/>
  <c r="L251" i="28" s="1"/>
  <c r="I251" i="28"/>
  <c r="H252" i="28"/>
  <c r="I252" i="28"/>
  <c r="H253" i="28"/>
  <c r="I253" i="28"/>
  <c r="H254" i="28"/>
  <c r="I254" i="28"/>
  <c r="H255" i="28"/>
  <c r="I255" i="28"/>
  <c r="H256" i="28"/>
  <c r="I256" i="28"/>
  <c r="H257" i="28"/>
  <c r="L257" i="28" s="1"/>
  <c r="I257" i="28"/>
  <c r="H258" i="28"/>
  <c r="I258" i="28"/>
  <c r="H259" i="28"/>
  <c r="I259" i="28"/>
  <c r="H260" i="28"/>
  <c r="I260" i="28"/>
  <c r="L260" i="28" s="1"/>
  <c r="H261" i="28"/>
  <c r="L261" i="28" s="1"/>
  <c r="I261" i="28"/>
  <c r="H262" i="28"/>
  <c r="I262" i="28"/>
  <c r="L262" i="28" s="1"/>
  <c r="H263" i="28"/>
  <c r="L263" i="28" s="1"/>
  <c r="I263" i="28"/>
  <c r="H264" i="28"/>
  <c r="I264" i="28"/>
  <c r="L264" i="28" s="1"/>
  <c r="H265" i="28"/>
  <c r="L265" i="28" s="1"/>
  <c r="I265" i="28"/>
  <c r="H266" i="28"/>
  <c r="I266" i="28"/>
  <c r="H267" i="28"/>
  <c r="I267" i="28"/>
  <c r="H268" i="28"/>
  <c r="I268" i="28"/>
  <c r="H269" i="28"/>
  <c r="I269" i="28"/>
  <c r="H270" i="28"/>
  <c r="I270" i="28"/>
  <c r="H271" i="28"/>
  <c r="I271" i="28"/>
  <c r="H272" i="28"/>
  <c r="I272" i="28"/>
  <c r="H273" i="28"/>
  <c r="L273" i="28" s="1"/>
  <c r="I273" i="28"/>
  <c r="H274" i="28"/>
  <c r="I274" i="28"/>
  <c r="H275" i="28"/>
  <c r="L275" i="28" s="1"/>
  <c r="I275" i="28"/>
  <c r="H276" i="28"/>
  <c r="I276" i="28"/>
  <c r="L276" i="28" s="1"/>
  <c r="H277" i="28"/>
  <c r="L277" i="28" s="1"/>
  <c r="I277" i="28"/>
  <c r="H278" i="28"/>
  <c r="I278" i="28"/>
  <c r="H279" i="28"/>
  <c r="L279" i="28" s="1"/>
  <c r="I279" i="28"/>
  <c r="H280" i="28"/>
  <c r="I280" i="28"/>
  <c r="L280" i="28" s="1"/>
  <c r="H281" i="28"/>
  <c r="L281" i="28" s="1"/>
  <c r="I281" i="28"/>
  <c r="H282" i="28"/>
  <c r="I282" i="28"/>
  <c r="H283" i="28"/>
  <c r="L283" i="28" s="1"/>
  <c r="I283" i="28"/>
  <c r="H284" i="28"/>
  <c r="I284" i="28"/>
  <c r="H285" i="28"/>
  <c r="I285" i="28"/>
  <c r="H286" i="28"/>
  <c r="I286" i="28"/>
  <c r="H287" i="28"/>
  <c r="I287" i="28"/>
  <c r="H288" i="28"/>
  <c r="I288" i="28"/>
  <c r="H289" i="28"/>
  <c r="L289" i="28" s="1"/>
  <c r="I289" i="28"/>
  <c r="H290" i="28"/>
  <c r="I290" i="28"/>
  <c r="H291" i="28"/>
  <c r="I291" i="28"/>
  <c r="H292" i="28"/>
  <c r="I292" i="28"/>
  <c r="L292" i="28" s="1"/>
  <c r="H293" i="28"/>
  <c r="L293" i="28" s="1"/>
  <c r="I293" i="28"/>
  <c r="H294" i="28"/>
  <c r="I294" i="28"/>
  <c r="L294" i="28" s="1"/>
  <c r="H295" i="28"/>
  <c r="I295" i="28"/>
  <c r="L295" i="28" s="1"/>
  <c r="H296" i="28"/>
  <c r="I296" i="28"/>
  <c r="H297" i="28"/>
  <c r="L297" i="28" s="1"/>
  <c r="I297" i="28"/>
  <c r="H298" i="28"/>
  <c r="I298" i="28"/>
  <c r="H299" i="28"/>
  <c r="I299" i="28"/>
  <c r="H300" i="28"/>
  <c r="I300" i="28"/>
  <c r="H301" i="28"/>
  <c r="I301" i="28"/>
  <c r="H302" i="28"/>
  <c r="I302" i="28"/>
  <c r="H303" i="28"/>
  <c r="I303" i="28"/>
  <c r="H304" i="28"/>
  <c r="I304" i="28"/>
  <c r="H305" i="28"/>
  <c r="I305" i="28"/>
  <c r="H306" i="28"/>
  <c r="I306" i="28"/>
  <c r="H307" i="28"/>
  <c r="I307" i="28"/>
  <c r="H308" i="28"/>
  <c r="I308" i="28"/>
  <c r="H309" i="28"/>
  <c r="L309" i="28" s="1"/>
  <c r="I309" i="28"/>
  <c r="H310" i="28"/>
  <c r="I310" i="28"/>
  <c r="H311" i="28"/>
  <c r="L311" i="28" s="1"/>
  <c r="I311" i="28"/>
  <c r="H312" i="28"/>
  <c r="I312" i="28"/>
  <c r="H313" i="28"/>
  <c r="L313" i="28" s="1"/>
  <c r="I313" i="28"/>
  <c r="H314" i="28"/>
  <c r="I314" i="28"/>
  <c r="H315" i="28"/>
  <c r="L315" i="28" s="1"/>
  <c r="I315" i="28"/>
  <c r="H316" i="28"/>
  <c r="I316" i="28"/>
  <c r="H317" i="28"/>
  <c r="I317" i="28"/>
  <c r="H318" i="28"/>
  <c r="I318" i="28"/>
  <c r="H319" i="28"/>
  <c r="I319" i="28"/>
  <c r="H320" i="28"/>
  <c r="I320" i="28"/>
  <c r="H321" i="28"/>
  <c r="L321" i="28" s="1"/>
  <c r="I321" i="28"/>
  <c r="H322" i="28"/>
  <c r="I322" i="28"/>
  <c r="H323" i="28"/>
  <c r="L323" i="28" s="1"/>
  <c r="I323" i="28"/>
  <c r="H324" i="28"/>
  <c r="I324" i="28"/>
  <c r="L324" i="28" s="1"/>
  <c r="H325" i="28"/>
  <c r="L325" i="28" s="1"/>
  <c r="I325" i="28"/>
  <c r="H326" i="28"/>
  <c r="I326" i="28"/>
  <c r="L326" i="28" s="1"/>
  <c r="H327" i="28"/>
  <c r="L327" i="28" s="1"/>
  <c r="I327" i="28"/>
  <c r="H328" i="28"/>
  <c r="I328" i="28"/>
  <c r="H329" i="28"/>
  <c r="L329" i="28" s="1"/>
  <c r="I329" i="28"/>
  <c r="H330" i="28"/>
  <c r="I330" i="28"/>
  <c r="H331" i="28"/>
  <c r="L331" i="28" s="1"/>
  <c r="I331" i="28"/>
  <c r="H332" i="28"/>
  <c r="I332" i="28"/>
  <c r="H333" i="28"/>
  <c r="I333" i="28"/>
  <c r="H334" i="28"/>
  <c r="I334" i="28"/>
  <c r="H335" i="28"/>
  <c r="I335" i="28"/>
  <c r="H336" i="28"/>
  <c r="I336" i="28"/>
  <c r="H337" i="28"/>
  <c r="I337" i="28"/>
  <c r="H338" i="28"/>
  <c r="I338" i="28"/>
  <c r="H339" i="28"/>
  <c r="I339" i="28"/>
  <c r="H340" i="28"/>
  <c r="I340" i="28"/>
  <c r="L340" i="28" s="1"/>
  <c r="H341" i="28"/>
  <c r="L341" i="28" s="1"/>
  <c r="I341" i="28"/>
  <c r="H342" i="28"/>
  <c r="I342" i="28"/>
  <c r="L342" i="28" s="1"/>
  <c r="H343" i="28"/>
  <c r="L343" i="28" s="1"/>
  <c r="I343" i="28"/>
  <c r="H344" i="28"/>
  <c r="I344" i="28"/>
  <c r="L344" i="28" s="1"/>
  <c r="H345" i="28"/>
  <c r="L345" i="28" s="1"/>
  <c r="I345" i="28"/>
  <c r="H346" i="28"/>
  <c r="I346" i="28"/>
  <c r="H347" i="28"/>
  <c r="I347" i="28"/>
  <c r="H348" i="28"/>
  <c r="I348" i="28"/>
  <c r="H349" i="28"/>
  <c r="I349" i="28"/>
  <c r="H350" i="28"/>
  <c r="I350" i="28"/>
  <c r="H351" i="28"/>
  <c r="I351" i="28"/>
  <c r="H352" i="28"/>
  <c r="I352" i="28"/>
  <c r="H353" i="28"/>
  <c r="L353" i="28" s="1"/>
  <c r="I353" i="28"/>
  <c r="H354" i="28"/>
  <c r="I354" i="28"/>
  <c r="H355" i="28"/>
  <c r="I355" i="28"/>
  <c r="H356" i="28"/>
  <c r="I356" i="28"/>
  <c r="H357" i="28"/>
  <c r="L357" i="28" s="1"/>
  <c r="I357" i="28"/>
  <c r="H358" i="28"/>
  <c r="I358" i="28"/>
  <c r="L358" i="28" s="1"/>
  <c r="H359" i="28"/>
  <c r="L359" i="28" s="1"/>
  <c r="I359" i="28"/>
  <c r="H360" i="28"/>
  <c r="I360" i="28"/>
  <c r="L360" i="28" s="1"/>
  <c r="H361" i="28"/>
  <c r="L361" i="28" s="1"/>
  <c r="I361" i="28"/>
  <c r="H362" i="28"/>
  <c r="I362" i="28"/>
  <c r="H363" i="28"/>
  <c r="I363" i="28"/>
  <c r="H364" i="28"/>
  <c r="I364" i="28"/>
  <c r="H365" i="28"/>
  <c r="I365" i="28"/>
  <c r="H366" i="28"/>
  <c r="I366" i="28"/>
  <c r="H367" i="28"/>
  <c r="I367" i="28"/>
  <c r="H368" i="28"/>
  <c r="I368" i="28"/>
  <c r="H369" i="28"/>
  <c r="L369" i="28" s="1"/>
  <c r="I369" i="28"/>
  <c r="H370" i="28"/>
  <c r="I370" i="28"/>
  <c r="H371" i="28"/>
  <c r="I371" i="28"/>
  <c r="H372" i="28"/>
  <c r="I372" i="28"/>
  <c r="H373" i="28"/>
  <c r="L373" i="28" s="1"/>
  <c r="I373" i="28"/>
  <c r="H374" i="28"/>
  <c r="L374" i="28" s="1"/>
  <c r="I374" i="28"/>
  <c r="H375" i="28"/>
  <c r="L375" i="28" s="1"/>
  <c r="I375" i="28"/>
  <c r="H376" i="28"/>
  <c r="I376" i="28"/>
  <c r="L376" i="28" s="1"/>
  <c r="H377" i="28"/>
  <c r="L377" i="28" s="1"/>
  <c r="I377" i="28"/>
  <c r="H378" i="28"/>
  <c r="I378" i="28"/>
  <c r="H379" i="28"/>
  <c r="I379" i="28"/>
  <c r="H380" i="28"/>
  <c r="I380" i="28"/>
  <c r="H381" i="28"/>
  <c r="I381" i="28"/>
  <c r="H382" i="28"/>
  <c r="I382" i="28"/>
  <c r="H383" i="28"/>
  <c r="I383" i="28"/>
  <c r="H384" i="28"/>
  <c r="I384" i="28"/>
  <c r="H385" i="28"/>
  <c r="L385" i="28" s="1"/>
  <c r="I385" i="28"/>
  <c r="H386" i="28"/>
  <c r="I386" i="28"/>
  <c r="H387" i="28"/>
  <c r="L387" i="28" s="1"/>
  <c r="I387" i="28"/>
  <c r="H388" i="28"/>
  <c r="I388" i="28"/>
  <c r="L388" i="28" s="1"/>
  <c r="H389" i="28"/>
  <c r="I389" i="28"/>
  <c r="H390" i="28"/>
  <c r="I390" i="28"/>
  <c r="H391" i="28"/>
  <c r="L391" i="28" s="1"/>
  <c r="I391" i="28"/>
  <c r="H392" i="28"/>
  <c r="I392" i="28"/>
  <c r="H393" i="28"/>
  <c r="I393" i="28"/>
  <c r="H394" i="28"/>
  <c r="I394" i="28"/>
  <c r="H395" i="28"/>
  <c r="I395" i="28"/>
  <c r="H396" i="28"/>
  <c r="I396" i="28"/>
  <c r="H397" i="28"/>
  <c r="I397" i="28"/>
  <c r="H398" i="28"/>
  <c r="I398" i="28"/>
  <c r="H399" i="28"/>
  <c r="I399" i="28"/>
  <c r="H400" i="28"/>
  <c r="I400" i="28"/>
  <c r="H401" i="28"/>
  <c r="L401" i="28" s="1"/>
  <c r="I401" i="28"/>
  <c r="H402" i="28"/>
  <c r="I402" i="28"/>
  <c r="H403" i="28"/>
  <c r="I403" i="28"/>
  <c r="H404" i="28"/>
  <c r="I404" i="28"/>
  <c r="L404" i="28" s="1"/>
  <c r="H405" i="28"/>
  <c r="L405" i="28" s="1"/>
  <c r="I405" i="28"/>
  <c r="H406" i="28"/>
  <c r="I406" i="28"/>
  <c r="H407" i="28"/>
  <c r="L407" i="28" s="1"/>
  <c r="I407" i="28"/>
  <c r="H408" i="28"/>
  <c r="I408" i="28"/>
  <c r="H409" i="28"/>
  <c r="I409" i="28"/>
  <c r="H410" i="28"/>
  <c r="I410" i="28"/>
  <c r="H411" i="28"/>
  <c r="L411" i="28" s="1"/>
  <c r="I411" i="28"/>
  <c r="H412" i="28"/>
  <c r="I412" i="28"/>
  <c r="H413" i="28"/>
  <c r="I413" i="28"/>
  <c r="H414" i="28"/>
  <c r="I414" i="28"/>
  <c r="H415" i="28"/>
  <c r="I415" i="28"/>
  <c r="H416" i="28"/>
  <c r="I416" i="28"/>
  <c r="H417" i="28"/>
  <c r="L417" i="28" s="1"/>
  <c r="I417" i="28"/>
  <c r="H418" i="28"/>
  <c r="I418" i="28"/>
  <c r="H419" i="28"/>
  <c r="I419" i="28"/>
  <c r="H420" i="28"/>
  <c r="I420" i="28"/>
  <c r="L420" i="28" s="1"/>
  <c r="H421" i="28"/>
  <c r="L421" i="28" s="1"/>
  <c r="I421" i="28"/>
  <c r="H422" i="28"/>
  <c r="I422" i="28"/>
  <c r="H423" i="28"/>
  <c r="L423" i="28" s="1"/>
  <c r="I423" i="28"/>
  <c r="H424" i="28"/>
  <c r="I424" i="28"/>
  <c r="L424" i="28" s="1"/>
  <c r="H425" i="28"/>
  <c r="I425" i="28"/>
  <c r="H426" i="28"/>
  <c r="I426" i="28"/>
  <c r="H427" i="28"/>
  <c r="L427" i="28" s="1"/>
  <c r="I427" i="28"/>
  <c r="H428" i="28"/>
  <c r="I428" i="28"/>
  <c r="H429" i="28"/>
  <c r="I429" i="28"/>
  <c r="H430" i="28"/>
  <c r="I430" i="28"/>
  <c r="H431" i="28"/>
  <c r="I431" i="28"/>
  <c r="H432" i="28"/>
  <c r="I432" i="28"/>
  <c r="H433" i="28"/>
  <c r="I433" i="28"/>
  <c r="H434" i="28"/>
  <c r="I434" i="28"/>
  <c r="H435" i="28"/>
  <c r="I435" i="28"/>
  <c r="H436" i="28"/>
  <c r="I436" i="28"/>
  <c r="L436" i="28" s="1"/>
  <c r="H437" i="28"/>
  <c r="L437" i="28" s="1"/>
  <c r="I437" i="28"/>
  <c r="H438" i="28"/>
  <c r="I438" i="28"/>
  <c r="H439" i="28"/>
  <c r="L439" i="28" s="1"/>
  <c r="I439" i="28"/>
  <c r="H440" i="28"/>
  <c r="I440" i="28"/>
  <c r="H441" i="28"/>
  <c r="I441" i="28"/>
  <c r="H442" i="28"/>
  <c r="I442" i="28"/>
  <c r="H443" i="28"/>
  <c r="I443" i="28"/>
  <c r="H444" i="28"/>
  <c r="I444" i="28"/>
  <c r="H445" i="28"/>
  <c r="I445" i="28"/>
  <c r="H446" i="28"/>
  <c r="I446" i="28"/>
  <c r="H447" i="28"/>
  <c r="I447" i="28"/>
  <c r="H448" i="28"/>
  <c r="I448" i="28"/>
  <c r="H449" i="28"/>
  <c r="I449" i="28"/>
  <c r="H450" i="28"/>
  <c r="I450" i="28"/>
  <c r="H451" i="28"/>
  <c r="I451" i="28"/>
  <c r="H452" i="28"/>
  <c r="I452" i="28"/>
  <c r="L452" i="28" s="1"/>
  <c r="H453" i="28"/>
  <c r="L453" i="28" s="1"/>
  <c r="I453" i="28"/>
  <c r="H454" i="28"/>
  <c r="L454" i="28" s="1"/>
  <c r="I454" i="28"/>
  <c r="H455" i="28"/>
  <c r="L455" i="28" s="1"/>
  <c r="I455" i="28"/>
  <c r="H456" i="28"/>
  <c r="I456" i="28"/>
  <c r="H457" i="28"/>
  <c r="I457" i="28"/>
  <c r="H458" i="28"/>
  <c r="I458" i="28"/>
  <c r="H459" i="28"/>
  <c r="I459" i="28"/>
  <c r="H460" i="28"/>
  <c r="I460" i="28"/>
  <c r="H461" i="28"/>
  <c r="I461" i="28"/>
  <c r="H462" i="28"/>
  <c r="I462" i="28"/>
  <c r="H463" i="28"/>
  <c r="I463" i="28"/>
  <c r="H464" i="28"/>
  <c r="I464" i="28"/>
  <c r="H465" i="28"/>
  <c r="L465" i="28" s="1"/>
  <c r="I465" i="28"/>
  <c r="H466" i="28"/>
  <c r="I466" i="28"/>
  <c r="H467" i="28"/>
  <c r="I467" i="28"/>
  <c r="H468" i="28"/>
  <c r="I468" i="28"/>
  <c r="L468" i="28" s="1"/>
  <c r="H469" i="28"/>
  <c r="I469" i="28"/>
  <c r="H470" i="28"/>
  <c r="L470" i="28" s="1"/>
  <c r="I470" i="28"/>
  <c r="H471" i="28"/>
  <c r="I471" i="28"/>
  <c r="L471" i="28" s="1"/>
  <c r="H472" i="28"/>
  <c r="I472" i="28"/>
  <c r="H473" i="28"/>
  <c r="L473" i="28" s="1"/>
  <c r="I473" i="28"/>
  <c r="H474" i="28"/>
  <c r="I474" i="28"/>
  <c r="H475" i="28"/>
  <c r="L475" i="28" s="1"/>
  <c r="I475" i="28"/>
  <c r="H476" i="28"/>
  <c r="I476" i="28"/>
  <c r="H477" i="28"/>
  <c r="I477" i="28"/>
  <c r="H478" i="28"/>
  <c r="I478" i="28"/>
  <c r="H479" i="28"/>
  <c r="I479" i="28"/>
  <c r="H480" i="28"/>
  <c r="I480" i="28"/>
  <c r="H481" i="28"/>
  <c r="L481" i="28" s="1"/>
  <c r="I481" i="28"/>
  <c r="H482" i="28"/>
  <c r="I482" i="28"/>
  <c r="H483" i="28"/>
  <c r="I483" i="28"/>
  <c r="H484" i="28"/>
  <c r="I484" i="28"/>
  <c r="L484" i="28" s="1"/>
  <c r="H485" i="28"/>
  <c r="L485" i="28" s="1"/>
  <c r="I485" i="28"/>
  <c r="H486" i="28"/>
  <c r="L486" i="28" s="1"/>
  <c r="I486" i="28"/>
  <c r="H487" i="28"/>
  <c r="L487" i="28" s="1"/>
  <c r="I487" i="28"/>
  <c r="H488" i="28"/>
  <c r="I488" i="28"/>
  <c r="L488" i="28" s="1"/>
  <c r="H489" i="28"/>
  <c r="L489" i="28" s="1"/>
  <c r="I489" i="28"/>
  <c r="H490" i="28"/>
  <c r="I490" i="28"/>
  <c r="H491" i="28"/>
  <c r="I491" i="28"/>
  <c r="H492" i="28"/>
  <c r="I492" i="28"/>
  <c r="H493" i="28"/>
  <c r="I493" i="28"/>
  <c r="H494" i="28"/>
  <c r="I494" i="28"/>
  <c r="H495" i="28"/>
  <c r="I495" i="28"/>
  <c r="H496" i="28"/>
  <c r="I496" i="28"/>
  <c r="H497" i="28"/>
  <c r="L497" i="28" s="1"/>
  <c r="I497" i="28"/>
  <c r="H498" i="28"/>
  <c r="I498" i="28"/>
  <c r="H499" i="28"/>
  <c r="I499" i="28"/>
  <c r="H500" i="28"/>
  <c r="I500" i="28"/>
  <c r="H501" i="28"/>
  <c r="L501" i="28" s="1"/>
  <c r="I501" i="28"/>
  <c r="H502" i="28"/>
  <c r="L502" i="28" s="1"/>
  <c r="I502" i="28"/>
  <c r="H503" i="28"/>
  <c r="L503" i="28" s="1"/>
  <c r="I503" i="28"/>
  <c r="H504" i="28"/>
  <c r="I504" i="28"/>
  <c r="H505" i="28"/>
  <c r="L505" i="28" s="1"/>
  <c r="I505" i="28"/>
  <c r="H506" i="28"/>
  <c r="I506" i="28"/>
  <c r="H507" i="28"/>
  <c r="I507" i="28"/>
  <c r="H508" i="28"/>
  <c r="I508" i="28"/>
  <c r="H509" i="28"/>
  <c r="I509" i="28"/>
  <c r="H510" i="28"/>
  <c r="I510" i="28"/>
  <c r="H511" i="28"/>
  <c r="I511" i="28"/>
  <c r="H512" i="28"/>
  <c r="I512" i="28"/>
  <c r="H513" i="28"/>
  <c r="L513" i="28" s="1"/>
  <c r="I513" i="28"/>
  <c r="H514" i="28"/>
  <c r="I514" i="28"/>
  <c r="H515" i="28"/>
  <c r="I515" i="28"/>
  <c r="H516" i="28"/>
  <c r="I516" i="28"/>
  <c r="H517" i="28"/>
  <c r="L517" i="28" s="1"/>
  <c r="I517" i="28"/>
  <c r="H518" i="28"/>
  <c r="I518" i="28"/>
  <c r="H519" i="28"/>
  <c r="L519" i="28" s="1"/>
  <c r="I519" i="28"/>
  <c r="H520" i="28"/>
  <c r="I520" i="28"/>
  <c r="H521" i="28"/>
  <c r="L521" i="28" s="1"/>
  <c r="I521" i="28"/>
  <c r="H522" i="28"/>
  <c r="I522" i="28"/>
  <c r="H523" i="28"/>
  <c r="I523" i="28"/>
  <c r="H524" i="28"/>
  <c r="I524" i="28"/>
  <c r="H525" i="28"/>
  <c r="I525" i="28"/>
  <c r="H526" i="28"/>
  <c r="I526" i="28"/>
  <c r="H527" i="28"/>
  <c r="I527" i="28"/>
  <c r="H528" i="28"/>
  <c r="I528" i="28"/>
  <c r="H529" i="28"/>
  <c r="L529" i="28" s="1"/>
  <c r="I529" i="28"/>
  <c r="H530" i="28"/>
  <c r="I530" i="28"/>
  <c r="H531" i="28"/>
  <c r="I531" i="28"/>
  <c r="H532" i="28"/>
  <c r="I532" i="28"/>
  <c r="H533" i="28"/>
  <c r="L533" i="28" s="1"/>
  <c r="I533" i="28"/>
  <c r="H534" i="28"/>
  <c r="L534" i="28" s="1"/>
  <c r="I534" i="28"/>
  <c r="H535" i="28"/>
  <c r="L535" i="28" s="1"/>
  <c r="I535" i="28"/>
  <c r="H536" i="28"/>
  <c r="I536" i="28"/>
  <c r="H537" i="28"/>
  <c r="L537" i="28" s="1"/>
  <c r="I537" i="28"/>
  <c r="H538" i="28"/>
  <c r="I538" i="28"/>
  <c r="H539" i="28"/>
  <c r="I539" i="28"/>
  <c r="H540" i="28"/>
  <c r="I540" i="28"/>
  <c r="H541" i="28"/>
  <c r="I541" i="28"/>
  <c r="H542" i="28"/>
  <c r="I542" i="28"/>
  <c r="H543" i="28"/>
  <c r="I543" i="28"/>
  <c r="H544" i="28"/>
  <c r="I544" i="28"/>
  <c r="H545" i="28"/>
  <c r="I545" i="28"/>
  <c r="H546" i="28"/>
  <c r="I546" i="28"/>
  <c r="H547" i="28"/>
  <c r="I547" i="28"/>
  <c r="H548" i="28"/>
  <c r="I548" i="28"/>
  <c r="H549" i="28"/>
  <c r="L549" i="28" s="1"/>
  <c r="I549" i="28"/>
  <c r="H550" i="28"/>
  <c r="I550" i="28"/>
  <c r="L550" i="28" s="1"/>
  <c r="H551" i="28"/>
  <c r="L551" i="28" s="1"/>
  <c r="I551" i="28"/>
  <c r="H552" i="28"/>
  <c r="L552" i="28" s="1"/>
  <c r="I552" i="28"/>
  <c r="H553" i="28"/>
  <c r="L553" i="28" s="1"/>
  <c r="I553" i="28"/>
  <c r="H554" i="28"/>
  <c r="I554" i="28"/>
  <c r="H555" i="28"/>
  <c r="I555" i="28"/>
  <c r="H556" i="28"/>
  <c r="I556" i="28"/>
  <c r="H557" i="28"/>
  <c r="I557" i="28"/>
  <c r="H558" i="28"/>
  <c r="I558" i="28"/>
  <c r="H559" i="28"/>
  <c r="I559" i="28"/>
  <c r="H560" i="28"/>
  <c r="I560" i="28"/>
  <c r="H561" i="28"/>
  <c r="L561" i="28" s="1"/>
  <c r="I561" i="28"/>
  <c r="H562" i="28"/>
  <c r="I562" i="28"/>
  <c r="H563" i="28"/>
  <c r="I563" i="28"/>
  <c r="H564" i="28"/>
  <c r="I564" i="28"/>
  <c r="L564" i="28" s="1"/>
  <c r="H565" i="28"/>
  <c r="L565" i="28" s="1"/>
  <c r="I565" i="28"/>
  <c r="H566" i="28"/>
  <c r="I566" i="28"/>
  <c r="H567" i="28"/>
  <c r="L567" i="28" s="1"/>
  <c r="I567" i="28"/>
  <c r="H568" i="28"/>
  <c r="I568" i="28"/>
  <c r="L568" i="28" s="1"/>
  <c r="H569" i="28"/>
  <c r="L569" i="28" s="1"/>
  <c r="I569" i="28"/>
  <c r="H570" i="28"/>
  <c r="I570" i="28"/>
  <c r="H571" i="28"/>
  <c r="L571" i="28" s="1"/>
  <c r="I571" i="28"/>
  <c r="H572" i="28"/>
  <c r="I572" i="28"/>
  <c r="H573" i="28"/>
  <c r="I573" i="28"/>
  <c r="H574" i="28"/>
  <c r="I574" i="28"/>
  <c r="H575" i="28"/>
  <c r="I575" i="28"/>
  <c r="H576" i="28"/>
  <c r="I576" i="28"/>
  <c r="H577" i="28"/>
  <c r="L577" i="28" s="1"/>
  <c r="I577" i="28"/>
  <c r="H578" i="28"/>
  <c r="I578" i="28"/>
  <c r="H579" i="28"/>
  <c r="I579" i="28"/>
  <c r="H580" i="28"/>
  <c r="I580" i="28"/>
  <c r="L580" i="28" s="1"/>
  <c r="H581" i="28"/>
  <c r="L581" i="28" s="1"/>
  <c r="I581" i="28"/>
  <c r="H582" i="28"/>
  <c r="I582" i="28"/>
  <c r="H583" i="28"/>
  <c r="L583" i="28" s="1"/>
  <c r="I583" i="28"/>
  <c r="H584" i="28"/>
  <c r="I584" i="28"/>
  <c r="H585" i="28"/>
  <c r="L585" i="28" s="1"/>
  <c r="I585" i="28"/>
  <c r="H586" i="28"/>
  <c r="I586" i="28"/>
  <c r="H587" i="28"/>
  <c r="I587" i="28"/>
  <c r="H588" i="28"/>
  <c r="I588" i="28"/>
  <c r="H589" i="28"/>
  <c r="I589" i="28"/>
  <c r="H590" i="28"/>
  <c r="I590" i="28"/>
  <c r="H591" i="28"/>
  <c r="I591" i="28"/>
  <c r="H592" i="28"/>
  <c r="I592" i="28"/>
  <c r="H593" i="28"/>
  <c r="I593" i="28"/>
  <c r="H594" i="28"/>
  <c r="I594" i="28"/>
  <c r="H595" i="28"/>
  <c r="I595" i="28"/>
  <c r="H596" i="28"/>
  <c r="I596" i="28"/>
  <c r="L596" i="28" s="1"/>
  <c r="H597" i="28"/>
  <c r="L597" i="28" s="1"/>
  <c r="I597" i="28"/>
  <c r="H598" i="28"/>
  <c r="I598" i="28"/>
  <c r="L598" i="28" s="1"/>
  <c r="H599" i="28"/>
  <c r="I599" i="28"/>
  <c r="L599" i="28" s="1"/>
  <c r="H600" i="28"/>
  <c r="I600" i="28"/>
  <c r="H601" i="28"/>
  <c r="I601" i="28"/>
  <c r="H602" i="28"/>
  <c r="I602" i="28"/>
  <c r="H603" i="28"/>
  <c r="I603" i="28"/>
  <c r="H604" i="28"/>
  <c r="I604" i="28"/>
  <c r="H605" i="28"/>
  <c r="I605" i="28"/>
  <c r="H606" i="28"/>
  <c r="I606" i="28"/>
  <c r="H607" i="28"/>
  <c r="I607" i="28"/>
  <c r="H608" i="28"/>
  <c r="I608" i="28"/>
  <c r="H609" i="28"/>
  <c r="L609" i="28" s="1"/>
  <c r="I609" i="28"/>
  <c r="H610" i="28"/>
  <c r="I610" i="28"/>
  <c r="H611" i="28"/>
  <c r="I611" i="28"/>
  <c r="H612" i="28"/>
  <c r="I612" i="28"/>
  <c r="H613" i="28"/>
  <c r="L613" i="28" s="1"/>
  <c r="I613" i="28"/>
  <c r="H614" i="28"/>
  <c r="L614" i="28" s="1"/>
  <c r="I614" i="28"/>
  <c r="H615" i="28"/>
  <c r="L615" i="28" s="1"/>
  <c r="I615" i="28"/>
  <c r="H616" i="28"/>
  <c r="I616" i="28"/>
  <c r="L616" i="28" s="1"/>
  <c r="H617" i="28"/>
  <c r="L617" i="28" s="1"/>
  <c r="I617" i="28"/>
  <c r="H618" i="28"/>
  <c r="I618" i="28"/>
  <c r="H619" i="28"/>
  <c r="I619" i="28"/>
  <c r="H620" i="28"/>
  <c r="I620" i="28"/>
  <c r="H621" i="28"/>
  <c r="I621" i="28"/>
  <c r="H622" i="28"/>
  <c r="I622" i="28"/>
  <c r="H623" i="28"/>
  <c r="I623" i="28"/>
  <c r="H624" i="28"/>
  <c r="I624" i="28"/>
  <c r="H625" i="28"/>
  <c r="L625" i="28" s="1"/>
  <c r="I625" i="28"/>
  <c r="H626" i="28"/>
  <c r="I626" i="28"/>
  <c r="H627" i="28"/>
  <c r="I627" i="28"/>
  <c r="H628" i="28"/>
  <c r="I628" i="28"/>
  <c r="H629" i="28"/>
  <c r="L629" i="28" s="1"/>
  <c r="I629" i="28"/>
  <c r="H630" i="28"/>
  <c r="I630" i="28"/>
  <c r="I177" i="28"/>
  <c r="H177" i="28"/>
  <c r="L198" i="28"/>
  <c r="L209" i="28"/>
  <c r="L278" i="28"/>
  <c r="L282" i="28"/>
  <c r="L305" i="28"/>
  <c r="L310" i="28"/>
  <c r="L346" i="28"/>
  <c r="L395" i="28"/>
  <c r="L409" i="28"/>
  <c r="L438" i="28"/>
  <c r="L441" i="28"/>
  <c r="L449" i="28"/>
  <c r="L506" i="28"/>
  <c r="L555" i="28"/>
  <c r="L566" i="28"/>
  <c r="L582" i="28"/>
  <c r="L601" i="28"/>
  <c r="L618" i="28"/>
  <c r="L187" i="28"/>
  <c r="L203" i="28"/>
  <c r="L232" i="28"/>
  <c r="L235" i="28"/>
  <c r="L267" i="28"/>
  <c r="L296" i="28"/>
  <c r="L299" i="28"/>
  <c r="L312" i="28"/>
  <c r="L328" i="28"/>
  <c r="L330" i="28"/>
  <c r="L347" i="28"/>
  <c r="L363" i="28"/>
  <c r="L379" i="28"/>
  <c r="L389" i="28"/>
  <c r="L390" i="28"/>
  <c r="L392" i="28"/>
  <c r="L393" i="28"/>
  <c r="L408" i="28"/>
  <c r="L440" i="28"/>
  <c r="L442" i="28"/>
  <c r="L443" i="28"/>
  <c r="L456" i="28"/>
  <c r="L457" i="28"/>
  <c r="L458" i="28"/>
  <c r="L459" i="28"/>
  <c r="L472" i="28"/>
  <c r="L491" i="28"/>
  <c r="L504" i="28"/>
  <c r="L507" i="28"/>
  <c r="L520" i="28"/>
  <c r="L523" i="28"/>
  <c r="L536" i="28"/>
  <c r="L538" i="28"/>
  <c r="L539" i="28"/>
  <c r="L584" i="28"/>
  <c r="L587" i="28"/>
  <c r="L600" i="28"/>
  <c r="L619" i="28"/>
  <c r="L184" i="28"/>
  <c r="L185" i="28"/>
  <c r="L186" i="28"/>
  <c r="L194" i="28"/>
  <c r="L214" i="28"/>
  <c r="L218" i="28"/>
  <c r="L227" i="28"/>
  <c r="L228" i="28"/>
  <c r="L234" i="28"/>
  <c r="L241" i="28"/>
  <c r="L250" i="28"/>
  <c r="L259" i="28"/>
  <c r="L298" i="28"/>
  <c r="L338" i="28"/>
  <c r="L339" i="28"/>
  <c r="L372" i="28"/>
  <c r="L394" i="28"/>
  <c r="L406" i="28"/>
  <c r="L419" i="28"/>
  <c r="L425" i="28"/>
  <c r="L426" i="28"/>
  <c r="L467" i="28"/>
  <c r="L469" i="28"/>
  <c r="L474" i="28"/>
  <c r="L483" i="28"/>
  <c r="L490" i="28"/>
  <c r="L498" i="28"/>
  <c r="L499" i="28"/>
  <c r="L500" i="28"/>
  <c r="L514" i="28"/>
  <c r="L515" i="28"/>
  <c r="L518" i="28"/>
  <c r="L531" i="28"/>
  <c r="L532" i="28"/>
  <c r="L554" i="28"/>
  <c r="L579" i="28"/>
  <c r="L586" i="28"/>
  <c r="L602" i="28"/>
  <c r="L630" i="28"/>
  <c r="L178" i="28"/>
  <c r="L180" i="28"/>
  <c r="L181" i="28"/>
  <c r="L195" i="28"/>
  <c r="L202" i="28"/>
  <c r="L210" i="28"/>
  <c r="L226" i="28"/>
  <c r="L229" i="28"/>
  <c r="L242" i="28"/>
  <c r="L243" i="28"/>
  <c r="L244" i="28"/>
  <c r="L245" i="28"/>
  <c r="L258" i="28"/>
  <c r="L266" i="28"/>
  <c r="L274" i="28"/>
  <c r="L290" i="28"/>
  <c r="L291" i="28"/>
  <c r="L306" i="28"/>
  <c r="L307" i="28"/>
  <c r="L308" i="28"/>
  <c r="L314" i="28"/>
  <c r="L322" i="28"/>
  <c r="L354" i="28"/>
  <c r="L355" i="28"/>
  <c r="L356" i="28"/>
  <c r="L362" i="28"/>
  <c r="L370" i="28"/>
  <c r="L371" i="28"/>
  <c r="L378" i="28"/>
  <c r="L386" i="28"/>
  <c r="L402" i="28"/>
  <c r="L403" i="28"/>
  <c r="L410" i="28"/>
  <c r="L418" i="28"/>
  <c r="L422" i="28"/>
  <c r="L434" i="28"/>
  <c r="L435" i="28"/>
  <c r="L450" i="28"/>
  <c r="L451" i="28"/>
  <c r="L466" i="28"/>
  <c r="L482" i="28"/>
  <c r="L516" i="28"/>
  <c r="L522" i="28"/>
  <c r="L530" i="28"/>
  <c r="L546" i="28"/>
  <c r="L547" i="28"/>
  <c r="L548" i="28"/>
  <c r="L562" i="28"/>
  <c r="L563" i="28"/>
  <c r="L570" i="28"/>
  <c r="L578" i="28"/>
  <c r="L594" i="28"/>
  <c r="L595" i="28"/>
  <c r="L603" i="28"/>
  <c r="L610" i="28"/>
  <c r="L611" i="28"/>
  <c r="L612" i="28"/>
  <c r="L626" i="28"/>
  <c r="L627" i="28"/>
  <c r="L628" i="28"/>
  <c r="B177" i="28"/>
  <c r="B2" i="28"/>
  <c r="D2" i="28"/>
  <c r="E2" i="28"/>
  <c r="F2" i="28"/>
  <c r="G2" i="28"/>
  <c r="H2" i="28"/>
  <c r="K2" i="28"/>
  <c r="B3" i="28"/>
  <c r="D3" i="28"/>
  <c r="E3" i="28"/>
  <c r="F3" i="28"/>
  <c r="G3" i="28"/>
  <c r="H3" i="28"/>
  <c r="K3" i="28"/>
  <c r="B4" i="28"/>
  <c r="D4" i="28"/>
  <c r="E4" i="28"/>
  <c r="F4" i="28"/>
  <c r="G4" i="28"/>
  <c r="H4" i="28"/>
  <c r="K4" i="28"/>
  <c r="B5" i="28"/>
  <c r="D5" i="28"/>
  <c r="E5" i="28"/>
  <c r="F5" i="28"/>
  <c r="G5" i="28"/>
  <c r="H5" i="28"/>
  <c r="K5" i="28"/>
  <c r="B6" i="28"/>
  <c r="D6" i="28"/>
  <c r="E6" i="28"/>
  <c r="F6" i="28"/>
  <c r="G6" i="28"/>
  <c r="H6" i="28"/>
  <c r="K6" i="28"/>
  <c r="B7" i="28"/>
  <c r="D7" i="28"/>
  <c r="E7" i="28"/>
  <c r="F7" i="28"/>
  <c r="G7" i="28"/>
  <c r="H7" i="28"/>
  <c r="K7" i="28"/>
  <c r="B8" i="28"/>
  <c r="D8" i="28"/>
  <c r="E8" i="28"/>
  <c r="F8" i="28"/>
  <c r="G8" i="28"/>
  <c r="H8" i="28"/>
  <c r="K8" i="28"/>
  <c r="B9" i="28"/>
  <c r="D9" i="28"/>
  <c r="E9" i="28"/>
  <c r="F9" i="28"/>
  <c r="G9" i="28"/>
  <c r="H9" i="28"/>
  <c r="K9" i="28"/>
  <c r="B10" i="28"/>
  <c r="D10" i="28"/>
  <c r="E10" i="28"/>
  <c r="F10" i="28"/>
  <c r="G10" i="28"/>
  <c r="H10" i="28"/>
  <c r="K10" i="28"/>
  <c r="K631" i="28" s="1"/>
  <c r="B11" i="28"/>
  <c r="D11" i="28"/>
  <c r="E11" i="28"/>
  <c r="F11" i="28"/>
  <c r="G11" i="28"/>
  <c r="H11" i="28"/>
  <c r="K11" i="28"/>
  <c r="B12" i="28"/>
  <c r="D12" i="28"/>
  <c r="E12" i="28"/>
  <c r="F12" i="28"/>
  <c r="G12" i="28"/>
  <c r="H12" i="28"/>
  <c r="K12" i="28"/>
  <c r="B13" i="28"/>
  <c r="D13" i="28"/>
  <c r="E13" i="28"/>
  <c r="F13" i="28"/>
  <c r="G13" i="28"/>
  <c r="H13" i="28"/>
  <c r="K13" i="28"/>
  <c r="B14" i="28"/>
  <c r="D14" i="28"/>
  <c r="E14" i="28"/>
  <c r="F14" i="28"/>
  <c r="G14" i="28"/>
  <c r="H14" i="28"/>
  <c r="K14" i="28"/>
  <c r="B15" i="28"/>
  <c r="D15" i="28"/>
  <c r="E15" i="28"/>
  <c r="F15" i="28"/>
  <c r="G15" i="28"/>
  <c r="H15" i="28"/>
  <c r="K15" i="28"/>
  <c r="B16" i="28"/>
  <c r="D16" i="28"/>
  <c r="E16" i="28"/>
  <c r="F16" i="28"/>
  <c r="G16" i="28"/>
  <c r="H16" i="28"/>
  <c r="K16" i="28"/>
  <c r="B17" i="28"/>
  <c r="D17" i="28"/>
  <c r="E17" i="28"/>
  <c r="F17" i="28"/>
  <c r="G17" i="28"/>
  <c r="H17" i="28"/>
  <c r="K17" i="28"/>
  <c r="B18" i="28"/>
  <c r="D18" i="28"/>
  <c r="E18" i="28"/>
  <c r="F18" i="28"/>
  <c r="G18" i="28"/>
  <c r="H18" i="28"/>
  <c r="K18" i="28"/>
  <c r="B19" i="28"/>
  <c r="D19" i="28"/>
  <c r="E19" i="28"/>
  <c r="F19" i="28"/>
  <c r="G19" i="28"/>
  <c r="H19" i="28"/>
  <c r="K19" i="28"/>
  <c r="B20" i="28"/>
  <c r="D20" i="28"/>
  <c r="E20" i="28"/>
  <c r="F20" i="28"/>
  <c r="G20" i="28"/>
  <c r="H20" i="28"/>
  <c r="K20" i="28"/>
  <c r="B21" i="28"/>
  <c r="D21" i="28"/>
  <c r="E21" i="28"/>
  <c r="F21" i="28"/>
  <c r="G21" i="28"/>
  <c r="H21" i="28"/>
  <c r="K21" i="28"/>
  <c r="B22" i="28"/>
  <c r="D22" i="28"/>
  <c r="E22" i="28"/>
  <c r="F22" i="28"/>
  <c r="G22" i="28"/>
  <c r="H22" i="28"/>
  <c r="K22" i="28"/>
  <c r="B23" i="28"/>
  <c r="D23" i="28"/>
  <c r="E23" i="28"/>
  <c r="F23" i="28"/>
  <c r="G23" i="28"/>
  <c r="H23" i="28"/>
  <c r="K23" i="28"/>
  <c r="B24" i="28"/>
  <c r="D24" i="28"/>
  <c r="E24" i="28"/>
  <c r="F24" i="28"/>
  <c r="G24" i="28"/>
  <c r="H24" i="28"/>
  <c r="K24" i="28"/>
  <c r="B25" i="28"/>
  <c r="D25" i="28"/>
  <c r="E25" i="28"/>
  <c r="F25" i="28"/>
  <c r="G25" i="28"/>
  <c r="H25" i="28"/>
  <c r="K25" i="28"/>
  <c r="B26" i="28"/>
  <c r="D26" i="28"/>
  <c r="E26" i="28"/>
  <c r="F26" i="28"/>
  <c r="G26" i="28"/>
  <c r="H26" i="28"/>
  <c r="K26" i="28"/>
  <c r="B27" i="28"/>
  <c r="D27" i="28"/>
  <c r="E27" i="28"/>
  <c r="F27" i="28"/>
  <c r="G27" i="28"/>
  <c r="H27" i="28"/>
  <c r="K27" i="28"/>
  <c r="B28" i="28"/>
  <c r="D28" i="28"/>
  <c r="E28" i="28"/>
  <c r="F28" i="28"/>
  <c r="G28" i="28"/>
  <c r="H28" i="28"/>
  <c r="K28" i="28"/>
  <c r="B29" i="28"/>
  <c r="D29" i="28"/>
  <c r="E29" i="28"/>
  <c r="F29" i="28"/>
  <c r="G29" i="28"/>
  <c r="H29" i="28"/>
  <c r="K29" i="28"/>
  <c r="B30" i="28"/>
  <c r="D30" i="28"/>
  <c r="E30" i="28"/>
  <c r="F30" i="28"/>
  <c r="G30" i="28"/>
  <c r="H30" i="28"/>
  <c r="K30" i="28"/>
  <c r="B31" i="28"/>
  <c r="D31" i="28"/>
  <c r="E31" i="28"/>
  <c r="F31" i="28"/>
  <c r="G31" i="28"/>
  <c r="H31" i="28"/>
  <c r="K31" i="28"/>
  <c r="B32" i="28"/>
  <c r="D32" i="28"/>
  <c r="E32" i="28"/>
  <c r="F32" i="28"/>
  <c r="G32" i="28"/>
  <c r="H32" i="28"/>
  <c r="K32" i="28"/>
  <c r="B33" i="28"/>
  <c r="D33" i="28"/>
  <c r="E33" i="28"/>
  <c r="F33" i="28"/>
  <c r="G33" i="28"/>
  <c r="H33" i="28"/>
  <c r="K33" i="28"/>
  <c r="B34" i="28"/>
  <c r="D34" i="28"/>
  <c r="E34" i="28"/>
  <c r="F34" i="28"/>
  <c r="G34" i="28"/>
  <c r="H34" i="28"/>
  <c r="K34" i="28"/>
  <c r="B35" i="28"/>
  <c r="D35" i="28"/>
  <c r="E35" i="28"/>
  <c r="F35" i="28"/>
  <c r="G35" i="28"/>
  <c r="H35" i="28"/>
  <c r="K35" i="28"/>
  <c r="B36" i="28"/>
  <c r="D36" i="28"/>
  <c r="E36" i="28"/>
  <c r="F36" i="28"/>
  <c r="G36" i="28"/>
  <c r="H36" i="28"/>
  <c r="K36" i="28"/>
  <c r="B37" i="28"/>
  <c r="D37" i="28"/>
  <c r="E37" i="28"/>
  <c r="F37" i="28"/>
  <c r="G37" i="28"/>
  <c r="H37" i="28"/>
  <c r="K37" i="28"/>
  <c r="B38" i="28"/>
  <c r="D38" i="28"/>
  <c r="E38" i="28"/>
  <c r="F38" i="28"/>
  <c r="G38" i="28"/>
  <c r="H38" i="28"/>
  <c r="K38" i="28"/>
  <c r="B39" i="28"/>
  <c r="D39" i="28"/>
  <c r="E39" i="28"/>
  <c r="F39" i="28"/>
  <c r="G39" i="28"/>
  <c r="H39" i="28"/>
  <c r="K39" i="28"/>
  <c r="B40" i="28"/>
  <c r="D40" i="28"/>
  <c r="E40" i="28"/>
  <c r="F40" i="28"/>
  <c r="G40" i="28"/>
  <c r="H40" i="28"/>
  <c r="K40" i="28"/>
  <c r="B41" i="28"/>
  <c r="D41" i="28"/>
  <c r="E41" i="28"/>
  <c r="F41" i="28"/>
  <c r="G41" i="28"/>
  <c r="H41" i="28"/>
  <c r="K41" i="28"/>
  <c r="B42" i="28"/>
  <c r="D42" i="28"/>
  <c r="E42" i="28"/>
  <c r="F42" i="28"/>
  <c r="G42" i="28"/>
  <c r="H42" i="28"/>
  <c r="K42" i="28"/>
  <c r="B43" i="28"/>
  <c r="D43" i="28"/>
  <c r="E43" i="28"/>
  <c r="F43" i="28"/>
  <c r="G43" i="28"/>
  <c r="H43" i="28"/>
  <c r="K43" i="28"/>
  <c r="B44" i="28"/>
  <c r="D44" i="28"/>
  <c r="E44" i="28"/>
  <c r="F44" i="28"/>
  <c r="G44" i="28"/>
  <c r="H44" i="28"/>
  <c r="K44" i="28"/>
  <c r="B45" i="28"/>
  <c r="D45" i="28"/>
  <c r="E45" i="28"/>
  <c r="F45" i="28"/>
  <c r="G45" i="28"/>
  <c r="H45" i="28"/>
  <c r="K45" i="28"/>
  <c r="B46" i="28"/>
  <c r="D46" i="28"/>
  <c r="E46" i="28"/>
  <c r="F46" i="28"/>
  <c r="G46" i="28"/>
  <c r="H46" i="28"/>
  <c r="K46" i="28"/>
  <c r="B47" i="28"/>
  <c r="D47" i="28"/>
  <c r="E47" i="28"/>
  <c r="F47" i="28"/>
  <c r="G47" i="28"/>
  <c r="H47" i="28"/>
  <c r="K47" i="28"/>
  <c r="B48" i="28"/>
  <c r="D48" i="28"/>
  <c r="E48" i="28"/>
  <c r="F48" i="28"/>
  <c r="G48" i="28"/>
  <c r="H48" i="28"/>
  <c r="K48" i="28"/>
  <c r="B49" i="28"/>
  <c r="D49" i="28"/>
  <c r="E49" i="28"/>
  <c r="F49" i="28"/>
  <c r="G49" i="28"/>
  <c r="H49" i="28"/>
  <c r="K49" i="28"/>
  <c r="B50" i="28"/>
  <c r="D50" i="28"/>
  <c r="E50" i="28"/>
  <c r="F50" i="28"/>
  <c r="G50" i="28"/>
  <c r="H50" i="28"/>
  <c r="K50" i="28"/>
  <c r="B51" i="28"/>
  <c r="D51" i="28"/>
  <c r="E51" i="28"/>
  <c r="F51" i="28"/>
  <c r="G51" i="28"/>
  <c r="H51" i="28"/>
  <c r="K51" i="28"/>
  <c r="B52" i="28"/>
  <c r="D52" i="28"/>
  <c r="E52" i="28"/>
  <c r="F52" i="28"/>
  <c r="G52" i="28"/>
  <c r="H52" i="28"/>
  <c r="K52" i="28"/>
  <c r="B53" i="28"/>
  <c r="D53" i="28"/>
  <c r="E53" i="28"/>
  <c r="F53" i="28"/>
  <c r="G53" i="28"/>
  <c r="H53" i="28"/>
  <c r="K53" i="28"/>
  <c r="B54" i="28"/>
  <c r="D54" i="28"/>
  <c r="E54" i="28"/>
  <c r="F54" i="28"/>
  <c r="G54" i="28"/>
  <c r="H54" i="28"/>
  <c r="K54" i="28"/>
  <c r="B55" i="28"/>
  <c r="D55" i="28"/>
  <c r="E55" i="28"/>
  <c r="F55" i="28"/>
  <c r="G55" i="28"/>
  <c r="H55" i="28"/>
  <c r="K55" i="28"/>
  <c r="B56" i="28"/>
  <c r="D56" i="28"/>
  <c r="E56" i="28"/>
  <c r="F56" i="28"/>
  <c r="G56" i="28"/>
  <c r="H56" i="28"/>
  <c r="K56" i="28"/>
  <c r="B57" i="28"/>
  <c r="D57" i="28"/>
  <c r="E57" i="28"/>
  <c r="F57" i="28"/>
  <c r="G57" i="28"/>
  <c r="H57" i="28"/>
  <c r="K57" i="28"/>
  <c r="B58" i="28"/>
  <c r="D58" i="28"/>
  <c r="E58" i="28"/>
  <c r="F58" i="28"/>
  <c r="G58" i="28"/>
  <c r="H58" i="28"/>
  <c r="K58" i="28"/>
  <c r="B59" i="28"/>
  <c r="D59" i="28"/>
  <c r="E59" i="28"/>
  <c r="F59" i="28"/>
  <c r="G59" i="28"/>
  <c r="H59" i="28"/>
  <c r="K59" i="28"/>
  <c r="B60" i="28"/>
  <c r="D60" i="28"/>
  <c r="E60" i="28"/>
  <c r="F60" i="28"/>
  <c r="G60" i="28"/>
  <c r="H60" i="28"/>
  <c r="K60" i="28"/>
  <c r="B61" i="28"/>
  <c r="D61" i="28"/>
  <c r="E61" i="28"/>
  <c r="F61" i="28"/>
  <c r="G61" i="28"/>
  <c r="H61" i="28"/>
  <c r="K61" i="28"/>
  <c r="B62" i="28"/>
  <c r="D62" i="28"/>
  <c r="E62" i="28"/>
  <c r="F62" i="28"/>
  <c r="G62" i="28"/>
  <c r="H62" i="28"/>
  <c r="K62" i="28"/>
  <c r="B63" i="28"/>
  <c r="D63" i="28"/>
  <c r="E63" i="28"/>
  <c r="F63" i="28"/>
  <c r="G63" i="28"/>
  <c r="H63" i="28"/>
  <c r="K63" i="28"/>
  <c r="B64" i="28"/>
  <c r="D64" i="28"/>
  <c r="E64" i="28"/>
  <c r="F64" i="28"/>
  <c r="G64" i="28"/>
  <c r="H64" i="28"/>
  <c r="K64" i="28"/>
  <c r="B65" i="28"/>
  <c r="D65" i="28"/>
  <c r="E65" i="28"/>
  <c r="F65" i="28"/>
  <c r="G65" i="28"/>
  <c r="H65" i="28"/>
  <c r="K65" i="28"/>
  <c r="B66" i="28"/>
  <c r="D66" i="28"/>
  <c r="E66" i="28"/>
  <c r="F66" i="28"/>
  <c r="G66" i="28"/>
  <c r="H66" i="28"/>
  <c r="K66" i="28"/>
  <c r="B67" i="28"/>
  <c r="D67" i="28"/>
  <c r="E67" i="28"/>
  <c r="F67" i="28"/>
  <c r="G67" i="28"/>
  <c r="H67" i="28"/>
  <c r="K67" i="28"/>
  <c r="B68" i="28"/>
  <c r="D68" i="28"/>
  <c r="E68" i="28"/>
  <c r="F68" i="28"/>
  <c r="G68" i="28"/>
  <c r="H68" i="28"/>
  <c r="K68" i="28"/>
  <c r="B69" i="28"/>
  <c r="D69" i="28"/>
  <c r="E69" i="28"/>
  <c r="F69" i="28"/>
  <c r="G69" i="28"/>
  <c r="H69" i="28"/>
  <c r="K69" i="28"/>
  <c r="B70" i="28"/>
  <c r="D70" i="28"/>
  <c r="E70" i="28"/>
  <c r="F70" i="28"/>
  <c r="G70" i="28"/>
  <c r="H70" i="28"/>
  <c r="K70" i="28"/>
  <c r="B71" i="28"/>
  <c r="D71" i="28"/>
  <c r="E71" i="28"/>
  <c r="F71" i="28"/>
  <c r="G71" i="28"/>
  <c r="H71" i="28"/>
  <c r="K71" i="28"/>
  <c r="B72" i="28"/>
  <c r="D72" i="28"/>
  <c r="E72" i="28"/>
  <c r="F72" i="28"/>
  <c r="G72" i="28"/>
  <c r="H72" i="28"/>
  <c r="K72" i="28"/>
  <c r="B73" i="28"/>
  <c r="D73" i="28"/>
  <c r="E73" i="28"/>
  <c r="F73" i="28"/>
  <c r="G73" i="28"/>
  <c r="H73" i="28"/>
  <c r="K73" i="28"/>
  <c r="B74" i="28"/>
  <c r="D74" i="28"/>
  <c r="E74" i="28"/>
  <c r="F74" i="28"/>
  <c r="G74" i="28"/>
  <c r="H74" i="28"/>
  <c r="K74" i="28"/>
  <c r="B75" i="28"/>
  <c r="D75" i="28"/>
  <c r="E75" i="28"/>
  <c r="F75" i="28"/>
  <c r="G75" i="28"/>
  <c r="H75" i="28"/>
  <c r="K75" i="28"/>
  <c r="B76" i="28"/>
  <c r="D76" i="28"/>
  <c r="E76" i="28"/>
  <c r="F76" i="28"/>
  <c r="G76" i="28"/>
  <c r="H76" i="28"/>
  <c r="K76" i="28"/>
  <c r="B77" i="28"/>
  <c r="D77" i="28"/>
  <c r="E77" i="28"/>
  <c r="F77" i="28"/>
  <c r="G77" i="28"/>
  <c r="H77" i="28"/>
  <c r="K77" i="28"/>
  <c r="B78" i="28"/>
  <c r="D78" i="28"/>
  <c r="E78" i="28"/>
  <c r="F78" i="28"/>
  <c r="G78" i="28"/>
  <c r="H78" i="28"/>
  <c r="K78" i="28"/>
  <c r="B79" i="28"/>
  <c r="D79" i="28"/>
  <c r="E79" i="28"/>
  <c r="F79" i="28"/>
  <c r="G79" i="28"/>
  <c r="H79" i="28"/>
  <c r="K79" i="28"/>
  <c r="B80" i="28"/>
  <c r="D80" i="28"/>
  <c r="E80" i="28"/>
  <c r="F80" i="28"/>
  <c r="G80" i="28"/>
  <c r="H80" i="28"/>
  <c r="K80" i="28"/>
  <c r="B81" i="28"/>
  <c r="D81" i="28"/>
  <c r="E81" i="28"/>
  <c r="F81" i="28"/>
  <c r="G81" i="28"/>
  <c r="H81" i="28"/>
  <c r="K81" i="28"/>
  <c r="B82" i="28"/>
  <c r="D82" i="28"/>
  <c r="E82" i="28"/>
  <c r="F82" i="28"/>
  <c r="G82" i="28"/>
  <c r="H82" i="28"/>
  <c r="K82" i="28"/>
  <c r="B83" i="28"/>
  <c r="D83" i="28"/>
  <c r="E83" i="28"/>
  <c r="F83" i="28"/>
  <c r="G83" i="28"/>
  <c r="H83" i="28"/>
  <c r="K83" i="28"/>
  <c r="B84" i="28"/>
  <c r="D84" i="28"/>
  <c r="E84" i="28"/>
  <c r="F84" i="28"/>
  <c r="G84" i="28"/>
  <c r="H84" i="28"/>
  <c r="K84" i="28"/>
  <c r="B85" i="28"/>
  <c r="D85" i="28"/>
  <c r="E85" i="28"/>
  <c r="F85" i="28"/>
  <c r="G85" i="28"/>
  <c r="H85" i="28"/>
  <c r="K85" i="28"/>
  <c r="B86" i="28"/>
  <c r="D86" i="28"/>
  <c r="E86" i="28"/>
  <c r="F86" i="28"/>
  <c r="G86" i="28"/>
  <c r="H86" i="28"/>
  <c r="K86" i="28"/>
  <c r="B87" i="28"/>
  <c r="D87" i="28"/>
  <c r="E87" i="28"/>
  <c r="F87" i="28"/>
  <c r="G87" i="28"/>
  <c r="H87" i="28"/>
  <c r="K87" i="28"/>
  <c r="B88" i="28"/>
  <c r="D88" i="28"/>
  <c r="E88" i="28"/>
  <c r="F88" i="28"/>
  <c r="G88" i="28"/>
  <c r="H88" i="28"/>
  <c r="K88" i="28"/>
  <c r="B89" i="28"/>
  <c r="D89" i="28"/>
  <c r="E89" i="28"/>
  <c r="F89" i="28"/>
  <c r="G89" i="28"/>
  <c r="H89" i="28"/>
  <c r="K89" i="28"/>
  <c r="B90" i="28"/>
  <c r="D90" i="28"/>
  <c r="E90" i="28"/>
  <c r="F90" i="28"/>
  <c r="G90" i="28"/>
  <c r="H90" i="28"/>
  <c r="K90" i="28"/>
  <c r="B91" i="28"/>
  <c r="D91" i="28"/>
  <c r="E91" i="28"/>
  <c r="F91" i="28"/>
  <c r="G91" i="28"/>
  <c r="H91" i="28"/>
  <c r="K91" i="28"/>
  <c r="B92" i="28"/>
  <c r="D92" i="28"/>
  <c r="E92" i="28"/>
  <c r="F92" i="28"/>
  <c r="G92" i="28"/>
  <c r="H92" i="28"/>
  <c r="K92" i="28"/>
  <c r="B93" i="28"/>
  <c r="D93" i="28"/>
  <c r="E93" i="28"/>
  <c r="F93" i="28"/>
  <c r="G93" i="28"/>
  <c r="H93" i="28"/>
  <c r="K93" i="28"/>
  <c r="B94" i="28"/>
  <c r="D94" i="28"/>
  <c r="E94" i="28"/>
  <c r="F94" i="28"/>
  <c r="G94" i="28"/>
  <c r="H94" i="28"/>
  <c r="K94" i="28"/>
  <c r="B95" i="28"/>
  <c r="D95" i="28"/>
  <c r="E95" i="28"/>
  <c r="F95" i="28"/>
  <c r="G95" i="28"/>
  <c r="H95" i="28"/>
  <c r="K95" i="28"/>
  <c r="B96" i="28"/>
  <c r="D96" i="28"/>
  <c r="E96" i="28"/>
  <c r="F96" i="28"/>
  <c r="G96" i="28"/>
  <c r="H96" i="28"/>
  <c r="K96" i="28"/>
  <c r="B97" i="28"/>
  <c r="D97" i="28"/>
  <c r="E97" i="28"/>
  <c r="F97" i="28"/>
  <c r="G97" i="28"/>
  <c r="H97" i="28"/>
  <c r="K97" i="28"/>
  <c r="B98" i="28"/>
  <c r="D98" i="28"/>
  <c r="E98" i="28"/>
  <c r="F98" i="28"/>
  <c r="G98" i="28"/>
  <c r="H98" i="28"/>
  <c r="K98" i="28"/>
  <c r="B99" i="28"/>
  <c r="D99" i="28"/>
  <c r="E99" i="28"/>
  <c r="F99" i="28"/>
  <c r="G99" i="28"/>
  <c r="H99" i="28"/>
  <c r="K99" i="28"/>
  <c r="B100" i="28"/>
  <c r="D100" i="28"/>
  <c r="E100" i="28"/>
  <c r="F100" i="28"/>
  <c r="G100" i="28"/>
  <c r="H100" i="28"/>
  <c r="K100" i="28"/>
  <c r="B101" i="28"/>
  <c r="D101" i="28"/>
  <c r="E101" i="28"/>
  <c r="F101" i="28"/>
  <c r="G101" i="28"/>
  <c r="H101" i="28"/>
  <c r="K101" i="28"/>
  <c r="B102" i="28"/>
  <c r="D102" i="28"/>
  <c r="E102" i="28"/>
  <c r="F102" i="28"/>
  <c r="G102" i="28"/>
  <c r="H102" i="28"/>
  <c r="K102" i="28"/>
  <c r="B103" i="28"/>
  <c r="D103" i="28"/>
  <c r="E103" i="28"/>
  <c r="F103" i="28"/>
  <c r="G103" i="28"/>
  <c r="H103" i="28"/>
  <c r="K103" i="28"/>
  <c r="B104" i="28"/>
  <c r="D104" i="28"/>
  <c r="E104" i="28"/>
  <c r="F104" i="28"/>
  <c r="G104" i="28"/>
  <c r="H104" i="28"/>
  <c r="K104" i="28"/>
  <c r="B105" i="28"/>
  <c r="D105" i="28"/>
  <c r="E105" i="28"/>
  <c r="F105" i="28"/>
  <c r="G105" i="28"/>
  <c r="H105" i="28"/>
  <c r="K105" i="28"/>
  <c r="B106" i="28"/>
  <c r="D106" i="28"/>
  <c r="E106" i="28"/>
  <c r="F106" i="28"/>
  <c r="G106" i="28"/>
  <c r="H106" i="28"/>
  <c r="K106" i="28"/>
  <c r="B107" i="28"/>
  <c r="D107" i="28"/>
  <c r="E107" i="28"/>
  <c r="F107" i="28"/>
  <c r="G107" i="28"/>
  <c r="H107" i="28"/>
  <c r="K107" i="28"/>
  <c r="B108" i="28"/>
  <c r="D108" i="28"/>
  <c r="E108" i="28"/>
  <c r="F108" i="28"/>
  <c r="G108" i="28"/>
  <c r="H108" i="28"/>
  <c r="K108" i="28"/>
  <c r="B109" i="28"/>
  <c r="D109" i="28"/>
  <c r="E109" i="28"/>
  <c r="F109" i="28"/>
  <c r="G109" i="28"/>
  <c r="H109" i="28"/>
  <c r="K109" i="28"/>
  <c r="B110" i="28"/>
  <c r="D110" i="28"/>
  <c r="E110" i="28"/>
  <c r="F110" i="28"/>
  <c r="G110" i="28"/>
  <c r="H110" i="28"/>
  <c r="K110" i="28"/>
  <c r="B111" i="28"/>
  <c r="D111" i="28"/>
  <c r="E111" i="28"/>
  <c r="F111" i="28"/>
  <c r="G111" i="28"/>
  <c r="H111" i="28"/>
  <c r="K111" i="28"/>
  <c r="B112" i="28"/>
  <c r="D112" i="28"/>
  <c r="E112" i="28"/>
  <c r="F112" i="28"/>
  <c r="G112" i="28"/>
  <c r="H112" i="28"/>
  <c r="K112" i="28"/>
  <c r="B113" i="28"/>
  <c r="D113" i="28"/>
  <c r="E113" i="28"/>
  <c r="F113" i="28"/>
  <c r="G113" i="28"/>
  <c r="H113" i="28"/>
  <c r="K113" i="28"/>
  <c r="B114" i="28"/>
  <c r="D114" i="28"/>
  <c r="E114" i="28"/>
  <c r="F114" i="28"/>
  <c r="G114" i="28"/>
  <c r="H114" i="28"/>
  <c r="K114" i="28"/>
  <c r="B115" i="28"/>
  <c r="D115" i="28"/>
  <c r="E115" i="28"/>
  <c r="F115" i="28"/>
  <c r="G115" i="28"/>
  <c r="H115" i="28"/>
  <c r="K115" i="28"/>
  <c r="B116" i="28"/>
  <c r="D116" i="28"/>
  <c r="E116" i="28"/>
  <c r="F116" i="28"/>
  <c r="G116" i="28"/>
  <c r="H116" i="28"/>
  <c r="K116" i="28"/>
  <c r="B117" i="28"/>
  <c r="D117" i="28"/>
  <c r="E117" i="28"/>
  <c r="F117" i="28"/>
  <c r="G117" i="28"/>
  <c r="H117" i="28"/>
  <c r="K117" i="28"/>
  <c r="B118" i="28"/>
  <c r="D118" i="28"/>
  <c r="E118" i="28"/>
  <c r="F118" i="28"/>
  <c r="G118" i="28"/>
  <c r="H118" i="28"/>
  <c r="K118" i="28"/>
  <c r="B119" i="28"/>
  <c r="D119" i="28"/>
  <c r="E119" i="28"/>
  <c r="F119" i="28"/>
  <c r="G119" i="28"/>
  <c r="H119" i="28"/>
  <c r="K119" i="28"/>
  <c r="B120" i="28"/>
  <c r="D120" i="28"/>
  <c r="E120" i="28"/>
  <c r="F120" i="28"/>
  <c r="G120" i="28"/>
  <c r="H120" i="28"/>
  <c r="K120" i="28"/>
  <c r="B121" i="28"/>
  <c r="D121" i="28"/>
  <c r="E121" i="28"/>
  <c r="F121" i="28"/>
  <c r="G121" i="28"/>
  <c r="H121" i="28"/>
  <c r="K121" i="28"/>
  <c r="B122" i="28"/>
  <c r="D122" i="28"/>
  <c r="E122" i="28"/>
  <c r="F122" i="28"/>
  <c r="G122" i="28"/>
  <c r="H122" i="28"/>
  <c r="K122" i="28"/>
  <c r="B123" i="28"/>
  <c r="D123" i="28"/>
  <c r="E123" i="28"/>
  <c r="F123" i="28"/>
  <c r="G123" i="28"/>
  <c r="H123" i="28"/>
  <c r="K123" i="28"/>
  <c r="B124" i="28"/>
  <c r="D124" i="28"/>
  <c r="E124" i="28"/>
  <c r="F124" i="28"/>
  <c r="G124" i="28"/>
  <c r="H124" i="28"/>
  <c r="K124" i="28"/>
  <c r="B125" i="28"/>
  <c r="D125" i="28"/>
  <c r="E125" i="28"/>
  <c r="F125" i="28"/>
  <c r="G125" i="28"/>
  <c r="H125" i="28"/>
  <c r="K125" i="28"/>
  <c r="B126" i="28"/>
  <c r="D126" i="28"/>
  <c r="E126" i="28"/>
  <c r="F126" i="28"/>
  <c r="G126" i="28"/>
  <c r="H126" i="28"/>
  <c r="K126" i="28"/>
  <c r="B127" i="28"/>
  <c r="D127" i="28"/>
  <c r="E127" i="28"/>
  <c r="F127" i="28"/>
  <c r="G127" i="28"/>
  <c r="H127" i="28"/>
  <c r="K127" i="28"/>
  <c r="B128" i="28"/>
  <c r="D128" i="28"/>
  <c r="E128" i="28"/>
  <c r="F128" i="28"/>
  <c r="G128" i="28"/>
  <c r="H128" i="28"/>
  <c r="K128" i="28"/>
  <c r="B129" i="28"/>
  <c r="D129" i="28"/>
  <c r="E129" i="28"/>
  <c r="F129" i="28"/>
  <c r="G129" i="28"/>
  <c r="H129" i="28"/>
  <c r="K129" i="28"/>
  <c r="B130" i="28"/>
  <c r="D130" i="28"/>
  <c r="E130" i="28"/>
  <c r="F130" i="28"/>
  <c r="G130" i="28"/>
  <c r="H130" i="28"/>
  <c r="K130" i="28"/>
  <c r="B131" i="28"/>
  <c r="D131" i="28"/>
  <c r="E131" i="28"/>
  <c r="F131" i="28"/>
  <c r="G131" i="28"/>
  <c r="H131" i="28"/>
  <c r="K131" i="28"/>
  <c r="B132" i="28"/>
  <c r="D132" i="28"/>
  <c r="E132" i="28"/>
  <c r="F132" i="28"/>
  <c r="G132" i="28"/>
  <c r="H132" i="28"/>
  <c r="K132" i="28"/>
  <c r="B133" i="28"/>
  <c r="D133" i="28"/>
  <c r="E133" i="28"/>
  <c r="F133" i="28"/>
  <c r="G133" i="28"/>
  <c r="H133" i="28"/>
  <c r="K133" i="28"/>
  <c r="B134" i="28"/>
  <c r="D134" i="28"/>
  <c r="E134" i="28"/>
  <c r="F134" i="28"/>
  <c r="G134" i="28"/>
  <c r="H134" i="28"/>
  <c r="K134" i="28"/>
  <c r="B135" i="28"/>
  <c r="D135" i="28"/>
  <c r="E135" i="28"/>
  <c r="F135" i="28"/>
  <c r="G135" i="28"/>
  <c r="H135" i="28"/>
  <c r="K135" i="28"/>
  <c r="B136" i="28"/>
  <c r="D136" i="28"/>
  <c r="E136" i="28"/>
  <c r="F136" i="28"/>
  <c r="G136" i="28"/>
  <c r="H136" i="28"/>
  <c r="K136" i="28"/>
  <c r="B137" i="28"/>
  <c r="D137" i="28"/>
  <c r="E137" i="28"/>
  <c r="F137" i="28"/>
  <c r="G137" i="28"/>
  <c r="H137" i="28"/>
  <c r="K137" i="28"/>
  <c r="B138" i="28"/>
  <c r="D138" i="28"/>
  <c r="E138" i="28"/>
  <c r="F138" i="28"/>
  <c r="G138" i="28"/>
  <c r="H138" i="28"/>
  <c r="K138" i="28"/>
  <c r="B139" i="28"/>
  <c r="D139" i="28"/>
  <c r="E139" i="28"/>
  <c r="F139" i="28"/>
  <c r="G139" i="28"/>
  <c r="H139" i="28"/>
  <c r="K139" i="28"/>
  <c r="B140" i="28"/>
  <c r="D140" i="28"/>
  <c r="E140" i="28"/>
  <c r="F140" i="28"/>
  <c r="G140" i="28"/>
  <c r="H140" i="28"/>
  <c r="K140" i="28"/>
  <c r="B141" i="28"/>
  <c r="D141" i="28"/>
  <c r="E141" i="28"/>
  <c r="F141" i="28"/>
  <c r="G141" i="28"/>
  <c r="H141" i="28"/>
  <c r="K141" i="28"/>
  <c r="B142" i="28"/>
  <c r="D142" i="28"/>
  <c r="E142" i="28"/>
  <c r="F142" i="28"/>
  <c r="G142" i="28"/>
  <c r="H142" i="28"/>
  <c r="K142" i="28"/>
  <c r="B143" i="28"/>
  <c r="D143" i="28"/>
  <c r="E143" i="28"/>
  <c r="F143" i="28"/>
  <c r="G143" i="28"/>
  <c r="H143" i="28"/>
  <c r="K143" i="28"/>
  <c r="B144" i="28"/>
  <c r="D144" i="28"/>
  <c r="E144" i="28"/>
  <c r="F144" i="28"/>
  <c r="G144" i="28"/>
  <c r="H144" i="28"/>
  <c r="K144" i="28"/>
  <c r="B145" i="28"/>
  <c r="D145" i="28"/>
  <c r="E145" i="28"/>
  <c r="F145" i="28"/>
  <c r="G145" i="28"/>
  <c r="H145" i="28"/>
  <c r="K145" i="28"/>
  <c r="B146" i="28"/>
  <c r="D146" i="28"/>
  <c r="E146" i="28"/>
  <c r="F146" i="28"/>
  <c r="G146" i="28"/>
  <c r="H146" i="28"/>
  <c r="K146" i="28"/>
  <c r="B147" i="28"/>
  <c r="D147" i="28"/>
  <c r="E147" i="28"/>
  <c r="F147" i="28"/>
  <c r="G147" i="28"/>
  <c r="H147" i="28"/>
  <c r="K147" i="28"/>
  <c r="B148" i="28"/>
  <c r="D148" i="28"/>
  <c r="E148" i="28"/>
  <c r="F148" i="28"/>
  <c r="G148" i="28"/>
  <c r="H148" i="28"/>
  <c r="K148" i="28"/>
  <c r="B149" i="28"/>
  <c r="D149" i="28"/>
  <c r="E149" i="28"/>
  <c r="F149" i="28"/>
  <c r="G149" i="28"/>
  <c r="H149" i="28"/>
  <c r="K149" i="28"/>
  <c r="B150" i="28"/>
  <c r="D150" i="28"/>
  <c r="E150" i="28"/>
  <c r="F150" i="28"/>
  <c r="G150" i="28"/>
  <c r="H150" i="28"/>
  <c r="K150" i="28"/>
  <c r="B151" i="28"/>
  <c r="D151" i="28"/>
  <c r="E151" i="28"/>
  <c r="F151" i="28"/>
  <c r="G151" i="28"/>
  <c r="H151" i="28"/>
  <c r="K151" i="28"/>
  <c r="B152" i="28"/>
  <c r="D152" i="28"/>
  <c r="E152" i="28"/>
  <c r="F152" i="28"/>
  <c r="G152" i="28"/>
  <c r="H152" i="28"/>
  <c r="K152" i="28"/>
  <c r="B153" i="28"/>
  <c r="D153" i="28"/>
  <c r="E153" i="28"/>
  <c r="F153" i="28"/>
  <c r="G153" i="28"/>
  <c r="H153" i="28"/>
  <c r="K153" i="28"/>
  <c r="B154" i="28"/>
  <c r="D154" i="28"/>
  <c r="E154" i="28"/>
  <c r="F154" i="28"/>
  <c r="G154" i="28"/>
  <c r="H154" i="28"/>
  <c r="K154" i="28"/>
  <c r="B155" i="28"/>
  <c r="D155" i="28"/>
  <c r="E155" i="28"/>
  <c r="F155" i="28"/>
  <c r="G155" i="28"/>
  <c r="H155" i="28"/>
  <c r="K155" i="28"/>
  <c r="B156" i="28"/>
  <c r="D156" i="28"/>
  <c r="E156" i="28"/>
  <c r="F156" i="28"/>
  <c r="G156" i="28"/>
  <c r="H156" i="28"/>
  <c r="K156" i="28"/>
  <c r="B157" i="28"/>
  <c r="D157" i="28"/>
  <c r="E157" i="28"/>
  <c r="F157" i="28"/>
  <c r="G157" i="28"/>
  <c r="H157" i="28"/>
  <c r="K157" i="28"/>
  <c r="B158" i="28"/>
  <c r="D158" i="28"/>
  <c r="E158" i="28"/>
  <c r="F158" i="28"/>
  <c r="G158" i="28"/>
  <c r="H158" i="28"/>
  <c r="K158" i="28"/>
  <c r="B159" i="28"/>
  <c r="D159" i="28"/>
  <c r="E159" i="28"/>
  <c r="F159" i="28"/>
  <c r="G159" i="28"/>
  <c r="H159" i="28"/>
  <c r="K159" i="28"/>
  <c r="B160" i="28"/>
  <c r="D160" i="28"/>
  <c r="E160" i="28"/>
  <c r="F160" i="28"/>
  <c r="G160" i="28"/>
  <c r="H160" i="28"/>
  <c r="K160" i="28"/>
  <c r="B161" i="28"/>
  <c r="D161" i="28"/>
  <c r="E161" i="28"/>
  <c r="F161" i="28"/>
  <c r="G161" i="28"/>
  <c r="H161" i="28"/>
  <c r="K161" i="28"/>
  <c r="B162" i="28"/>
  <c r="D162" i="28"/>
  <c r="E162" i="28"/>
  <c r="F162" i="28"/>
  <c r="G162" i="28"/>
  <c r="H162" i="28"/>
  <c r="K162" i="28"/>
  <c r="B163" i="28"/>
  <c r="D163" i="28"/>
  <c r="E163" i="28"/>
  <c r="F163" i="28"/>
  <c r="G163" i="28"/>
  <c r="H163" i="28"/>
  <c r="K163" i="28"/>
  <c r="B164" i="28"/>
  <c r="D164" i="28"/>
  <c r="E164" i="28"/>
  <c r="F164" i="28"/>
  <c r="G164" i="28"/>
  <c r="H164" i="28"/>
  <c r="K164" i="28"/>
  <c r="B165" i="28"/>
  <c r="D165" i="28"/>
  <c r="E165" i="28"/>
  <c r="F165" i="28"/>
  <c r="G165" i="28"/>
  <c r="H165" i="28"/>
  <c r="K165" i="28"/>
  <c r="B166" i="28"/>
  <c r="D166" i="28"/>
  <c r="E166" i="28"/>
  <c r="F166" i="28"/>
  <c r="G166" i="28"/>
  <c r="H166" i="28"/>
  <c r="K166" i="28"/>
  <c r="B167" i="28"/>
  <c r="D167" i="28"/>
  <c r="E167" i="28"/>
  <c r="F167" i="28"/>
  <c r="G167" i="28"/>
  <c r="H167" i="28"/>
  <c r="K167" i="28"/>
  <c r="B168" i="28"/>
  <c r="D168" i="28"/>
  <c r="E168" i="28"/>
  <c r="F168" i="28"/>
  <c r="G168" i="28"/>
  <c r="H168" i="28"/>
  <c r="K168" i="28"/>
  <c r="B169" i="28"/>
  <c r="D169" i="28"/>
  <c r="E169" i="28"/>
  <c r="F169" i="28"/>
  <c r="G169" i="28"/>
  <c r="H169" i="28"/>
  <c r="K169" i="28"/>
  <c r="B170" i="28"/>
  <c r="D170" i="28"/>
  <c r="E170" i="28"/>
  <c r="F170" i="28"/>
  <c r="G170" i="28"/>
  <c r="H170" i="28"/>
  <c r="K170" i="28"/>
  <c r="B171" i="28"/>
  <c r="D171" i="28"/>
  <c r="E171" i="28"/>
  <c r="F171" i="28"/>
  <c r="G171" i="28"/>
  <c r="H171" i="28"/>
  <c r="K171" i="28"/>
  <c r="B172" i="28"/>
  <c r="D172" i="28"/>
  <c r="E172" i="28"/>
  <c r="F172" i="28"/>
  <c r="G172" i="28"/>
  <c r="H172" i="28"/>
  <c r="K172" i="28"/>
  <c r="B173" i="28"/>
  <c r="D173" i="28"/>
  <c r="E173" i="28"/>
  <c r="F173" i="28"/>
  <c r="G173" i="28"/>
  <c r="H173" i="28"/>
  <c r="K173" i="28"/>
  <c r="B174" i="28"/>
  <c r="D174" i="28"/>
  <c r="E174" i="28"/>
  <c r="F174" i="28"/>
  <c r="G174" i="28"/>
  <c r="H174" i="28"/>
  <c r="K174" i="28"/>
  <c r="B175" i="28"/>
  <c r="D175" i="28"/>
  <c r="E175" i="28"/>
  <c r="F175" i="28"/>
  <c r="G175" i="28"/>
  <c r="H175" i="28"/>
  <c r="K175" i="28"/>
  <c r="B176" i="28"/>
  <c r="D176" i="28"/>
  <c r="E176" i="28"/>
  <c r="F176" i="28"/>
  <c r="G176" i="28"/>
  <c r="H176" i="28"/>
  <c r="K176" i="28"/>
  <c r="D177" i="28"/>
  <c r="E177" i="28"/>
  <c r="F177" i="28"/>
  <c r="G177" i="28"/>
  <c r="K177" i="28"/>
  <c r="B178" i="28"/>
  <c r="D178" i="28"/>
  <c r="E178" i="28"/>
  <c r="F178" i="28"/>
  <c r="G178" i="28"/>
  <c r="K178" i="28"/>
  <c r="B179" i="28"/>
  <c r="D179" i="28"/>
  <c r="E179" i="28"/>
  <c r="F179" i="28"/>
  <c r="G179" i="28"/>
  <c r="K179" i="28"/>
  <c r="B180" i="28"/>
  <c r="D180" i="28"/>
  <c r="E180" i="28"/>
  <c r="F180" i="28"/>
  <c r="G180" i="28"/>
  <c r="K180" i="28"/>
  <c r="B181" i="28"/>
  <c r="D181" i="28"/>
  <c r="E181" i="28"/>
  <c r="F181" i="28"/>
  <c r="G181" i="28"/>
  <c r="K181" i="28"/>
  <c r="B182" i="28"/>
  <c r="D182" i="28"/>
  <c r="E182" i="28"/>
  <c r="F182" i="28"/>
  <c r="G182" i="28"/>
  <c r="K182" i="28"/>
  <c r="B183" i="28"/>
  <c r="D183" i="28"/>
  <c r="E183" i="28"/>
  <c r="F183" i="28"/>
  <c r="G183" i="28"/>
  <c r="K183" i="28"/>
  <c r="B184" i="28"/>
  <c r="D184" i="28"/>
  <c r="E184" i="28"/>
  <c r="F184" i="28"/>
  <c r="G184" i="28"/>
  <c r="K184" i="28"/>
  <c r="B185" i="28"/>
  <c r="D185" i="28"/>
  <c r="E185" i="28"/>
  <c r="F185" i="28"/>
  <c r="G185" i="28"/>
  <c r="K185" i="28"/>
  <c r="B186" i="28"/>
  <c r="D186" i="28"/>
  <c r="E186" i="28"/>
  <c r="F186" i="28"/>
  <c r="G186" i="28"/>
  <c r="K186" i="28"/>
  <c r="B187" i="28"/>
  <c r="D187" i="28"/>
  <c r="E187" i="28"/>
  <c r="F187" i="28"/>
  <c r="G187" i="28"/>
  <c r="K187" i="28"/>
  <c r="B188" i="28"/>
  <c r="D188" i="28"/>
  <c r="E188" i="28"/>
  <c r="F188" i="28"/>
  <c r="G188" i="28"/>
  <c r="K188" i="28"/>
  <c r="B189" i="28"/>
  <c r="D189" i="28"/>
  <c r="E189" i="28"/>
  <c r="F189" i="28"/>
  <c r="G189" i="28"/>
  <c r="K189" i="28"/>
  <c r="B190" i="28"/>
  <c r="D190" i="28"/>
  <c r="E190" i="28"/>
  <c r="F190" i="28"/>
  <c r="G190" i="28"/>
  <c r="K190" i="28"/>
  <c r="B191" i="28"/>
  <c r="D191" i="28"/>
  <c r="E191" i="28"/>
  <c r="F191" i="28"/>
  <c r="G191" i="28"/>
  <c r="K191" i="28"/>
  <c r="B192" i="28"/>
  <c r="D192" i="28"/>
  <c r="E192" i="28"/>
  <c r="F192" i="28"/>
  <c r="G192" i="28"/>
  <c r="K192" i="28"/>
  <c r="B193" i="28"/>
  <c r="D193" i="28"/>
  <c r="E193" i="28"/>
  <c r="F193" i="28"/>
  <c r="G193" i="28"/>
  <c r="K193" i="28"/>
  <c r="B194" i="28"/>
  <c r="D194" i="28"/>
  <c r="E194" i="28"/>
  <c r="F194" i="28"/>
  <c r="G194" i="28"/>
  <c r="K194" i="28"/>
  <c r="B195" i="28"/>
  <c r="D195" i="28"/>
  <c r="E195" i="28"/>
  <c r="F195" i="28"/>
  <c r="G195" i="28"/>
  <c r="K195" i="28"/>
  <c r="B196" i="28"/>
  <c r="D196" i="28"/>
  <c r="E196" i="28"/>
  <c r="F196" i="28"/>
  <c r="G196" i="28"/>
  <c r="K196" i="28"/>
  <c r="B197" i="28"/>
  <c r="D197" i="28"/>
  <c r="E197" i="28"/>
  <c r="F197" i="28"/>
  <c r="G197" i="28"/>
  <c r="K197" i="28"/>
  <c r="B198" i="28"/>
  <c r="D198" i="28"/>
  <c r="E198" i="28"/>
  <c r="F198" i="28"/>
  <c r="G198" i="28"/>
  <c r="K198" i="28"/>
  <c r="B199" i="28"/>
  <c r="D199" i="28"/>
  <c r="E199" i="28"/>
  <c r="F199" i="28"/>
  <c r="G199" i="28"/>
  <c r="K199" i="28"/>
  <c r="B200" i="28"/>
  <c r="D200" i="28"/>
  <c r="E200" i="28"/>
  <c r="F200" i="28"/>
  <c r="G200" i="28"/>
  <c r="K200" i="28"/>
  <c r="B201" i="28"/>
  <c r="D201" i="28"/>
  <c r="E201" i="28"/>
  <c r="F201" i="28"/>
  <c r="G201" i="28"/>
  <c r="K201" i="28"/>
  <c r="B202" i="28"/>
  <c r="D202" i="28"/>
  <c r="E202" i="28"/>
  <c r="F202" i="28"/>
  <c r="G202" i="28"/>
  <c r="K202" i="28"/>
  <c r="B203" i="28"/>
  <c r="D203" i="28"/>
  <c r="E203" i="28"/>
  <c r="F203" i="28"/>
  <c r="G203" i="28"/>
  <c r="K203" i="28"/>
  <c r="B204" i="28"/>
  <c r="D204" i="28"/>
  <c r="E204" i="28"/>
  <c r="F204" i="28"/>
  <c r="G204" i="28"/>
  <c r="K204" i="28"/>
  <c r="B205" i="28"/>
  <c r="D205" i="28"/>
  <c r="E205" i="28"/>
  <c r="F205" i="28"/>
  <c r="G205" i="28"/>
  <c r="K205" i="28"/>
  <c r="B206" i="28"/>
  <c r="D206" i="28"/>
  <c r="E206" i="28"/>
  <c r="F206" i="28"/>
  <c r="G206" i="28"/>
  <c r="K206" i="28"/>
  <c r="B207" i="28"/>
  <c r="D207" i="28"/>
  <c r="E207" i="28"/>
  <c r="F207" i="28"/>
  <c r="G207" i="28"/>
  <c r="K207" i="28"/>
  <c r="B208" i="28"/>
  <c r="D208" i="28"/>
  <c r="E208" i="28"/>
  <c r="F208" i="28"/>
  <c r="G208" i="28"/>
  <c r="K208" i="28"/>
  <c r="B209" i="28"/>
  <c r="D209" i="28"/>
  <c r="E209" i="28"/>
  <c r="F209" i="28"/>
  <c r="G209" i="28"/>
  <c r="K209" i="28"/>
  <c r="B210" i="28"/>
  <c r="D210" i="28"/>
  <c r="E210" i="28"/>
  <c r="F210" i="28"/>
  <c r="G210" i="28"/>
  <c r="K210" i="28"/>
  <c r="B211" i="28"/>
  <c r="D211" i="28"/>
  <c r="E211" i="28"/>
  <c r="F211" i="28"/>
  <c r="G211" i="28"/>
  <c r="K211" i="28"/>
  <c r="B212" i="28"/>
  <c r="D212" i="28"/>
  <c r="E212" i="28"/>
  <c r="F212" i="28"/>
  <c r="G212" i="28"/>
  <c r="K212" i="28"/>
  <c r="B213" i="28"/>
  <c r="D213" i="28"/>
  <c r="E213" i="28"/>
  <c r="F213" i="28"/>
  <c r="G213" i="28"/>
  <c r="K213" i="28"/>
  <c r="B214" i="28"/>
  <c r="D214" i="28"/>
  <c r="E214" i="28"/>
  <c r="F214" i="28"/>
  <c r="G214" i="28"/>
  <c r="K214" i="28"/>
  <c r="B215" i="28"/>
  <c r="D215" i="28"/>
  <c r="E215" i="28"/>
  <c r="F215" i="28"/>
  <c r="G215" i="28"/>
  <c r="K215" i="28"/>
  <c r="B216" i="28"/>
  <c r="D216" i="28"/>
  <c r="E216" i="28"/>
  <c r="F216" i="28"/>
  <c r="G216" i="28"/>
  <c r="K216" i="28"/>
  <c r="B217" i="28"/>
  <c r="D217" i="28"/>
  <c r="E217" i="28"/>
  <c r="F217" i="28"/>
  <c r="G217" i="28"/>
  <c r="K217" i="28"/>
  <c r="B218" i="28"/>
  <c r="D218" i="28"/>
  <c r="E218" i="28"/>
  <c r="F218" i="28"/>
  <c r="G218" i="28"/>
  <c r="K218" i="28"/>
  <c r="B219" i="28"/>
  <c r="D219" i="28"/>
  <c r="E219" i="28"/>
  <c r="F219" i="28"/>
  <c r="G219" i="28"/>
  <c r="K219" i="28"/>
  <c r="B220" i="28"/>
  <c r="D220" i="28"/>
  <c r="E220" i="28"/>
  <c r="F220" i="28"/>
  <c r="G220" i="28"/>
  <c r="K220" i="28"/>
  <c r="B221" i="28"/>
  <c r="D221" i="28"/>
  <c r="E221" i="28"/>
  <c r="F221" i="28"/>
  <c r="G221" i="28"/>
  <c r="K221" i="28"/>
  <c r="B222" i="28"/>
  <c r="D222" i="28"/>
  <c r="E222" i="28"/>
  <c r="F222" i="28"/>
  <c r="G222" i="28"/>
  <c r="K222" i="28"/>
  <c r="B223" i="28"/>
  <c r="D223" i="28"/>
  <c r="E223" i="28"/>
  <c r="F223" i="28"/>
  <c r="G223" i="28"/>
  <c r="K223" i="28"/>
  <c r="B224" i="28"/>
  <c r="D224" i="28"/>
  <c r="E224" i="28"/>
  <c r="F224" i="28"/>
  <c r="G224" i="28"/>
  <c r="K224" i="28"/>
  <c r="B225" i="28"/>
  <c r="D225" i="28"/>
  <c r="E225" i="28"/>
  <c r="F225" i="28"/>
  <c r="G225" i="28"/>
  <c r="K225" i="28"/>
  <c r="B226" i="28"/>
  <c r="D226" i="28"/>
  <c r="E226" i="28"/>
  <c r="F226" i="28"/>
  <c r="G226" i="28"/>
  <c r="K226" i="28"/>
  <c r="B227" i="28"/>
  <c r="D227" i="28"/>
  <c r="E227" i="28"/>
  <c r="F227" i="28"/>
  <c r="G227" i="28"/>
  <c r="K227" i="28"/>
  <c r="B228" i="28"/>
  <c r="D228" i="28"/>
  <c r="E228" i="28"/>
  <c r="F228" i="28"/>
  <c r="G228" i="28"/>
  <c r="K228" i="28"/>
  <c r="B229" i="28"/>
  <c r="D229" i="28"/>
  <c r="E229" i="28"/>
  <c r="F229" i="28"/>
  <c r="G229" i="28"/>
  <c r="K229" i="28"/>
  <c r="B230" i="28"/>
  <c r="D230" i="28"/>
  <c r="E230" i="28"/>
  <c r="F230" i="28"/>
  <c r="G230" i="28"/>
  <c r="K230" i="28"/>
  <c r="B231" i="28"/>
  <c r="D231" i="28"/>
  <c r="E231" i="28"/>
  <c r="F231" i="28"/>
  <c r="G231" i="28"/>
  <c r="K231" i="28"/>
  <c r="B232" i="28"/>
  <c r="D232" i="28"/>
  <c r="E232" i="28"/>
  <c r="F232" i="28"/>
  <c r="G232" i="28"/>
  <c r="K232" i="28"/>
  <c r="B233" i="28"/>
  <c r="D233" i="28"/>
  <c r="E233" i="28"/>
  <c r="F233" i="28"/>
  <c r="G233" i="28"/>
  <c r="K233" i="28"/>
  <c r="B234" i="28"/>
  <c r="D234" i="28"/>
  <c r="E234" i="28"/>
  <c r="F234" i="28"/>
  <c r="G234" i="28"/>
  <c r="K234" i="28"/>
  <c r="B235" i="28"/>
  <c r="D235" i="28"/>
  <c r="E235" i="28"/>
  <c r="F235" i="28"/>
  <c r="G235" i="28"/>
  <c r="K235" i="28"/>
  <c r="B236" i="28"/>
  <c r="D236" i="28"/>
  <c r="E236" i="28"/>
  <c r="F236" i="28"/>
  <c r="G236" i="28"/>
  <c r="K236" i="28"/>
  <c r="B237" i="28"/>
  <c r="D237" i="28"/>
  <c r="E237" i="28"/>
  <c r="F237" i="28"/>
  <c r="G237" i="28"/>
  <c r="K237" i="28"/>
  <c r="B238" i="28"/>
  <c r="D238" i="28"/>
  <c r="E238" i="28"/>
  <c r="F238" i="28"/>
  <c r="G238" i="28"/>
  <c r="K238" i="28"/>
  <c r="B239" i="28"/>
  <c r="D239" i="28"/>
  <c r="E239" i="28"/>
  <c r="F239" i="28"/>
  <c r="G239" i="28"/>
  <c r="K239" i="28"/>
  <c r="B240" i="28"/>
  <c r="D240" i="28"/>
  <c r="E240" i="28"/>
  <c r="F240" i="28"/>
  <c r="G240" i="28"/>
  <c r="K240" i="28"/>
  <c r="B241" i="28"/>
  <c r="D241" i="28"/>
  <c r="E241" i="28"/>
  <c r="F241" i="28"/>
  <c r="G241" i="28"/>
  <c r="K241" i="28"/>
  <c r="B242" i="28"/>
  <c r="D242" i="28"/>
  <c r="E242" i="28"/>
  <c r="F242" i="28"/>
  <c r="G242" i="28"/>
  <c r="K242" i="28"/>
  <c r="B243" i="28"/>
  <c r="D243" i="28"/>
  <c r="E243" i="28"/>
  <c r="F243" i="28"/>
  <c r="G243" i="28"/>
  <c r="K243" i="28"/>
  <c r="B244" i="28"/>
  <c r="D244" i="28"/>
  <c r="E244" i="28"/>
  <c r="F244" i="28"/>
  <c r="G244" i="28"/>
  <c r="K244" i="28"/>
  <c r="B245" i="28"/>
  <c r="D245" i="28"/>
  <c r="E245" i="28"/>
  <c r="F245" i="28"/>
  <c r="G245" i="28"/>
  <c r="K245" i="28"/>
  <c r="B246" i="28"/>
  <c r="D246" i="28"/>
  <c r="E246" i="28"/>
  <c r="F246" i="28"/>
  <c r="G246" i="28"/>
  <c r="K246" i="28"/>
  <c r="B247" i="28"/>
  <c r="D247" i="28"/>
  <c r="E247" i="28"/>
  <c r="F247" i="28"/>
  <c r="G247" i="28"/>
  <c r="K247" i="28"/>
  <c r="B248" i="28"/>
  <c r="D248" i="28"/>
  <c r="E248" i="28"/>
  <c r="F248" i="28"/>
  <c r="G248" i="28"/>
  <c r="K248" i="28"/>
  <c r="B249" i="28"/>
  <c r="D249" i="28"/>
  <c r="E249" i="28"/>
  <c r="F249" i="28"/>
  <c r="G249" i="28"/>
  <c r="K249" i="28"/>
  <c r="B250" i="28"/>
  <c r="D250" i="28"/>
  <c r="E250" i="28"/>
  <c r="F250" i="28"/>
  <c r="G250" i="28"/>
  <c r="K250" i="28"/>
  <c r="B251" i="28"/>
  <c r="D251" i="28"/>
  <c r="E251" i="28"/>
  <c r="F251" i="28"/>
  <c r="G251" i="28"/>
  <c r="K251" i="28"/>
  <c r="B252" i="28"/>
  <c r="D252" i="28"/>
  <c r="E252" i="28"/>
  <c r="F252" i="28"/>
  <c r="G252" i="28"/>
  <c r="K252" i="28"/>
  <c r="B253" i="28"/>
  <c r="D253" i="28"/>
  <c r="E253" i="28"/>
  <c r="F253" i="28"/>
  <c r="G253" i="28"/>
  <c r="K253" i="28"/>
  <c r="B254" i="28"/>
  <c r="D254" i="28"/>
  <c r="E254" i="28"/>
  <c r="F254" i="28"/>
  <c r="G254" i="28"/>
  <c r="K254" i="28"/>
  <c r="B255" i="28"/>
  <c r="D255" i="28"/>
  <c r="E255" i="28"/>
  <c r="F255" i="28"/>
  <c r="G255" i="28"/>
  <c r="K255" i="28"/>
  <c r="B256" i="28"/>
  <c r="D256" i="28"/>
  <c r="E256" i="28"/>
  <c r="F256" i="28"/>
  <c r="G256" i="28"/>
  <c r="K256" i="28"/>
  <c r="B257" i="28"/>
  <c r="D257" i="28"/>
  <c r="E257" i="28"/>
  <c r="F257" i="28"/>
  <c r="G257" i="28"/>
  <c r="K257" i="28"/>
  <c r="B258" i="28"/>
  <c r="D258" i="28"/>
  <c r="E258" i="28"/>
  <c r="F258" i="28"/>
  <c r="G258" i="28"/>
  <c r="K258" i="28"/>
  <c r="B259" i="28"/>
  <c r="D259" i="28"/>
  <c r="E259" i="28"/>
  <c r="F259" i="28"/>
  <c r="G259" i="28"/>
  <c r="K259" i="28"/>
  <c r="B260" i="28"/>
  <c r="D260" i="28"/>
  <c r="E260" i="28"/>
  <c r="F260" i="28"/>
  <c r="G260" i="28"/>
  <c r="K260" i="28"/>
  <c r="B261" i="28"/>
  <c r="D261" i="28"/>
  <c r="E261" i="28"/>
  <c r="F261" i="28"/>
  <c r="G261" i="28"/>
  <c r="K261" i="28"/>
  <c r="B262" i="28"/>
  <c r="D262" i="28"/>
  <c r="E262" i="28"/>
  <c r="F262" i="28"/>
  <c r="G262" i="28"/>
  <c r="K262" i="28"/>
  <c r="B263" i="28"/>
  <c r="D263" i="28"/>
  <c r="E263" i="28"/>
  <c r="F263" i="28"/>
  <c r="G263" i="28"/>
  <c r="K263" i="28"/>
  <c r="B264" i="28"/>
  <c r="D264" i="28"/>
  <c r="E264" i="28"/>
  <c r="F264" i="28"/>
  <c r="G264" i="28"/>
  <c r="K264" i="28"/>
  <c r="B265" i="28"/>
  <c r="D265" i="28"/>
  <c r="E265" i="28"/>
  <c r="F265" i="28"/>
  <c r="G265" i="28"/>
  <c r="K265" i="28"/>
  <c r="B266" i="28"/>
  <c r="D266" i="28"/>
  <c r="E266" i="28"/>
  <c r="F266" i="28"/>
  <c r="G266" i="28"/>
  <c r="K266" i="28"/>
  <c r="B267" i="28"/>
  <c r="D267" i="28"/>
  <c r="E267" i="28"/>
  <c r="F267" i="28"/>
  <c r="G267" i="28"/>
  <c r="K267" i="28"/>
  <c r="B268" i="28"/>
  <c r="D268" i="28"/>
  <c r="E268" i="28"/>
  <c r="F268" i="28"/>
  <c r="G268" i="28"/>
  <c r="K268" i="28"/>
  <c r="B269" i="28"/>
  <c r="D269" i="28"/>
  <c r="E269" i="28"/>
  <c r="F269" i="28"/>
  <c r="G269" i="28"/>
  <c r="K269" i="28"/>
  <c r="B270" i="28"/>
  <c r="D270" i="28"/>
  <c r="E270" i="28"/>
  <c r="F270" i="28"/>
  <c r="G270" i="28"/>
  <c r="K270" i="28"/>
  <c r="B271" i="28"/>
  <c r="D271" i="28"/>
  <c r="E271" i="28"/>
  <c r="F271" i="28"/>
  <c r="G271" i="28"/>
  <c r="K271" i="28"/>
  <c r="B272" i="28"/>
  <c r="D272" i="28"/>
  <c r="E272" i="28"/>
  <c r="F272" i="28"/>
  <c r="G272" i="28"/>
  <c r="K272" i="28"/>
  <c r="B273" i="28"/>
  <c r="D273" i="28"/>
  <c r="E273" i="28"/>
  <c r="F273" i="28"/>
  <c r="G273" i="28"/>
  <c r="K273" i="28"/>
  <c r="B274" i="28"/>
  <c r="D274" i="28"/>
  <c r="E274" i="28"/>
  <c r="F274" i="28"/>
  <c r="G274" i="28"/>
  <c r="K274" i="28"/>
  <c r="B275" i="28"/>
  <c r="D275" i="28"/>
  <c r="E275" i="28"/>
  <c r="F275" i="28"/>
  <c r="G275" i="28"/>
  <c r="K275" i="28"/>
  <c r="B276" i="28"/>
  <c r="D276" i="28"/>
  <c r="E276" i="28"/>
  <c r="F276" i="28"/>
  <c r="G276" i="28"/>
  <c r="K276" i="28"/>
  <c r="B277" i="28"/>
  <c r="D277" i="28"/>
  <c r="E277" i="28"/>
  <c r="F277" i="28"/>
  <c r="G277" i="28"/>
  <c r="K277" i="28"/>
  <c r="B278" i="28"/>
  <c r="D278" i="28"/>
  <c r="E278" i="28"/>
  <c r="F278" i="28"/>
  <c r="G278" i="28"/>
  <c r="K278" i="28"/>
  <c r="B279" i="28"/>
  <c r="D279" i="28"/>
  <c r="E279" i="28"/>
  <c r="F279" i="28"/>
  <c r="G279" i="28"/>
  <c r="K279" i="28"/>
  <c r="B280" i="28"/>
  <c r="D280" i="28"/>
  <c r="E280" i="28"/>
  <c r="F280" i="28"/>
  <c r="G280" i="28"/>
  <c r="K280" i="28"/>
  <c r="B281" i="28"/>
  <c r="D281" i="28"/>
  <c r="E281" i="28"/>
  <c r="F281" i="28"/>
  <c r="G281" i="28"/>
  <c r="K281" i="28"/>
  <c r="B282" i="28"/>
  <c r="D282" i="28"/>
  <c r="E282" i="28"/>
  <c r="F282" i="28"/>
  <c r="G282" i="28"/>
  <c r="K282" i="28"/>
  <c r="B283" i="28"/>
  <c r="D283" i="28"/>
  <c r="E283" i="28"/>
  <c r="F283" i="28"/>
  <c r="G283" i="28"/>
  <c r="K283" i="28"/>
  <c r="B284" i="28"/>
  <c r="D284" i="28"/>
  <c r="E284" i="28"/>
  <c r="F284" i="28"/>
  <c r="G284" i="28"/>
  <c r="K284" i="28"/>
  <c r="B285" i="28"/>
  <c r="D285" i="28"/>
  <c r="E285" i="28"/>
  <c r="F285" i="28"/>
  <c r="G285" i="28"/>
  <c r="K285" i="28"/>
  <c r="B286" i="28"/>
  <c r="D286" i="28"/>
  <c r="E286" i="28"/>
  <c r="F286" i="28"/>
  <c r="G286" i="28"/>
  <c r="K286" i="28"/>
  <c r="B287" i="28"/>
  <c r="D287" i="28"/>
  <c r="E287" i="28"/>
  <c r="F287" i="28"/>
  <c r="G287" i="28"/>
  <c r="K287" i="28"/>
  <c r="B288" i="28"/>
  <c r="D288" i="28"/>
  <c r="E288" i="28"/>
  <c r="F288" i="28"/>
  <c r="G288" i="28"/>
  <c r="K288" i="28"/>
  <c r="B289" i="28"/>
  <c r="D289" i="28"/>
  <c r="E289" i="28"/>
  <c r="F289" i="28"/>
  <c r="G289" i="28"/>
  <c r="K289" i="28"/>
  <c r="B290" i="28"/>
  <c r="D290" i="28"/>
  <c r="E290" i="28"/>
  <c r="F290" i="28"/>
  <c r="G290" i="28"/>
  <c r="K290" i="28"/>
  <c r="B291" i="28"/>
  <c r="D291" i="28"/>
  <c r="E291" i="28"/>
  <c r="F291" i="28"/>
  <c r="G291" i="28"/>
  <c r="K291" i="28"/>
  <c r="B292" i="28"/>
  <c r="D292" i="28"/>
  <c r="E292" i="28"/>
  <c r="F292" i="28"/>
  <c r="G292" i="28"/>
  <c r="K292" i="28"/>
  <c r="B293" i="28"/>
  <c r="D293" i="28"/>
  <c r="E293" i="28"/>
  <c r="F293" i="28"/>
  <c r="G293" i="28"/>
  <c r="K293" i="28"/>
  <c r="B294" i="28"/>
  <c r="D294" i="28"/>
  <c r="E294" i="28"/>
  <c r="F294" i="28"/>
  <c r="G294" i="28"/>
  <c r="K294" i="28"/>
  <c r="B295" i="28"/>
  <c r="D295" i="28"/>
  <c r="E295" i="28"/>
  <c r="F295" i="28"/>
  <c r="G295" i="28"/>
  <c r="K295" i="28"/>
  <c r="B296" i="28"/>
  <c r="D296" i="28"/>
  <c r="E296" i="28"/>
  <c r="F296" i="28"/>
  <c r="G296" i="28"/>
  <c r="K296" i="28"/>
  <c r="B297" i="28"/>
  <c r="D297" i="28"/>
  <c r="E297" i="28"/>
  <c r="F297" i="28"/>
  <c r="G297" i="28"/>
  <c r="K297" i="28"/>
  <c r="B298" i="28"/>
  <c r="D298" i="28"/>
  <c r="E298" i="28"/>
  <c r="F298" i="28"/>
  <c r="G298" i="28"/>
  <c r="K298" i="28"/>
  <c r="B299" i="28"/>
  <c r="D299" i="28"/>
  <c r="E299" i="28"/>
  <c r="F299" i="28"/>
  <c r="G299" i="28"/>
  <c r="K299" i="28"/>
  <c r="B300" i="28"/>
  <c r="D300" i="28"/>
  <c r="E300" i="28"/>
  <c r="F300" i="28"/>
  <c r="G300" i="28"/>
  <c r="K300" i="28"/>
  <c r="B301" i="28"/>
  <c r="D301" i="28"/>
  <c r="E301" i="28"/>
  <c r="F301" i="28"/>
  <c r="G301" i="28"/>
  <c r="K301" i="28"/>
  <c r="B302" i="28"/>
  <c r="D302" i="28"/>
  <c r="E302" i="28"/>
  <c r="F302" i="28"/>
  <c r="G302" i="28"/>
  <c r="K302" i="28"/>
  <c r="B303" i="28"/>
  <c r="D303" i="28"/>
  <c r="E303" i="28"/>
  <c r="F303" i="28"/>
  <c r="G303" i="28"/>
  <c r="K303" i="28"/>
  <c r="B304" i="28"/>
  <c r="D304" i="28"/>
  <c r="E304" i="28"/>
  <c r="F304" i="28"/>
  <c r="G304" i="28"/>
  <c r="K304" i="28"/>
  <c r="B305" i="28"/>
  <c r="D305" i="28"/>
  <c r="E305" i="28"/>
  <c r="F305" i="28"/>
  <c r="G305" i="28"/>
  <c r="K305" i="28"/>
  <c r="B306" i="28"/>
  <c r="D306" i="28"/>
  <c r="E306" i="28"/>
  <c r="F306" i="28"/>
  <c r="G306" i="28"/>
  <c r="K306" i="28"/>
  <c r="B307" i="28"/>
  <c r="D307" i="28"/>
  <c r="E307" i="28"/>
  <c r="F307" i="28"/>
  <c r="G307" i="28"/>
  <c r="K307" i="28"/>
  <c r="B308" i="28"/>
  <c r="D308" i="28"/>
  <c r="E308" i="28"/>
  <c r="F308" i="28"/>
  <c r="G308" i="28"/>
  <c r="K308" i="28"/>
  <c r="B309" i="28"/>
  <c r="D309" i="28"/>
  <c r="E309" i="28"/>
  <c r="F309" i="28"/>
  <c r="G309" i="28"/>
  <c r="K309" i="28"/>
  <c r="B310" i="28"/>
  <c r="D310" i="28"/>
  <c r="E310" i="28"/>
  <c r="F310" i="28"/>
  <c r="G310" i="28"/>
  <c r="K310" i="28"/>
  <c r="B311" i="28"/>
  <c r="D311" i="28"/>
  <c r="E311" i="28"/>
  <c r="F311" i="28"/>
  <c r="G311" i="28"/>
  <c r="K311" i="28"/>
  <c r="B312" i="28"/>
  <c r="D312" i="28"/>
  <c r="E312" i="28"/>
  <c r="F312" i="28"/>
  <c r="G312" i="28"/>
  <c r="K312" i="28"/>
  <c r="B313" i="28"/>
  <c r="D313" i="28"/>
  <c r="E313" i="28"/>
  <c r="F313" i="28"/>
  <c r="G313" i="28"/>
  <c r="K313" i="28"/>
  <c r="B314" i="28"/>
  <c r="D314" i="28"/>
  <c r="E314" i="28"/>
  <c r="F314" i="28"/>
  <c r="G314" i="28"/>
  <c r="K314" i="28"/>
  <c r="B315" i="28"/>
  <c r="D315" i="28"/>
  <c r="E315" i="28"/>
  <c r="F315" i="28"/>
  <c r="G315" i="28"/>
  <c r="K315" i="28"/>
  <c r="B316" i="28"/>
  <c r="D316" i="28"/>
  <c r="E316" i="28"/>
  <c r="F316" i="28"/>
  <c r="G316" i="28"/>
  <c r="K316" i="28"/>
  <c r="B317" i="28"/>
  <c r="D317" i="28"/>
  <c r="E317" i="28"/>
  <c r="F317" i="28"/>
  <c r="G317" i="28"/>
  <c r="K317" i="28"/>
  <c r="B318" i="28"/>
  <c r="D318" i="28"/>
  <c r="E318" i="28"/>
  <c r="F318" i="28"/>
  <c r="G318" i="28"/>
  <c r="K318" i="28"/>
  <c r="B319" i="28"/>
  <c r="D319" i="28"/>
  <c r="E319" i="28"/>
  <c r="F319" i="28"/>
  <c r="G319" i="28"/>
  <c r="K319" i="28"/>
  <c r="B320" i="28"/>
  <c r="D320" i="28"/>
  <c r="E320" i="28"/>
  <c r="F320" i="28"/>
  <c r="G320" i="28"/>
  <c r="K320" i="28"/>
  <c r="B321" i="28"/>
  <c r="D321" i="28"/>
  <c r="E321" i="28"/>
  <c r="F321" i="28"/>
  <c r="G321" i="28"/>
  <c r="K321" i="28"/>
  <c r="B322" i="28"/>
  <c r="D322" i="28"/>
  <c r="E322" i="28"/>
  <c r="F322" i="28"/>
  <c r="G322" i="28"/>
  <c r="K322" i="28"/>
  <c r="B323" i="28"/>
  <c r="D323" i="28"/>
  <c r="E323" i="28"/>
  <c r="F323" i="28"/>
  <c r="G323" i="28"/>
  <c r="K323" i="28"/>
  <c r="B324" i="28"/>
  <c r="D324" i="28"/>
  <c r="E324" i="28"/>
  <c r="F324" i="28"/>
  <c r="G324" i="28"/>
  <c r="K324" i="28"/>
  <c r="B325" i="28"/>
  <c r="D325" i="28"/>
  <c r="E325" i="28"/>
  <c r="F325" i="28"/>
  <c r="G325" i="28"/>
  <c r="K325" i="28"/>
  <c r="B326" i="28"/>
  <c r="D326" i="28"/>
  <c r="E326" i="28"/>
  <c r="F326" i="28"/>
  <c r="G326" i="28"/>
  <c r="K326" i="28"/>
  <c r="B327" i="28"/>
  <c r="D327" i="28"/>
  <c r="E327" i="28"/>
  <c r="F327" i="28"/>
  <c r="G327" i="28"/>
  <c r="K327" i="28"/>
  <c r="B328" i="28"/>
  <c r="D328" i="28"/>
  <c r="E328" i="28"/>
  <c r="F328" i="28"/>
  <c r="G328" i="28"/>
  <c r="K328" i="28"/>
  <c r="B329" i="28"/>
  <c r="D329" i="28"/>
  <c r="E329" i="28"/>
  <c r="F329" i="28"/>
  <c r="G329" i="28"/>
  <c r="K329" i="28"/>
  <c r="B330" i="28"/>
  <c r="D330" i="28"/>
  <c r="E330" i="28"/>
  <c r="F330" i="28"/>
  <c r="G330" i="28"/>
  <c r="K330" i="28"/>
  <c r="B331" i="28"/>
  <c r="D331" i="28"/>
  <c r="E331" i="28"/>
  <c r="F331" i="28"/>
  <c r="G331" i="28"/>
  <c r="K331" i="28"/>
  <c r="B332" i="28"/>
  <c r="D332" i="28"/>
  <c r="E332" i="28"/>
  <c r="F332" i="28"/>
  <c r="G332" i="28"/>
  <c r="K332" i="28"/>
  <c r="B333" i="28"/>
  <c r="D333" i="28"/>
  <c r="E333" i="28"/>
  <c r="F333" i="28"/>
  <c r="G333" i="28"/>
  <c r="K333" i="28"/>
  <c r="B334" i="28"/>
  <c r="D334" i="28"/>
  <c r="E334" i="28"/>
  <c r="F334" i="28"/>
  <c r="G334" i="28"/>
  <c r="K334" i="28"/>
  <c r="B335" i="28"/>
  <c r="D335" i="28"/>
  <c r="E335" i="28"/>
  <c r="F335" i="28"/>
  <c r="G335" i="28"/>
  <c r="K335" i="28"/>
  <c r="B336" i="28"/>
  <c r="D336" i="28"/>
  <c r="E336" i="28"/>
  <c r="F336" i="28"/>
  <c r="G336" i="28"/>
  <c r="K336" i="28"/>
  <c r="B337" i="28"/>
  <c r="D337" i="28"/>
  <c r="E337" i="28"/>
  <c r="F337" i="28"/>
  <c r="G337" i="28"/>
  <c r="K337" i="28"/>
  <c r="B338" i="28"/>
  <c r="D338" i="28"/>
  <c r="E338" i="28"/>
  <c r="F338" i="28"/>
  <c r="G338" i="28"/>
  <c r="K338" i="28"/>
  <c r="B339" i="28"/>
  <c r="D339" i="28"/>
  <c r="E339" i="28"/>
  <c r="F339" i="28"/>
  <c r="G339" i="28"/>
  <c r="K339" i="28"/>
  <c r="B340" i="28"/>
  <c r="D340" i="28"/>
  <c r="E340" i="28"/>
  <c r="F340" i="28"/>
  <c r="G340" i="28"/>
  <c r="K340" i="28"/>
  <c r="B341" i="28"/>
  <c r="D341" i="28"/>
  <c r="E341" i="28"/>
  <c r="F341" i="28"/>
  <c r="G341" i="28"/>
  <c r="K341" i="28"/>
  <c r="B342" i="28"/>
  <c r="D342" i="28"/>
  <c r="E342" i="28"/>
  <c r="F342" i="28"/>
  <c r="G342" i="28"/>
  <c r="K342" i="28"/>
  <c r="B343" i="28"/>
  <c r="D343" i="28"/>
  <c r="E343" i="28"/>
  <c r="F343" i="28"/>
  <c r="G343" i="28"/>
  <c r="K343" i="28"/>
  <c r="B344" i="28"/>
  <c r="D344" i="28"/>
  <c r="E344" i="28"/>
  <c r="F344" i="28"/>
  <c r="G344" i="28"/>
  <c r="K344" i="28"/>
  <c r="B345" i="28"/>
  <c r="D345" i="28"/>
  <c r="E345" i="28"/>
  <c r="F345" i="28"/>
  <c r="G345" i="28"/>
  <c r="K345" i="28"/>
  <c r="B346" i="28"/>
  <c r="D346" i="28"/>
  <c r="E346" i="28"/>
  <c r="F346" i="28"/>
  <c r="G346" i="28"/>
  <c r="K346" i="28"/>
  <c r="B347" i="28"/>
  <c r="D347" i="28"/>
  <c r="E347" i="28"/>
  <c r="F347" i="28"/>
  <c r="G347" i="28"/>
  <c r="K347" i="28"/>
  <c r="B348" i="28"/>
  <c r="D348" i="28"/>
  <c r="E348" i="28"/>
  <c r="F348" i="28"/>
  <c r="G348" i="28"/>
  <c r="K348" i="28"/>
  <c r="B349" i="28"/>
  <c r="D349" i="28"/>
  <c r="E349" i="28"/>
  <c r="F349" i="28"/>
  <c r="G349" i="28"/>
  <c r="K349" i="28"/>
  <c r="B350" i="28"/>
  <c r="D350" i="28"/>
  <c r="E350" i="28"/>
  <c r="F350" i="28"/>
  <c r="G350" i="28"/>
  <c r="K350" i="28"/>
  <c r="B351" i="28"/>
  <c r="D351" i="28"/>
  <c r="E351" i="28"/>
  <c r="F351" i="28"/>
  <c r="G351" i="28"/>
  <c r="K351" i="28"/>
  <c r="B352" i="28"/>
  <c r="D352" i="28"/>
  <c r="E352" i="28"/>
  <c r="F352" i="28"/>
  <c r="G352" i="28"/>
  <c r="K352" i="28"/>
  <c r="B353" i="28"/>
  <c r="D353" i="28"/>
  <c r="E353" i="28"/>
  <c r="F353" i="28"/>
  <c r="G353" i="28"/>
  <c r="K353" i="28"/>
  <c r="B354" i="28"/>
  <c r="D354" i="28"/>
  <c r="E354" i="28"/>
  <c r="F354" i="28"/>
  <c r="G354" i="28"/>
  <c r="K354" i="28"/>
  <c r="B355" i="28"/>
  <c r="D355" i="28"/>
  <c r="E355" i="28"/>
  <c r="F355" i="28"/>
  <c r="G355" i="28"/>
  <c r="K355" i="28"/>
  <c r="B356" i="28"/>
  <c r="D356" i="28"/>
  <c r="E356" i="28"/>
  <c r="F356" i="28"/>
  <c r="G356" i="28"/>
  <c r="K356" i="28"/>
  <c r="B357" i="28"/>
  <c r="D357" i="28"/>
  <c r="E357" i="28"/>
  <c r="F357" i="28"/>
  <c r="G357" i="28"/>
  <c r="K357" i="28"/>
  <c r="B358" i="28"/>
  <c r="D358" i="28"/>
  <c r="E358" i="28"/>
  <c r="F358" i="28"/>
  <c r="G358" i="28"/>
  <c r="K358" i="28"/>
  <c r="B359" i="28"/>
  <c r="D359" i="28"/>
  <c r="E359" i="28"/>
  <c r="F359" i="28"/>
  <c r="G359" i="28"/>
  <c r="K359" i="28"/>
  <c r="B360" i="28"/>
  <c r="D360" i="28"/>
  <c r="E360" i="28"/>
  <c r="F360" i="28"/>
  <c r="G360" i="28"/>
  <c r="K360" i="28"/>
  <c r="B361" i="28"/>
  <c r="D361" i="28"/>
  <c r="E361" i="28"/>
  <c r="F361" i="28"/>
  <c r="G361" i="28"/>
  <c r="K361" i="28"/>
  <c r="B362" i="28"/>
  <c r="D362" i="28"/>
  <c r="E362" i="28"/>
  <c r="F362" i="28"/>
  <c r="G362" i="28"/>
  <c r="K362" i="28"/>
  <c r="B363" i="28"/>
  <c r="D363" i="28"/>
  <c r="E363" i="28"/>
  <c r="F363" i="28"/>
  <c r="G363" i="28"/>
  <c r="K363" i="28"/>
  <c r="B364" i="28"/>
  <c r="D364" i="28"/>
  <c r="E364" i="28"/>
  <c r="F364" i="28"/>
  <c r="G364" i="28"/>
  <c r="K364" i="28"/>
  <c r="B365" i="28"/>
  <c r="D365" i="28"/>
  <c r="E365" i="28"/>
  <c r="F365" i="28"/>
  <c r="G365" i="28"/>
  <c r="K365" i="28"/>
  <c r="B366" i="28"/>
  <c r="D366" i="28"/>
  <c r="E366" i="28"/>
  <c r="F366" i="28"/>
  <c r="G366" i="28"/>
  <c r="K366" i="28"/>
  <c r="B367" i="28"/>
  <c r="D367" i="28"/>
  <c r="E367" i="28"/>
  <c r="F367" i="28"/>
  <c r="G367" i="28"/>
  <c r="K367" i="28"/>
  <c r="B368" i="28"/>
  <c r="D368" i="28"/>
  <c r="E368" i="28"/>
  <c r="F368" i="28"/>
  <c r="G368" i="28"/>
  <c r="K368" i="28"/>
  <c r="B369" i="28"/>
  <c r="D369" i="28"/>
  <c r="E369" i="28"/>
  <c r="F369" i="28"/>
  <c r="G369" i="28"/>
  <c r="K369" i="28"/>
  <c r="B370" i="28"/>
  <c r="D370" i="28"/>
  <c r="E370" i="28"/>
  <c r="F370" i="28"/>
  <c r="G370" i="28"/>
  <c r="K370" i="28"/>
  <c r="B371" i="28"/>
  <c r="D371" i="28"/>
  <c r="E371" i="28"/>
  <c r="F371" i="28"/>
  <c r="G371" i="28"/>
  <c r="K371" i="28"/>
  <c r="B372" i="28"/>
  <c r="D372" i="28"/>
  <c r="E372" i="28"/>
  <c r="F372" i="28"/>
  <c r="G372" i="28"/>
  <c r="K372" i="28"/>
  <c r="B373" i="28"/>
  <c r="D373" i="28"/>
  <c r="E373" i="28"/>
  <c r="F373" i="28"/>
  <c r="G373" i="28"/>
  <c r="K373" i="28"/>
  <c r="B374" i="28"/>
  <c r="D374" i="28"/>
  <c r="E374" i="28"/>
  <c r="F374" i="28"/>
  <c r="G374" i="28"/>
  <c r="K374" i="28"/>
  <c r="B375" i="28"/>
  <c r="D375" i="28"/>
  <c r="E375" i="28"/>
  <c r="F375" i="28"/>
  <c r="G375" i="28"/>
  <c r="K375" i="28"/>
  <c r="B376" i="28"/>
  <c r="D376" i="28"/>
  <c r="E376" i="28"/>
  <c r="F376" i="28"/>
  <c r="G376" i="28"/>
  <c r="K376" i="28"/>
  <c r="B377" i="28"/>
  <c r="D377" i="28"/>
  <c r="E377" i="28"/>
  <c r="F377" i="28"/>
  <c r="G377" i="28"/>
  <c r="K377" i="28"/>
  <c r="B378" i="28"/>
  <c r="D378" i="28"/>
  <c r="E378" i="28"/>
  <c r="F378" i="28"/>
  <c r="G378" i="28"/>
  <c r="K378" i="28"/>
  <c r="B379" i="28"/>
  <c r="D379" i="28"/>
  <c r="E379" i="28"/>
  <c r="F379" i="28"/>
  <c r="G379" i="28"/>
  <c r="K379" i="28"/>
  <c r="B380" i="28"/>
  <c r="D380" i="28"/>
  <c r="E380" i="28"/>
  <c r="F380" i="28"/>
  <c r="G380" i="28"/>
  <c r="K380" i="28"/>
  <c r="B381" i="28"/>
  <c r="D381" i="28"/>
  <c r="E381" i="28"/>
  <c r="F381" i="28"/>
  <c r="G381" i="28"/>
  <c r="K381" i="28"/>
  <c r="B382" i="28"/>
  <c r="D382" i="28"/>
  <c r="E382" i="28"/>
  <c r="F382" i="28"/>
  <c r="G382" i="28"/>
  <c r="K382" i="28"/>
  <c r="B383" i="28"/>
  <c r="D383" i="28"/>
  <c r="E383" i="28"/>
  <c r="F383" i="28"/>
  <c r="G383" i="28"/>
  <c r="K383" i="28"/>
  <c r="B384" i="28"/>
  <c r="D384" i="28"/>
  <c r="E384" i="28"/>
  <c r="F384" i="28"/>
  <c r="G384" i="28"/>
  <c r="K384" i="28"/>
  <c r="B385" i="28"/>
  <c r="D385" i="28"/>
  <c r="E385" i="28"/>
  <c r="F385" i="28"/>
  <c r="G385" i="28"/>
  <c r="K385" i="28"/>
  <c r="B386" i="28"/>
  <c r="D386" i="28"/>
  <c r="E386" i="28"/>
  <c r="F386" i="28"/>
  <c r="G386" i="28"/>
  <c r="K386" i="28"/>
  <c r="B387" i="28"/>
  <c r="D387" i="28"/>
  <c r="E387" i="28"/>
  <c r="F387" i="28"/>
  <c r="G387" i="28"/>
  <c r="K387" i="28"/>
  <c r="B388" i="28"/>
  <c r="D388" i="28"/>
  <c r="E388" i="28"/>
  <c r="F388" i="28"/>
  <c r="G388" i="28"/>
  <c r="K388" i="28"/>
  <c r="B389" i="28"/>
  <c r="D389" i="28"/>
  <c r="E389" i="28"/>
  <c r="F389" i="28"/>
  <c r="G389" i="28"/>
  <c r="K389" i="28"/>
  <c r="B390" i="28"/>
  <c r="D390" i="28"/>
  <c r="E390" i="28"/>
  <c r="F390" i="28"/>
  <c r="G390" i="28"/>
  <c r="K390" i="28"/>
  <c r="B391" i="28"/>
  <c r="D391" i="28"/>
  <c r="E391" i="28"/>
  <c r="F391" i="28"/>
  <c r="G391" i="28"/>
  <c r="K391" i="28"/>
  <c r="B392" i="28"/>
  <c r="D392" i="28"/>
  <c r="E392" i="28"/>
  <c r="F392" i="28"/>
  <c r="G392" i="28"/>
  <c r="K392" i="28"/>
  <c r="B393" i="28"/>
  <c r="D393" i="28"/>
  <c r="E393" i="28"/>
  <c r="F393" i="28"/>
  <c r="G393" i="28"/>
  <c r="K393" i="28"/>
  <c r="B394" i="28"/>
  <c r="D394" i="28"/>
  <c r="E394" i="28"/>
  <c r="F394" i="28"/>
  <c r="G394" i="28"/>
  <c r="K394" i="28"/>
  <c r="B395" i="28"/>
  <c r="D395" i="28"/>
  <c r="E395" i="28"/>
  <c r="F395" i="28"/>
  <c r="G395" i="28"/>
  <c r="K395" i="28"/>
  <c r="B396" i="28"/>
  <c r="D396" i="28"/>
  <c r="E396" i="28"/>
  <c r="F396" i="28"/>
  <c r="G396" i="28"/>
  <c r="K396" i="28"/>
  <c r="B397" i="28"/>
  <c r="D397" i="28"/>
  <c r="E397" i="28"/>
  <c r="F397" i="28"/>
  <c r="G397" i="28"/>
  <c r="K397" i="28"/>
  <c r="B398" i="28"/>
  <c r="D398" i="28"/>
  <c r="E398" i="28"/>
  <c r="F398" i="28"/>
  <c r="G398" i="28"/>
  <c r="K398" i="28"/>
  <c r="B399" i="28"/>
  <c r="D399" i="28"/>
  <c r="E399" i="28"/>
  <c r="F399" i="28"/>
  <c r="G399" i="28"/>
  <c r="K399" i="28"/>
  <c r="B400" i="28"/>
  <c r="D400" i="28"/>
  <c r="E400" i="28"/>
  <c r="F400" i="28"/>
  <c r="G400" i="28"/>
  <c r="K400" i="28"/>
  <c r="B401" i="28"/>
  <c r="D401" i="28"/>
  <c r="E401" i="28"/>
  <c r="F401" i="28"/>
  <c r="G401" i="28"/>
  <c r="K401" i="28"/>
  <c r="B402" i="28"/>
  <c r="D402" i="28"/>
  <c r="E402" i="28"/>
  <c r="F402" i="28"/>
  <c r="G402" i="28"/>
  <c r="K402" i="28"/>
  <c r="B403" i="28"/>
  <c r="D403" i="28"/>
  <c r="E403" i="28"/>
  <c r="F403" i="28"/>
  <c r="G403" i="28"/>
  <c r="K403" i="28"/>
  <c r="B404" i="28"/>
  <c r="D404" i="28"/>
  <c r="E404" i="28"/>
  <c r="F404" i="28"/>
  <c r="G404" i="28"/>
  <c r="K404" i="28"/>
  <c r="B405" i="28"/>
  <c r="D405" i="28"/>
  <c r="E405" i="28"/>
  <c r="F405" i="28"/>
  <c r="G405" i="28"/>
  <c r="K405" i="28"/>
  <c r="B406" i="28"/>
  <c r="D406" i="28"/>
  <c r="E406" i="28"/>
  <c r="F406" i="28"/>
  <c r="G406" i="28"/>
  <c r="K406" i="28"/>
  <c r="B407" i="28"/>
  <c r="D407" i="28"/>
  <c r="E407" i="28"/>
  <c r="F407" i="28"/>
  <c r="G407" i="28"/>
  <c r="K407" i="28"/>
  <c r="B408" i="28"/>
  <c r="D408" i="28"/>
  <c r="E408" i="28"/>
  <c r="F408" i="28"/>
  <c r="G408" i="28"/>
  <c r="K408" i="28"/>
  <c r="B409" i="28"/>
  <c r="D409" i="28"/>
  <c r="E409" i="28"/>
  <c r="F409" i="28"/>
  <c r="G409" i="28"/>
  <c r="K409" i="28"/>
  <c r="B410" i="28"/>
  <c r="D410" i="28"/>
  <c r="E410" i="28"/>
  <c r="F410" i="28"/>
  <c r="G410" i="28"/>
  <c r="K410" i="28"/>
  <c r="B411" i="28"/>
  <c r="D411" i="28"/>
  <c r="E411" i="28"/>
  <c r="F411" i="28"/>
  <c r="G411" i="28"/>
  <c r="K411" i="28"/>
  <c r="B412" i="28"/>
  <c r="D412" i="28"/>
  <c r="E412" i="28"/>
  <c r="F412" i="28"/>
  <c r="G412" i="28"/>
  <c r="K412" i="28"/>
  <c r="B413" i="28"/>
  <c r="D413" i="28"/>
  <c r="E413" i="28"/>
  <c r="F413" i="28"/>
  <c r="G413" i="28"/>
  <c r="K413" i="28"/>
  <c r="B414" i="28"/>
  <c r="D414" i="28"/>
  <c r="E414" i="28"/>
  <c r="F414" i="28"/>
  <c r="G414" i="28"/>
  <c r="K414" i="28"/>
  <c r="B415" i="28"/>
  <c r="D415" i="28"/>
  <c r="E415" i="28"/>
  <c r="F415" i="28"/>
  <c r="G415" i="28"/>
  <c r="K415" i="28"/>
  <c r="B416" i="28"/>
  <c r="D416" i="28"/>
  <c r="E416" i="28"/>
  <c r="F416" i="28"/>
  <c r="G416" i="28"/>
  <c r="K416" i="28"/>
  <c r="B417" i="28"/>
  <c r="D417" i="28"/>
  <c r="E417" i="28"/>
  <c r="F417" i="28"/>
  <c r="G417" i="28"/>
  <c r="K417" i="28"/>
  <c r="B418" i="28"/>
  <c r="D418" i="28"/>
  <c r="E418" i="28"/>
  <c r="F418" i="28"/>
  <c r="G418" i="28"/>
  <c r="K418" i="28"/>
  <c r="B419" i="28"/>
  <c r="D419" i="28"/>
  <c r="E419" i="28"/>
  <c r="F419" i="28"/>
  <c r="G419" i="28"/>
  <c r="K419" i="28"/>
  <c r="B420" i="28"/>
  <c r="D420" i="28"/>
  <c r="E420" i="28"/>
  <c r="F420" i="28"/>
  <c r="G420" i="28"/>
  <c r="K420" i="28"/>
  <c r="B421" i="28"/>
  <c r="D421" i="28"/>
  <c r="E421" i="28"/>
  <c r="F421" i="28"/>
  <c r="G421" i="28"/>
  <c r="K421" i="28"/>
  <c r="B422" i="28"/>
  <c r="D422" i="28"/>
  <c r="E422" i="28"/>
  <c r="F422" i="28"/>
  <c r="G422" i="28"/>
  <c r="K422" i="28"/>
  <c r="B423" i="28"/>
  <c r="D423" i="28"/>
  <c r="E423" i="28"/>
  <c r="F423" i="28"/>
  <c r="G423" i="28"/>
  <c r="K423" i="28"/>
  <c r="B424" i="28"/>
  <c r="D424" i="28"/>
  <c r="E424" i="28"/>
  <c r="F424" i="28"/>
  <c r="G424" i="28"/>
  <c r="K424" i="28"/>
  <c r="B425" i="28"/>
  <c r="D425" i="28"/>
  <c r="E425" i="28"/>
  <c r="F425" i="28"/>
  <c r="G425" i="28"/>
  <c r="K425" i="28"/>
  <c r="B426" i="28"/>
  <c r="D426" i="28"/>
  <c r="E426" i="28"/>
  <c r="F426" i="28"/>
  <c r="G426" i="28"/>
  <c r="K426" i="28"/>
  <c r="B427" i="28"/>
  <c r="D427" i="28"/>
  <c r="E427" i="28"/>
  <c r="F427" i="28"/>
  <c r="G427" i="28"/>
  <c r="K427" i="28"/>
  <c r="B428" i="28"/>
  <c r="D428" i="28"/>
  <c r="E428" i="28"/>
  <c r="F428" i="28"/>
  <c r="G428" i="28"/>
  <c r="K428" i="28"/>
  <c r="B429" i="28"/>
  <c r="D429" i="28"/>
  <c r="E429" i="28"/>
  <c r="F429" i="28"/>
  <c r="G429" i="28"/>
  <c r="K429" i="28"/>
  <c r="B430" i="28"/>
  <c r="D430" i="28"/>
  <c r="E430" i="28"/>
  <c r="F430" i="28"/>
  <c r="G430" i="28"/>
  <c r="K430" i="28"/>
  <c r="B431" i="28"/>
  <c r="D431" i="28"/>
  <c r="E431" i="28"/>
  <c r="F431" i="28"/>
  <c r="G431" i="28"/>
  <c r="K431" i="28"/>
  <c r="B432" i="28"/>
  <c r="D432" i="28"/>
  <c r="E432" i="28"/>
  <c r="F432" i="28"/>
  <c r="G432" i="28"/>
  <c r="K432" i="28"/>
  <c r="B433" i="28"/>
  <c r="D433" i="28"/>
  <c r="E433" i="28"/>
  <c r="F433" i="28"/>
  <c r="G433" i="28"/>
  <c r="K433" i="28"/>
  <c r="B434" i="28"/>
  <c r="D434" i="28"/>
  <c r="E434" i="28"/>
  <c r="F434" i="28"/>
  <c r="G434" i="28"/>
  <c r="K434" i="28"/>
  <c r="B435" i="28"/>
  <c r="D435" i="28"/>
  <c r="E435" i="28"/>
  <c r="F435" i="28"/>
  <c r="G435" i="28"/>
  <c r="K435" i="28"/>
  <c r="B436" i="28"/>
  <c r="D436" i="28"/>
  <c r="E436" i="28"/>
  <c r="F436" i="28"/>
  <c r="G436" i="28"/>
  <c r="K436" i="28"/>
  <c r="B437" i="28"/>
  <c r="D437" i="28"/>
  <c r="E437" i="28"/>
  <c r="F437" i="28"/>
  <c r="G437" i="28"/>
  <c r="K437" i="28"/>
  <c r="B438" i="28"/>
  <c r="D438" i="28"/>
  <c r="E438" i="28"/>
  <c r="F438" i="28"/>
  <c r="G438" i="28"/>
  <c r="K438" i="28"/>
  <c r="B439" i="28"/>
  <c r="D439" i="28"/>
  <c r="E439" i="28"/>
  <c r="F439" i="28"/>
  <c r="G439" i="28"/>
  <c r="K439" i="28"/>
  <c r="B440" i="28"/>
  <c r="D440" i="28"/>
  <c r="E440" i="28"/>
  <c r="F440" i="28"/>
  <c r="G440" i="28"/>
  <c r="K440" i="28"/>
  <c r="B441" i="28"/>
  <c r="D441" i="28"/>
  <c r="E441" i="28"/>
  <c r="F441" i="28"/>
  <c r="G441" i="28"/>
  <c r="K441" i="28"/>
  <c r="B442" i="28"/>
  <c r="D442" i="28"/>
  <c r="E442" i="28"/>
  <c r="F442" i="28"/>
  <c r="G442" i="28"/>
  <c r="K442" i="28"/>
  <c r="B443" i="28"/>
  <c r="D443" i="28"/>
  <c r="E443" i="28"/>
  <c r="F443" i="28"/>
  <c r="G443" i="28"/>
  <c r="K443" i="28"/>
  <c r="B444" i="28"/>
  <c r="D444" i="28"/>
  <c r="E444" i="28"/>
  <c r="F444" i="28"/>
  <c r="G444" i="28"/>
  <c r="K444" i="28"/>
  <c r="B445" i="28"/>
  <c r="D445" i="28"/>
  <c r="E445" i="28"/>
  <c r="F445" i="28"/>
  <c r="G445" i="28"/>
  <c r="K445" i="28"/>
  <c r="B446" i="28"/>
  <c r="D446" i="28"/>
  <c r="E446" i="28"/>
  <c r="F446" i="28"/>
  <c r="G446" i="28"/>
  <c r="K446" i="28"/>
  <c r="B447" i="28"/>
  <c r="D447" i="28"/>
  <c r="E447" i="28"/>
  <c r="F447" i="28"/>
  <c r="G447" i="28"/>
  <c r="K447" i="28"/>
  <c r="B448" i="28"/>
  <c r="D448" i="28"/>
  <c r="E448" i="28"/>
  <c r="F448" i="28"/>
  <c r="G448" i="28"/>
  <c r="K448" i="28"/>
  <c r="B449" i="28"/>
  <c r="D449" i="28"/>
  <c r="E449" i="28"/>
  <c r="F449" i="28"/>
  <c r="G449" i="28"/>
  <c r="K449" i="28"/>
  <c r="B450" i="28"/>
  <c r="D450" i="28"/>
  <c r="E450" i="28"/>
  <c r="F450" i="28"/>
  <c r="G450" i="28"/>
  <c r="K450" i="28"/>
  <c r="B451" i="28"/>
  <c r="D451" i="28"/>
  <c r="E451" i="28"/>
  <c r="F451" i="28"/>
  <c r="G451" i="28"/>
  <c r="K451" i="28"/>
  <c r="B452" i="28"/>
  <c r="D452" i="28"/>
  <c r="E452" i="28"/>
  <c r="F452" i="28"/>
  <c r="G452" i="28"/>
  <c r="K452" i="28"/>
  <c r="B453" i="28"/>
  <c r="D453" i="28"/>
  <c r="E453" i="28"/>
  <c r="F453" i="28"/>
  <c r="G453" i="28"/>
  <c r="K453" i="28"/>
  <c r="B454" i="28"/>
  <c r="D454" i="28"/>
  <c r="E454" i="28"/>
  <c r="F454" i="28"/>
  <c r="G454" i="28"/>
  <c r="K454" i="28"/>
  <c r="B455" i="28"/>
  <c r="D455" i="28"/>
  <c r="E455" i="28"/>
  <c r="F455" i="28"/>
  <c r="G455" i="28"/>
  <c r="K455" i="28"/>
  <c r="B456" i="28"/>
  <c r="D456" i="28"/>
  <c r="E456" i="28"/>
  <c r="F456" i="28"/>
  <c r="G456" i="28"/>
  <c r="K456" i="28"/>
  <c r="B457" i="28"/>
  <c r="D457" i="28"/>
  <c r="E457" i="28"/>
  <c r="F457" i="28"/>
  <c r="G457" i="28"/>
  <c r="K457" i="28"/>
  <c r="B458" i="28"/>
  <c r="D458" i="28"/>
  <c r="E458" i="28"/>
  <c r="F458" i="28"/>
  <c r="G458" i="28"/>
  <c r="K458" i="28"/>
  <c r="B459" i="28"/>
  <c r="D459" i="28"/>
  <c r="E459" i="28"/>
  <c r="F459" i="28"/>
  <c r="G459" i="28"/>
  <c r="K459" i="28"/>
  <c r="B460" i="28"/>
  <c r="D460" i="28"/>
  <c r="E460" i="28"/>
  <c r="F460" i="28"/>
  <c r="G460" i="28"/>
  <c r="K460" i="28"/>
  <c r="B461" i="28"/>
  <c r="D461" i="28"/>
  <c r="E461" i="28"/>
  <c r="F461" i="28"/>
  <c r="G461" i="28"/>
  <c r="K461" i="28"/>
  <c r="B462" i="28"/>
  <c r="D462" i="28"/>
  <c r="E462" i="28"/>
  <c r="F462" i="28"/>
  <c r="G462" i="28"/>
  <c r="K462" i="28"/>
  <c r="B463" i="28"/>
  <c r="D463" i="28"/>
  <c r="E463" i="28"/>
  <c r="F463" i="28"/>
  <c r="G463" i="28"/>
  <c r="K463" i="28"/>
  <c r="B464" i="28"/>
  <c r="D464" i="28"/>
  <c r="E464" i="28"/>
  <c r="F464" i="28"/>
  <c r="G464" i="28"/>
  <c r="K464" i="28"/>
  <c r="B465" i="28"/>
  <c r="D465" i="28"/>
  <c r="E465" i="28"/>
  <c r="F465" i="28"/>
  <c r="G465" i="28"/>
  <c r="K465" i="28"/>
  <c r="B466" i="28"/>
  <c r="D466" i="28"/>
  <c r="E466" i="28"/>
  <c r="F466" i="28"/>
  <c r="G466" i="28"/>
  <c r="K466" i="28"/>
  <c r="B467" i="28"/>
  <c r="D467" i="28"/>
  <c r="E467" i="28"/>
  <c r="F467" i="28"/>
  <c r="G467" i="28"/>
  <c r="K467" i="28"/>
  <c r="B468" i="28"/>
  <c r="D468" i="28"/>
  <c r="E468" i="28"/>
  <c r="F468" i="28"/>
  <c r="G468" i="28"/>
  <c r="K468" i="28"/>
  <c r="B469" i="28"/>
  <c r="D469" i="28"/>
  <c r="E469" i="28"/>
  <c r="F469" i="28"/>
  <c r="G469" i="28"/>
  <c r="K469" i="28"/>
  <c r="B470" i="28"/>
  <c r="D470" i="28"/>
  <c r="E470" i="28"/>
  <c r="F470" i="28"/>
  <c r="G470" i="28"/>
  <c r="K470" i="28"/>
  <c r="B471" i="28"/>
  <c r="D471" i="28"/>
  <c r="E471" i="28"/>
  <c r="F471" i="28"/>
  <c r="G471" i="28"/>
  <c r="K471" i="28"/>
  <c r="B472" i="28"/>
  <c r="D472" i="28"/>
  <c r="E472" i="28"/>
  <c r="F472" i="28"/>
  <c r="G472" i="28"/>
  <c r="K472" i="28"/>
  <c r="B473" i="28"/>
  <c r="D473" i="28"/>
  <c r="E473" i="28"/>
  <c r="F473" i="28"/>
  <c r="G473" i="28"/>
  <c r="K473" i="28"/>
  <c r="B474" i="28"/>
  <c r="D474" i="28"/>
  <c r="E474" i="28"/>
  <c r="F474" i="28"/>
  <c r="G474" i="28"/>
  <c r="K474" i="28"/>
  <c r="B475" i="28"/>
  <c r="D475" i="28"/>
  <c r="E475" i="28"/>
  <c r="F475" i="28"/>
  <c r="G475" i="28"/>
  <c r="K475" i="28"/>
  <c r="B476" i="28"/>
  <c r="D476" i="28"/>
  <c r="E476" i="28"/>
  <c r="F476" i="28"/>
  <c r="G476" i="28"/>
  <c r="K476" i="28"/>
  <c r="B477" i="28"/>
  <c r="D477" i="28"/>
  <c r="E477" i="28"/>
  <c r="F477" i="28"/>
  <c r="G477" i="28"/>
  <c r="K477" i="28"/>
  <c r="B478" i="28"/>
  <c r="D478" i="28"/>
  <c r="E478" i="28"/>
  <c r="F478" i="28"/>
  <c r="G478" i="28"/>
  <c r="K478" i="28"/>
  <c r="B479" i="28"/>
  <c r="D479" i="28"/>
  <c r="E479" i="28"/>
  <c r="F479" i="28"/>
  <c r="G479" i="28"/>
  <c r="K479" i="28"/>
  <c r="B480" i="28"/>
  <c r="D480" i="28"/>
  <c r="E480" i="28"/>
  <c r="F480" i="28"/>
  <c r="G480" i="28"/>
  <c r="K480" i="28"/>
  <c r="B481" i="28"/>
  <c r="D481" i="28"/>
  <c r="E481" i="28"/>
  <c r="F481" i="28"/>
  <c r="G481" i="28"/>
  <c r="K481" i="28"/>
  <c r="B482" i="28"/>
  <c r="D482" i="28"/>
  <c r="E482" i="28"/>
  <c r="F482" i="28"/>
  <c r="G482" i="28"/>
  <c r="K482" i="28"/>
  <c r="B483" i="28"/>
  <c r="D483" i="28"/>
  <c r="E483" i="28"/>
  <c r="F483" i="28"/>
  <c r="G483" i="28"/>
  <c r="K483" i="28"/>
  <c r="B484" i="28"/>
  <c r="D484" i="28"/>
  <c r="E484" i="28"/>
  <c r="F484" i="28"/>
  <c r="G484" i="28"/>
  <c r="K484" i="28"/>
  <c r="B485" i="28"/>
  <c r="D485" i="28"/>
  <c r="E485" i="28"/>
  <c r="F485" i="28"/>
  <c r="G485" i="28"/>
  <c r="K485" i="28"/>
  <c r="B486" i="28"/>
  <c r="D486" i="28"/>
  <c r="E486" i="28"/>
  <c r="F486" i="28"/>
  <c r="G486" i="28"/>
  <c r="K486" i="28"/>
  <c r="B487" i="28"/>
  <c r="D487" i="28"/>
  <c r="E487" i="28"/>
  <c r="F487" i="28"/>
  <c r="G487" i="28"/>
  <c r="K487" i="28"/>
  <c r="B488" i="28"/>
  <c r="D488" i="28"/>
  <c r="E488" i="28"/>
  <c r="F488" i="28"/>
  <c r="G488" i="28"/>
  <c r="K488" i="28"/>
  <c r="B489" i="28"/>
  <c r="D489" i="28"/>
  <c r="E489" i="28"/>
  <c r="F489" i="28"/>
  <c r="G489" i="28"/>
  <c r="K489" i="28"/>
  <c r="B490" i="28"/>
  <c r="D490" i="28"/>
  <c r="E490" i="28"/>
  <c r="F490" i="28"/>
  <c r="G490" i="28"/>
  <c r="K490" i="28"/>
  <c r="B491" i="28"/>
  <c r="D491" i="28"/>
  <c r="E491" i="28"/>
  <c r="F491" i="28"/>
  <c r="G491" i="28"/>
  <c r="K491" i="28"/>
  <c r="B492" i="28"/>
  <c r="D492" i="28"/>
  <c r="E492" i="28"/>
  <c r="F492" i="28"/>
  <c r="G492" i="28"/>
  <c r="K492" i="28"/>
  <c r="B493" i="28"/>
  <c r="D493" i="28"/>
  <c r="E493" i="28"/>
  <c r="F493" i="28"/>
  <c r="G493" i="28"/>
  <c r="K493" i="28"/>
  <c r="B494" i="28"/>
  <c r="D494" i="28"/>
  <c r="E494" i="28"/>
  <c r="F494" i="28"/>
  <c r="G494" i="28"/>
  <c r="K494" i="28"/>
  <c r="B495" i="28"/>
  <c r="D495" i="28"/>
  <c r="E495" i="28"/>
  <c r="F495" i="28"/>
  <c r="G495" i="28"/>
  <c r="K495" i="28"/>
  <c r="B496" i="28"/>
  <c r="D496" i="28"/>
  <c r="E496" i="28"/>
  <c r="F496" i="28"/>
  <c r="G496" i="28"/>
  <c r="K496" i="28"/>
  <c r="B497" i="28"/>
  <c r="D497" i="28"/>
  <c r="E497" i="28"/>
  <c r="F497" i="28"/>
  <c r="G497" i="28"/>
  <c r="K497" i="28"/>
  <c r="B498" i="28"/>
  <c r="D498" i="28"/>
  <c r="E498" i="28"/>
  <c r="F498" i="28"/>
  <c r="G498" i="28"/>
  <c r="K498" i="28"/>
  <c r="B499" i="28"/>
  <c r="D499" i="28"/>
  <c r="E499" i="28"/>
  <c r="F499" i="28"/>
  <c r="G499" i="28"/>
  <c r="K499" i="28"/>
  <c r="B500" i="28"/>
  <c r="D500" i="28"/>
  <c r="E500" i="28"/>
  <c r="F500" i="28"/>
  <c r="G500" i="28"/>
  <c r="K500" i="28"/>
  <c r="B501" i="28"/>
  <c r="D501" i="28"/>
  <c r="E501" i="28"/>
  <c r="F501" i="28"/>
  <c r="G501" i="28"/>
  <c r="K501" i="28"/>
  <c r="B502" i="28"/>
  <c r="D502" i="28"/>
  <c r="E502" i="28"/>
  <c r="F502" i="28"/>
  <c r="G502" i="28"/>
  <c r="K502" i="28"/>
  <c r="B503" i="28"/>
  <c r="D503" i="28"/>
  <c r="E503" i="28"/>
  <c r="F503" i="28"/>
  <c r="G503" i="28"/>
  <c r="K503" i="28"/>
  <c r="B504" i="28"/>
  <c r="D504" i="28"/>
  <c r="E504" i="28"/>
  <c r="F504" i="28"/>
  <c r="G504" i="28"/>
  <c r="K504" i="28"/>
  <c r="B505" i="28"/>
  <c r="D505" i="28"/>
  <c r="E505" i="28"/>
  <c r="F505" i="28"/>
  <c r="G505" i="28"/>
  <c r="K505" i="28"/>
  <c r="B506" i="28"/>
  <c r="D506" i="28"/>
  <c r="E506" i="28"/>
  <c r="F506" i="28"/>
  <c r="G506" i="28"/>
  <c r="K506" i="28"/>
  <c r="B507" i="28"/>
  <c r="D507" i="28"/>
  <c r="E507" i="28"/>
  <c r="F507" i="28"/>
  <c r="G507" i="28"/>
  <c r="K507" i="28"/>
  <c r="B508" i="28"/>
  <c r="D508" i="28"/>
  <c r="E508" i="28"/>
  <c r="F508" i="28"/>
  <c r="G508" i="28"/>
  <c r="K508" i="28"/>
  <c r="B509" i="28"/>
  <c r="D509" i="28"/>
  <c r="E509" i="28"/>
  <c r="F509" i="28"/>
  <c r="G509" i="28"/>
  <c r="K509" i="28"/>
  <c r="B510" i="28"/>
  <c r="D510" i="28"/>
  <c r="E510" i="28"/>
  <c r="F510" i="28"/>
  <c r="G510" i="28"/>
  <c r="K510" i="28"/>
  <c r="B511" i="28"/>
  <c r="D511" i="28"/>
  <c r="E511" i="28"/>
  <c r="F511" i="28"/>
  <c r="G511" i="28"/>
  <c r="K511" i="28"/>
  <c r="B512" i="28"/>
  <c r="D512" i="28"/>
  <c r="E512" i="28"/>
  <c r="F512" i="28"/>
  <c r="G512" i="28"/>
  <c r="K512" i="28"/>
  <c r="B513" i="28"/>
  <c r="D513" i="28"/>
  <c r="E513" i="28"/>
  <c r="F513" i="28"/>
  <c r="G513" i="28"/>
  <c r="K513" i="28"/>
  <c r="B514" i="28"/>
  <c r="D514" i="28"/>
  <c r="E514" i="28"/>
  <c r="F514" i="28"/>
  <c r="G514" i="28"/>
  <c r="K514" i="28"/>
  <c r="B515" i="28"/>
  <c r="D515" i="28"/>
  <c r="E515" i="28"/>
  <c r="F515" i="28"/>
  <c r="G515" i="28"/>
  <c r="K515" i="28"/>
  <c r="B516" i="28"/>
  <c r="D516" i="28"/>
  <c r="E516" i="28"/>
  <c r="F516" i="28"/>
  <c r="G516" i="28"/>
  <c r="K516" i="28"/>
  <c r="B517" i="28"/>
  <c r="D517" i="28"/>
  <c r="E517" i="28"/>
  <c r="F517" i="28"/>
  <c r="G517" i="28"/>
  <c r="K517" i="28"/>
  <c r="B518" i="28"/>
  <c r="D518" i="28"/>
  <c r="E518" i="28"/>
  <c r="F518" i="28"/>
  <c r="G518" i="28"/>
  <c r="K518" i="28"/>
  <c r="B519" i="28"/>
  <c r="D519" i="28"/>
  <c r="E519" i="28"/>
  <c r="F519" i="28"/>
  <c r="G519" i="28"/>
  <c r="K519" i="28"/>
  <c r="B520" i="28"/>
  <c r="D520" i="28"/>
  <c r="E520" i="28"/>
  <c r="F520" i="28"/>
  <c r="G520" i="28"/>
  <c r="K520" i="28"/>
  <c r="B521" i="28"/>
  <c r="D521" i="28"/>
  <c r="E521" i="28"/>
  <c r="F521" i="28"/>
  <c r="G521" i="28"/>
  <c r="K521" i="28"/>
  <c r="B522" i="28"/>
  <c r="D522" i="28"/>
  <c r="E522" i="28"/>
  <c r="F522" i="28"/>
  <c r="G522" i="28"/>
  <c r="K522" i="28"/>
  <c r="B523" i="28"/>
  <c r="D523" i="28"/>
  <c r="E523" i="28"/>
  <c r="F523" i="28"/>
  <c r="G523" i="28"/>
  <c r="K523" i="28"/>
  <c r="B524" i="28"/>
  <c r="D524" i="28"/>
  <c r="E524" i="28"/>
  <c r="F524" i="28"/>
  <c r="G524" i="28"/>
  <c r="K524" i="28"/>
  <c r="B525" i="28"/>
  <c r="D525" i="28"/>
  <c r="E525" i="28"/>
  <c r="F525" i="28"/>
  <c r="G525" i="28"/>
  <c r="K525" i="28"/>
  <c r="B526" i="28"/>
  <c r="D526" i="28"/>
  <c r="E526" i="28"/>
  <c r="F526" i="28"/>
  <c r="G526" i="28"/>
  <c r="K526" i="28"/>
  <c r="B527" i="28"/>
  <c r="D527" i="28"/>
  <c r="E527" i="28"/>
  <c r="F527" i="28"/>
  <c r="G527" i="28"/>
  <c r="K527" i="28"/>
  <c r="B528" i="28"/>
  <c r="D528" i="28"/>
  <c r="E528" i="28"/>
  <c r="F528" i="28"/>
  <c r="G528" i="28"/>
  <c r="K528" i="28"/>
  <c r="B529" i="28"/>
  <c r="D529" i="28"/>
  <c r="E529" i="28"/>
  <c r="F529" i="28"/>
  <c r="G529" i="28"/>
  <c r="K529" i="28"/>
  <c r="B530" i="28"/>
  <c r="D530" i="28"/>
  <c r="E530" i="28"/>
  <c r="F530" i="28"/>
  <c r="G530" i="28"/>
  <c r="K530" i="28"/>
  <c r="B531" i="28"/>
  <c r="D531" i="28"/>
  <c r="E531" i="28"/>
  <c r="F531" i="28"/>
  <c r="G531" i="28"/>
  <c r="K531" i="28"/>
  <c r="B532" i="28"/>
  <c r="D532" i="28"/>
  <c r="E532" i="28"/>
  <c r="F532" i="28"/>
  <c r="G532" i="28"/>
  <c r="K532" i="28"/>
  <c r="B533" i="28"/>
  <c r="D533" i="28"/>
  <c r="E533" i="28"/>
  <c r="F533" i="28"/>
  <c r="G533" i="28"/>
  <c r="K533" i="28"/>
  <c r="B534" i="28"/>
  <c r="D534" i="28"/>
  <c r="E534" i="28"/>
  <c r="F534" i="28"/>
  <c r="G534" i="28"/>
  <c r="K534" i="28"/>
  <c r="B535" i="28"/>
  <c r="D535" i="28"/>
  <c r="E535" i="28"/>
  <c r="F535" i="28"/>
  <c r="G535" i="28"/>
  <c r="K535" i="28"/>
  <c r="B536" i="28"/>
  <c r="D536" i="28"/>
  <c r="E536" i="28"/>
  <c r="F536" i="28"/>
  <c r="G536" i="28"/>
  <c r="K536" i="28"/>
  <c r="B537" i="28"/>
  <c r="D537" i="28"/>
  <c r="E537" i="28"/>
  <c r="F537" i="28"/>
  <c r="G537" i="28"/>
  <c r="K537" i="28"/>
  <c r="B538" i="28"/>
  <c r="D538" i="28"/>
  <c r="E538" i="28"/>
  <c r="F538" i="28"/>
  <c r="G538" i="28"/>
  <c r="K538" i="28"/>
  <c r="B539" i="28"/>
  <c r="D539" i="28"/>
  <c r="E539" i="28"/>
  <c r="F539" i="28"/>
  <c r="G539" i="28"/>
  <c r="K539" i="28"/>
  <c r="B540" i="28"/>
  <c r="D540" i="28"/>
  <c r="E540" i="28"/>
  <c r="F540" i="28"/>
  <c r="G540" i="28"/>
  <c r="K540" i="28"/>
  <c r="B541" i="28"/>
  <c r="D541" i="28"/>
  <c r="E541" i="28"/>
  <c r="F541" i="28"/>
  <c r="G541" i="28"/>
  <c r="K541" i="28"/>
  <c r="B542" i="28"/>
  <c r="D542" i="28"/>
  <c r="E542" i="28"/>
  <c r="F542" i="28"/>
  <c r="G542" i="28"/>
  <c r="K542" i="28"/>
  <c r="B543" i="28"/>
  <c r="D543" i="28"/>
  <c r="E543" i="28"/>
  <c r="F543" i="28"/>
  <c r="G543" i="28"/>
  <c r="K543" i="28"/>
  <c r="B544" i="28"/>
  <c r="D544" i="28"/>
  <c r="E544" i="28"/>
  <c r="F544" i="28"/>
  <c r="G544" i="28"/>
  <c r="K544" i="28"/>
  <c r="B545" i="28"/>
  <c r="D545" i="28"/>
  <c r="E545" i="28"/>
  <c r="F545" i="28"/>
  <c r="G545" i="28"/>
  <c r="K545" i="28"/>
  <c r="B546" i="28"/>
  <c r="D546" i="28"/>
  <c r="E546" i="28"/>
  <c r="F546" i="28"/>
  <c r="G546" i="28"/>
  <c r="K546" i="28"/>
  <c r="B547" i="28"/>
  <c r="D547" i="28"/>
  <c r="E547" i="28"/>
  <c r="F547" i="28"/>
  <c r="G547" i="28"/>
  <c r="K547" i="28"/>
  <c r="B548" i="28"/>
  <c r="D548" i="28"/>
  <c r="E548" i="28"/>
  <c r="F548" i="28"/>
  <c r="G548" i="28"/>
  <c r="K548" i="28"/>
  <c r="B549" i="28"/>
  <c r="D549" i="28"/>
  <c r="E549" i="28"/>
  <c r="F549" i="28"/>
  <c r="G549" i="28"/>
  <c r="K549" i="28"/>
  <c r="B550" i="28"/>
  <c r="D550" i="28"/>
  <c r="E550" i="28"/>
  <c r="F550" i="28"/>
  <c r="G550" i="28"/>
  <c r="K550" i="28"/>
  <c r="B551" i="28"/>
  <c r="D551" i="28"/>
  <c r="E551" i="28"/>
  <c r="F551" i="28"/>
  <c r="G551" i="28"/>
  <c r="K551" i="28"/>
  <c r="B552" i="28"/>
  <c r="D552" i="28"/>
  <c r="E552" i="28"/>
  <c r="F552" i="28"/>
  <c r="G552" i="28"/>
  <c r="K552" i="28"/>
  <c r="B553" i="28"/>
  <c r="D553" i="28"/>
  <c r="E553" i="28"/>
  <c r="F553" i="28"/>
  <c r="G553" i="28"/>
  <c r="K553" i="28"/>
  <c r="B554" i="28"/>
  <c r="D554" i="28"/>
  <c r="E554" i="28"/>
  <c r="F554" i="28"/>
  <c r="G554" i="28"/>
  <c r="K554" i="28"/>
  <c r="B555" i="28"/>
  <c r="D555" i="28"/>
  <c r="E555" i="28"/>
  <c r="F555" i="28"/>
  <c r="G555" i="28"/>
  <c r="K555" i="28"/>
  <c r="B556" i="28"/>
  <c r="D556" i="28"/>
  <c r="E556" i="28"/>
  <c r="F556" i="28"/>
  <c r="G556" i="28"/>
  <c r="K556" i="28"/>
  <c r="B557" i="28"/>
  <c r="D557" i="28"/>
  <c r="E557" i="28"/>
  <c r="F557" i="28"/>
  <c r="G557" i="28"/>
  <c r="K557" i="28"/>
  <c r="B558" i="28"/>
  <c r="D558" i="28"/>
  <c r="E558" i="28"/>
  <c r="F558" i="28"/>
  <c r="G558" i="28"/>
  <c r="K558" i="28"/>
  <c r="B559" i="28"/>
  <c r="D559" i="28"/>
  <c r="E559" i="28"/>
  <c r="F559" i="28"/>
  <c r="G559" i="28"/>
  <c r="K559" i="28"/>
  <c r="B560" i="28"/>
  <c r="D560" i="28"/>
  <c r="E560" i="28"/>
  <c r="F560" i="28"/>
  <c r="G560" i="28"/>
  <c r="K560" i="28"/>
  <c r="B561" i="28"/>
  <c r="D561" i="28"/>
  <c r="E561" i="28"/>
  <c r="F561" i="28"/>
  <c r="G561" i="28"/>
  <c r="K561" i="28"/>
  <c r="B562" i="28"/>
  <c r="D562" i="28"/>
  <c r="E562" i="28"/>
  <c r="F562" i="28"/>
  <c r="G562" i="28"/>
  <c r="K562" i="28"/>
  <c r="B563" i="28"/>
  <c r="D563" i="28"/>
  <c r="E563" i="28"/>
  <c r="F563" i="28"/>
  <c r="G563" i="28"/>
  <c r="K563" i="28"/>
  <c r="B564" i="28"/>
  <c r="D564" i="28"/>
  <c r="E564" i="28"/>
  <c r="F564" i="28"/>
  <c r="G564" i="28"/>
  <c r="K564" i="28"/>
  <c r="B565" i="28"/>
  <c r="D565" i="28"/>
  <c r="E565" i="28"/>
  <c r="F565" i="28"/>
  <c r="G565" i="28"/>
  <c r="K565" i="28"/>
  <c r="B566" i="28"/>
  <c r="D566" i="28"/>
  <c r="E566" i="28"/>
  <c r="F566" i="28"/>
  <c r="G566" i="28"/>
  <c r="K566" i="28"/>
  <c r="B567" i="28"/>
  <c r="D567" i="28"/>
  <c r="E567" i="28"/>
  <c r="F567" i="28"/>
  <c r="G567" i="28"/>
  <c r="K567" i="28"/>
  <c r="B568" i="28"/>
  <c r="D568" i="28"/>
  <c r="E568" i="28"/>
  <c r="F568" i="28"/>
  <c r="G568" i="28"/>
  <c r="K568" i="28"/>
  <c r="B569" i="28"/>
  <c r="D569" i="28"/>
  <c r="E569" i="28"/>
  <c r="F569" i="28"/>
  <c r="G569" i="28"/>
  <c r="K569" i="28"/>
  <c r="B570" i="28"/>
  <c r="D570" i="28"/>
  <c r="E570" i="28"/>
  <c r="F570" i="28"/>
  <c r="G570" i="28"/>
  <c r="K570" i="28"/>
  <c r="B571" i="28"/>
  <c r="D571" i="28"/>
  <c r="E571" i="28"/>
  <c r="F571" i="28"/>
  <c r="G571" i="28"/>
  <c r="K571" i="28"/>
  <c r="B572" i="28"/>
  <c r="D572" i="28"/>
  <c r="E572" i="28"/>
  <c r="F572" i="28"/>
  <c r="G572" i="28"/>
  <c r="K572" i="28"/>
  <c r="B573" i="28"/>
  <c r="D573" i="28"/>
  <c r="E573" i="28"/>
  <c r="F573" i="28"/>
  <c r="G573" i="28"/>
  <c r="K573" i="28"/>
  <c r="B574" i="28"/>
  <c r="D574" i="28"/>
  <c r="E574" i="28"/>
  <c r="F574" i="28"/>
  <c r="G574" i="28"/>
  <c r="K574" i="28"/>
  <c r="B575" i="28"/>
  <c r="D575" i="28"/>
  <c r="E575" i="28"/>
  <c r="F575" i="28"/>
  <c r="G575" i="28"/>
  <c r="K575" i="28"/>
  <c r="B576" i="28"/>
  <c r="D576" i="28"/>
  <c r="E576" i="28"/>
  <c r="F576" i="28"/>
  <c r="G576" i="28"/>
  <c r="K576" i="28"/>
  <c r="B577" i="28"/>
  <c r="D577" i="28"/>
  <c r="E577" i="28"/>
  <c r="F577" i="28"/>
  <c r="G577" i="28"/>
  <c r="K577" i="28"/>
  <c r="B578" i="28"/>
  <c r="D578" i="28"/>
  <c r="E578" i="28"/>
  <c r="F578" i="28"/>
  <c r="G578" i="28"/>
  <c r="K578" i="28"/>
  <c r="B579" i="28"/>
  <c r="D579" i="28"/>
  <c r="E579" i="28"/>
  <c r="F579" i="28"/>
  <c r="G579" i="28"/>
  <c r="K579" i="28"/>
  <c r="B580" i="28"/>
  <c r="D580" i="28"/>
  <c r="E580" i="28"/>
  <c r="F580" i="28"/>
  <c r="G580" i="28"/>
  <c r="K580" i="28"/>
  <c r="B581" i="28"/>
  <c r="D581" i="28"/>
  <c r="E581" i="28"/>
  <c r="F581" i="28"/>
  <c r="G581" i="28"/>
  <c r="K581" i="28"/>
  <c r="B582" i="28"/>
  <c r="D582" i="28"/>
  <c r="E582" i="28"/>
  <c r="F582" i="28"/>
  <c r="G582" i="28"/>
  <c r="K582" i="28"/>
  <c r="B583" i="28"/>
  <c r="D583" i="28"/>
  <c r="E583" i="28"/>
  <c r="F583" i="28"/>
  <c r="G583" i="28"/>
  <c r="K583" i="28"/>
  <c r="B584" i="28"/>
  <c r="D584" i="28"/>
  <c r="E584" i="28"/>
  <c r="F584" i="28"/>
  <c r="G584" i="28"/>
  <c r="K584" i="28"/>
  <c r="B585" i="28"/>
  <c r="D585" i="28"/>
  <c r="E585" i="28"/>
  <c r="F585" i="28"/>
  <c r="G585" i="28"/>
  <c r="K585" i="28"/>
  <c r="B586" i="28"/>
  <c r="D586" i="28"/>
  <c r="E586" i="28"/>
  <c r="F586" i="28"/>
  <c r="G586" i="28"/>
  <c r="K586" i="28"/>
  <c r="B587" i="28"/>
  <c r="D587" i="28"/>
  <c r="E587" i="28"/>
  <c r="F587" i="28"/>
  <c r="G587" i="28"/>
  <c r="K587" i="28"/>
  <c r="B588" i="28"/>
  <c r="D588" i="28"/>
  <c r="E588" i="28"/>
  <c r="F588" i="28"/>
  <c r="G588" i="28"/>
  <c r="K588" i="28"/>
  <c r="B589" i="28"/>
  <c r="D589" i="28"/>
  <c r="E589" i="28"/>
  <c r="F589" i="28"/>
  <c r="G589" i="28"/>
  <c r="K589" i="28"/>
  <c r="B590" i="28"/>
  <c r="D590" i="28"/>
  <c r="E590" i="28"/>
  <c r="F590" i="28"/>
  <c r="G590" i="28"/>
  <c r="K590" i="28"/>
  <c r="B591" i="28"/>
  <c r="D591" i="28"/>
  <c r="E591" i="28"/>
  <c r="F591" i="28"/>
  <c r="G591" i="28"/>
  <c r="K591" i="28"/>
  <c r="B592" i="28"/>
  <c r="D592" i="28"/>
  <c r="E592" i="28"/>
  <c r="F592" i="28"/>
  <c r="G592" i="28"/>
  <c r="K592" i="28"/>
  <c r="B593" i="28"/>
  <c r="D593" i="28"/>
  <c r="E593" i="28"/>
  <c r="F593" i="28"/>
  <c r="G593" i="28"/>
  <c r="K593" i="28"/>
  <c r="B594" i="28"/>
  <c r="D594" i="28"/>
  <c r="E594" i="28"/>
  <c r="F594" i="28"/>
  <c r="G594" i="28"/>
  <c r="K594" i="28"/>
  <c r="B595" i="28"/>
  <c r="D595" i="28"/>
  <c r="E595" i="28"/>
  <c r="F595" i="28"/>
  <c r="G595" i="28"/>
  <c r="K595" i="28"/>
  <c r="B596" i="28"/>
  <c r="D596" i="28"/>
  <c r="E596" i="28"/>
  <c r="F596" i="28"/>
  <c r="G596" i="28"/>
  <c r="K596" i="28"/>
  <c r="B597" i="28"/>
  <c r="D597" i="28"/>
  <c r="E597" i="28"/>
  <c r="F597" i="28"/>
  <c r="G597" i="28"/>
  <c r="K597" i="28"/>
  <c r="B598" i="28"/>
  <c r="D598" i="28"/>
  <c r="E598" i="28"/>
  <c r="F598" i="28"/>
  <c r="G598" i="28"/>
  <c r="K598" i="28"/>
  <c r="B599" i="28"/>
  <c r="D599" i="28"/>
  <c r="E599" i="28"/>
  <c r="F599" i="28"/>
  <c r="G599" i="28"/>
  <c r="K599" i="28"/>
  <c r="B600" i="28"/>
  <c r="D600" i="28"/>
  <c r="E600" i="28"/>
  <c r="F600" i="28"/>
  <c r="G600" i="28"/>
  <c r="K600" i="28"/>
  <c r="B601" i="28"/>
  <c r="D601" i="28"/>
  <c r="E601" i="28"/>
  <c r="F601" i="28"/>
  <c r="G601" i="28"/>
  <c r="K601" i="28"/>
  <c r="B602" i="28"/>
  <c r="D602" i="28"/>
  <c r="E602" i="28"/>
  <c r="F602" i="28"/>
  <c r="G602" i="28"/>
  <c r="K602" i="28"/>
  <c r="B603" i="28"/>
  <c r="D603" i="28"/>
  <c r="E603" i="28"/>
  <c r="F603" i="28"/>
  <c r="G603" i="28"/>
  <c r="K603" i="28"/>
  <c r="B604" i="28"/>
  <c r="D604" i="28"/>
  <c r="E604" i="28"/>
  <c r="F604" i="28"/>
  <c r="G604" i="28"/>
  <c r="K604" i="28"/>
  <c r="B605" i="28"/>
  <c r="D605" i="28"/>
  <c r="E605" i="28"/>
  <c r="F605" i="28"/>
  <c r="G605" i="28"/>
  <c r="K605" i="28"/>
  <c r="B606" i="28"/>
  <c r="D606" i="28"/>
  <c r="E606" i="28"/>
  <c r="F606" i="28"/>
  <c r="G606" i="28"/>
  <c r="K606" i="28"/>
  <c r="B607" i="28"/>
  <c r="D607" i="28"/>
  <c r="E607" i="28"/>
  <c r="F607" i="28"/>
  <c r="G607" i="28"/>
  <c r="K607" i="28"/>
  <c r="B608" i="28"/>
  <c r="D608" i="28"/>
  <c r="E608" i="28"/>
  <c r="F608" i="28"/>
  <c r="G608" i="28"/>
  <c r="K608" i="28"/>
  <c r="B609" i="28"/>
  <c r="D609" i="28"/>
  <c r="E609" i="28"/>
  <c r="F609" i="28"/>
  <c r="G609" i="28"/>
  <c r="K609" i="28"/>
  <c r="B610" i="28"/>
  <c r="D610" i="28"/>
  <c r="E610" i="28"/>
  <c r="F610" i="28"/>
  <c r="G610" i="28"/>
  <c r="K610" i="28"/>
  <c r="B611" i="28"/>
  <c r="D611" i="28"/>
  <c r="E611" i="28"/>
  <c r="F611" i="28"/>
  <c r="G611" i="28"/>
  <c r="K611" i="28"/>
  <c r="B612" i="28"/>
  <c r="D612" i="28"/>
  <c r="E612" i="28"/>
  <c r="F612" i="28"/>
  <c r="G612" i="28"/>
  <c r="K612" i="28"/>
  <c r="B613" i="28"/>
  <c r="D613" i="28"/>
  <c r="E613" i="28"/>
  <c r="F613" i="28"/>
  <c r="G613" i="28"/>
  <c r="K613" i="28"/>
  <c r="B614" i="28"/>
  <c r="D614" i="28"/>
  <c r="E614" i="28"/>
  <c r="F614" i="28"/>
  <c r="G614" i="28"/>
  <c r="K614" i="28"/>
  <c r="B615" i="28"/>
  <c r="D615" i="28"/>
  <c r="E615" i="28"/>
  <c r="F615" i="28"/>
  <c r="G615" i="28"/>
  <c r="K615" i="28"/>
  <c r="B616" i="28"/>
  <c r="D616" i="28"/>
  <c r="E616" i="28"/>
  <c r="F616" i="28"/>
  <c r="G616" i="28"/>
  <c r="K616" i="28"/>
  <c r="B617" i="28"/>
  <c r="D617" i="28"/>
  <c r="E617" i="28"/>
  <c r="F617" i="28"/>
  <c r="G617" i="28"/>
  <c r="K617" i="28"/>
  <c r="B618" i="28"/>
  <c r="D618" i="28"/>
  <c r="E618" i="28"/>
  <c r="F618" i="28"/>
  <c r="G618" i="28"/>
  <c r="K618" i="28"/>
  <c r="B619" i="28"/>
  <c r="D619" i="28"/>
  <c r="E619" i="28"/>
  <c r="F619" i="28"/>
  <c r="G619" i="28"/>
  <c r="K619" i="28"/>
  <c r="B620" i="28"/>
  <c r="D620" i="28"/>
  <c r="E620" i="28"/>
  <c r="F620" i="28"/>
  <c r="G620" i="28"/>
  <c r="K620" i="28"/>
  <c r="B621" i="28"/>
  <c r="D621" i="28"/>
  <c r="E621" i="28"/>
  <c r="F621" i="28"/>
  <c r="G621" i="28"/>
  <c r="K621" i="28"/>
  <c r="B622" i="28"/>
  <c r="D622" i="28"/>
  <c r="E622" i="28"/>
  <c r="F622" i="28"/>
  <c r="G622" i="28"/>
  <c r="K622" i="28"/>
  <c r="B623" i="28"/>
  <c r="D623" i="28"/>
  <c r="E623" i="28"/>
  <c r="F623" i="28"/>
  <c r="G623" i="28"/>
  <c r="K623" i="28"/>
  <c r="B624" i="28"/>
  <c r="D624" i="28"/>
  <c r="E624" i="28"/>
  <c r="F624" i="28"/>
  <c r="G624" i="28"/>
  <c r="K624" i="28"/>
  <c r="B625" i="28"/>
  <c r="D625" i="28"/>
  <c r="E625" i="28"/>
  <c r="F625" i="28"/>
  <c r="G625" i="28"/>
  <c r="K625" i="28"/>
  <c r="B626" i="28"/>
  <c r="D626" i="28"/>
  <c r="E626" i="28"/>
  <c r="F626" i="28"/>
  <c r="G626" i="28"/>
  <c r="K626" i="28"/>
  <c r="B627" i="28"/>
  <c r="D627" i="28"/>
  <c r="E627" i="28"/>
  <c r="F627" i="28"/>
  <c r="G627" i="28"/>
  <c r="K627" i="28"/>
  <c r="B628" i="28"/>
  <c r="D628" i="28"/>
  <c r="E628" i="28"/>
  <c r="F628" i="28"/>
  <c r="G628" i="28"/>
  <c r="K628" i="28"/>
  <c r="B629" i="28"/>
  <c r="D629" i="28"/>
  <c r="E629" i="28"/>
  <c r="F629" i="28"/>
  <c r="G629" i="28"/>
  <c r="K629" i="28"/>
  <c r="B630" i="28"/>
  <c r="D630" i="28"/>
  <c r="E630" i="28"/>
  <c r="F630" i="28"/>
  <c r="G630" i="28"/>
  <c r="K630" i="28"/>
  <c r="L593" i="28" l="1"/>
  <c r="L545" i="28"/>
  <c r="L433" i="28"/>
  <c r="L337" i="28"/>
  <c r="L624" i="28"/>
  <c r="L608" i="28"/>
  <c r="L592" i="28"/>
  <c r="L576" i="28"/>
  <c r="L560" i="28"/>
  <c r="L544" i="28"/>
  <c r="L528" i="28"/>
  <c r="L512" i="28"/>
  <c r="L496" i="28"/>
  <c r="L480" i="28"/>
  <c r="L464" i="28"/>
  <c r="L448" i="28"/>
  <c r="L432" i="28"/>
  <c r="L416" i="28"/>
  <c r="L400" i="28"/>
  <c r="L384" i="28"/>
  <c r="L368" i="28"/>
  <c r="L352" i="28"/>
  <c r="L336" i="28"/>
  <c r="L320" i="28"/>
  <c r="L304" i="28"/>
  <c r="L288" i="28"/>
  <c r="L272" i="28"/>
  <c r="L256" i="28"/>
  <c r="L240" i="28"/>
  <c r="L224" i="28"/>
  <c r="L208" i="28"/>
  <c r="L192" i="28"/>
  <c r="L623" i="28"/>
  <c r="L607" i="28"/>
  <c r="L591" i="28"/>
  <c r="L575" i="28"/>
  <c r="L559" i="28"/>
  <c r="L543" i="28"/>
  <c r="L527" i="28"/>
  <c r="L511" i="28"/>
  <c r="L495" i="28"/>
  <c r="L479" i="28"/>
  <c r="L463" i="28"/>
  <c r="L447" i="28"/>
  <c r="L431" i="28"/>
  <c r="L415" i="28"/>
  <c r="L399" i="28"/>
  <c r="L383" i="28"/>
  <c r="L367" i="28"/>
  <c r="L351" i="28"/>
  <c r="L335" i="28"/>
  <c r="L319" i="28"/>
  <c r="L303" i="28"/>
  <c r="L287" i="28"/>
  <c r="L271" i="28"/>
  <c r="L255" i="28"/>
  <c r="L239" i="28"/>
  <c r="L223" i="28"/>
  <c r="L207" i="28"/>
  <c r="L191" i="28"/>
  <c r="L622" i="28"/>
  <c r="L606" i="28"/>
  <c r="L590" i="28"/>
  <c r="L574" i="28"/>
  <c r="L558" i="28"/>
  <c r="L542" i="28"/>
  <c r="L526" i="28"/>
  <c r="L510" i="28"/>
  <c r="L494" i="28"/>
  <c r="L478" i="28"/>
  <c r="L462" i="28"/>
  <c r="L446" i="28"/>
  <c r="L430" i="28"/>
  <c r="L414" i="28"/>
  <c r="L398" i="28"/>
  <c r="L382" i="28"/>
  <c r="L366" i="28"/>
  <c r="L350" i="28"/>
  <c r="L334" i="28"/>
  <c r="L318" i="28"/>
  <c r="L302" i="28"/>
  <c r="L286" i="28"/>
  <c r="L270" i="28"/>
  <c r="L254" i="28"/>
  <c r="L238" i="28"/>
  <c r="L222" i="28"/>
  <c r="L206" i="28"/>
  <c r="L190" i="28"/>
  <c r="L621" i="28"/>
  <c r="L605" i="28"/>
  <c r="L589" i="28"/>
  <c r="L573" i="28"/>
  <c r="L557" i="28"/>
  <c r="L541" i="28"/>
  <c r="L525" i="28"/>
  <c r="L509" i="28"/>
  <c r="L493" i="28"/>
  <c r="L477" i="28"/>
  <c r="L461" i="28"/>
  <c r="L445" i="28"/>
  <c r="L429" i="28"/>
  <c r="L413" i="28"/>
  <c r="L397" i="28"/>
  <c r="L381" i="28"/>
  <c r="L365" i="28"/>
  <c r="L349" i="28"/>
  <c r="L333" i="28"/>
  <c r="L317" i="28"/>
  <c r="L301" i="28"/>
  <c r="L285" i="28"/>
  <c r="L269" i="28"/>
  <c r="L253" i="28"/>
  <c r="L237" i="28"/>
  <c r="L221" i="28"/>
  <c r="L205" i="28"/>
  <c r="L189" i="28"/>
  <c r="L620" i="28"/>
  <c r="L604" i="28"/>
  <c r="L588" i="28"/>
  <c r="L572" i="28"/>
  <c r="L556" i="28"/>
  <c r="L540" i="28"/>
  <c r="L524" i="28"/>
  <c r="L508" i="28"/>
  <c r="L492" i="28"/>
  <c r="L476" i="28"/>
  <c r="L460" i="28"/>
  <c r="L444" i="28"/>
  <c r="L428" i="28"/>
  <c r="L412" i="28"/>
  <c r="L396" i="28"/>
  <c r="L380" i="28"/>
  <c r="L364" i="28"/>
  <c r="L348" i="28"/>
  <c r="L332" i="28"/>
  <c r="L316" i="28"/>
  <c r="L300" i="28"/>
  <c r="L284" i="28"/>
  <c r="L268" i="28"/>
  <c r="L252" i="28"/>
  <c r="L236" i="28"/>
  <c r="L220" i="28"/>
  <c r="L204" i="28"/>
  <c r="L188" i="28"/>
  <c r="H631" i="28"/>
  <c r="L177" i="28"/>
  <c r="I631" i="28"/>
  <c r="J2" i="27" l="1"/>
  <c r="J3" i="27"/>
  <c r="J4" i="27"/>
  <c r="J5" i="27"/>
  <c r="J6" i="27"/>
  <c r="J7" i="27"/>
  <c r="J8" i="27"/>
  <c r="J9" i="27"/>
  <c r="J10" i="27"/>
  <c r="J11" i="27"/>
  <c r="J12" i="27"/>
  <c r="J13" i="27"/>
  <c r="J14" i="27"/>
  <c r="J15" i="27"/>
  <c r="J16" i="27"/>
  <c r="J17" i="27"/>
  <c r="J18" i="27"/>
  <c r="J19" i="27"/>
  <c r="J20" i="27"/>
  <c r="J21" i="27"/>
  <c r="J22" i="27"/>
  <c r="J23" i="27"/>
  <c r="J24" i="27"/>
  <c r="J25" i="27"/>
  <c r="J26" i="27"/>
  <c r="J27" i="27"/>
  <c r="J28" i="27"/>
  <c r="J29" i="27"/>
  <c r="J30" i="27"/>
  <c r="J31" i="27"/>
  <c r="J32" i="27"/>
  <c r="J33" i="27"/>
  <c r="J34" i="27"/>
  <c r="J35" i="27"/>
  <c r="J36" i="27"/>
  <c r="J37" i="27"/>
  <c r="J38" i="27"/>
  <c r="J39" i="27"/>
  <c r="J40" i="27"/>
  <c r="J41" i="27"/>
  <c r="J42" i="27"/>
  <c r="J43" i="27"/>
  <c r="J44" i="27"/>
  <c r="J45" i="27"/>
  <c r="J46" i="27"/>
  <c r="J47" i="27"/>
  <c r="J48" i="27"/>
  <c r="J49" i="27"/>
  <c r="J50" i="27"/>
  <c r="J51" i="27"/>
  <c r="J52" i="27"/>
  <c r="J53" i="27"/>
  <c r="J54" i="27"/>
  <c r="J55" i="27"/>
  <c r="J56" i="27"/>
  <c r="J57" i="27"/>
  <c r="J58" i="27"/>
  <c r="J59" i="27"/>
  <c r="J60" i="27"/>
  <c r="J61" i="27"/>
  <c r="J62" i="27"/>
  <c r="J63" i="27"/>
  <c r="J64" i="27"/>
  <c r="J65" i="27"/>
  <c r="J66" i="27"/>
  <c r="J67" i="27"/>
  <c r="J68" i="27"/>
  <c r="J69" i="27"/>
  <c r="J70" i="27"/>
  <c r="J71" i="27"/>
  <c r="J72" i="27"/>
  <c r="J73" i="27"/>
  <c r="J74" i="27"/>
  <c r="J75" i="27"/>
  <c r="J76" i="27"/>
  <c r="J77" i="27"/>
  <c r="J78" i="27"/>
  <c r="J79" i="27"/>
  <c r="J80" i="27"/>
  <c r="J81" i="27"/>
  <c r="J82" i="27"/>
  <c r="J83" i="27"/>
  <c r="J84" i="27"/>
  <c r="J85" i="27"/>
  <c r="J86" i="27"/>
  <c r="J87" i="27"/>
  <c r="J88" i="27"/>
  <c r="J89" i="27"/>
  <c r="J90" i="27"/>
  <c r="J91" i="27"/>
  <c r="J92" i="27"/>
  <c r="J93" i="27"/>
  <c r="J94" i="27"/>
  <c r="J95" i="27"/>
  <c r="J96" i="27"/>
  <c r="J97" i="27"/>
  <c r="J98" i="27"/>
  <c r="J99" i="27"/>
  <c r="J100" i="27"/>
  <c r="J101" i="27"/>
  <c r="J102" i="27"/>
  <c r="J103" i="27"/>
  <c r="J104" i="27"/>
  <c r="J105" i="27"/>
  <c r="J106" i="27"/>
  <c r="J107" i="27"/>
  <c r="J108" i="27"/>
  <c r="J109" i="27"/>
  <c r="J110" i="27"/>
  <c r="J111" i="27"/>
  <c r="J112" i="27"/>
  <c r="J113" i="27"/>
  <c r="J114" i="27"/>
  <c r="J115" i="27"/>
  <c r="J116" i="27"/>
  <c r="J117" i="27"/>
  <c r="J118" i="27"/>
  <c r="J119" i="27"/>
  <c r="J120" i="27"/>
  <c r="J121" i="27"/>
  <c r="J122" i="27"/>
  <c r="J123" i="27"/>
  <c r="J124" i="27"/>
  <c r="J125" i="27"/>
  <c r="J126" i="27"/>
  <c r="J127" i="27"/>
  <c r="J128" i="27"/>
  <c r="J129" i="27"/>
  <c r="J130" i="27"/>
  <c r="J131" i="27"/>
  <c r="J132" i="27"/>
  <c r="J133" i="27"/>
  <c r="J134" i="27"/>
  <c r="J135" i="27"/>
  <c r="J136" i="27"/>
  <c r="J137" i="27"/>
  <c r="J138" i="27"/>
  <c r="J139" i="27"/>
  <c r="J140" i="27"/>
  <c r="J141" i="27"/>
  <c r="J142" i="27"/>
  <c r="J143" i="27"/>
  <c r="J144" i="27"/>
  <c r="J145" i="27"/>
  <c r="J146" i="27"/>
  <c r="J147" i="27"/>
  <c r="J148" i="27"/>
  <c r="J149" i="27"/>
  <c r="J150" i="27"/>
  <c r="J151" i="27"/>
  <c r="J152" i="27"/>
  <c r="J153" i="27"/>
  <c r="J154" i="27"/>
  <c r="J155" i="27"/>
  <c r="J156" i="27"/>
  <c r="J157" i="27"/>
  <c r="J158" i="27"/>
  <c r="J159" i="27"/>
  <c r="J160" i="27"/>
  <c r="J161" i="27"/>
  <c r="J162" i="27"/>
  <c r="J163" i="27"/>
  <c r="J164" i="27"/>
  <c r="J165" i="27"/>
  <c r="J166" i="27"/>
  <c r="J167" i="27"/>
  <c r="J168" i="27"/>
  <c r="J169" i="27"/>
  <c r="J170" i="27"/>
  <c r="J171" i="27"/>
  <c r="J172" i="27"/>
  <c r="J173" i="27"/>
  <c r="J174" i="27"/>
  <c r="J175" i="27"/>
  <c r="J176" i="27"/>
  <c r="R456" i="14"/>
  <c r="F54" i="3"/>
  <c r="H28" i="22"/>
  <c r="G72" i="19"/>
  <c r="H72" i="19"/>
  <c r="T457" i="24"/>
  <c r="S457" i="24"/>
  <c r="R457" i="24"/>
  <c r="Q457" i="24"/>
  <c r="P457" i="24"/>
  <c r="O457" i="24"/>
  <c r="N457" i="24"/>
  <c r="M456" i="24"/>
  <c r="L456" i="24" s="1"/>
  <c r="M455" i="24"/>
  <c r="L455" i="24" s="1"/>
  <c r="M454" i="24"/>
  <c r="L454" i="24" s="1"/>
  <c r="M453" i="24"/>
  <c r="L453" i="24" s="1"/>
  <c r="M452" i="24"/>
  <c r="L452" i="24" s="1"/>
  <c r="M451" i="24"/>
  <c r="L451" i="24" s="1"/>
  <c r="M450" i="24"/>
  <c r="L450" i="24" s="1"/>
  <c r="M449" i="24"/>
  <c r="L449" i="24" s="1"/>
  <c r="M448" i="24"/>
  <c r="L448" i="24" s="1"/>
  <c r="M447" i="24"/>
  <c r="L447" i="24" s="1"/>
  <c r="M446" i="24"/>
  <c r="L446" i="24" s="1"/>
  <c r="M445" i="24"/>
  <c r="L445" i="24" s="1"/>
  <c r="M444" i="24"/>
  <c r="L444" i="24" s="1"/>
  <c r="M443" i="24"/>
  <c r="L443" i="24" s="1"/>
  <c r="M442" i="24"/>
  <c r="L442" i="24" s="1"/>
  <c r="M441" i="24"/>
  <c r="L441" i="24" s="1"/>
  <c r="M440" i="24"/>
  <c r="L440" i="24" s="1"/>
  <c r="M439" i="24"/>
  <c r="L439" i="24" s="1"/>
  <c r="M438" i="24"/>
  <c r="L438" i="24" s="1"/>
  <c r="M437" i="24"/>
  <c r="L437" i="24" s="1"/>
  <c r="M436" i="24"/>
  <c r="L436" i="24" s="1"/>
  <c r="M435" i="24"/>
  <c r="L435" i="24" s="1"/>
  <c r="M434" i="24"/>
  <c r="L434" i="24" s="1"/>
  <c r="M433" i="24"/>
  <c r="L433" i="24" s="1"/>
  <c r="M432" i="24"/>
  <c r="L432" i="24" s="1"/>
  <c r="M431" i="24"/>
  <c r="L431" i="24" s="1"/>
  <c r="M430" i="24"/>
  <c r="L430" i="24" s="1"/>
  <c r="M429" i="24"/>
  <c r="L429" i="24" s="1"/>
  <c r="M428" i="24"/>
  <c r="L428" i="24" s="1"/>
  <c r="M427" i="24"/>
  <c r="L427" i="24" s="1"/>
  <c r="M426" i="24"/>
  <c r="L426" i="24" s="1"/>
  <c r="M425" i="24"/>
  <c r="L425" i="24" s="1"/>
  <c r="M424" i="24"/>
  <c r="L424" i="24" s="1"/>
  <c r="M423" i="24"/>
  <c r="L423" i="24" s="1"/>
  <c r="M422" i="24"/>
  <c r="L422" i="24" s="1"/>
  <c r="M421" i="24"/>
  <c r="L421" i="24" s="1"/>
  <c r="M420" i="24"/>
  <c r="L420" i="24" s="1"/>
  <c r="M419" i="24"/>
  <c r="L419" i="24" s="1"/>
  <c r="M418" i="24"/>
  <c r="L418" i="24" s="1"/>
  <c r="M417" i="24"/>
  <c r="L417" i="24" s="1"/>
  <c r="M416" i="24"/>
  <c r="L416" i="24" s="1"/>
  <c r="M415" i="24"/>
  <c r="L415" i="24" s="1"/>
  <c r="M414" i="24"/>
  <c r="L414" i="24" s="1"/>
  <c r="M413" i="24"/>
  <c r="L413" i="24" s="1"/>
  <c r="M412" i="24"/>
  <c r="L412" i="24" s="1"/>
  <c r="M411" i="24"/>
  <c r="L411" i="24" s="1"/>
  <c r="M410" i="24"/>
  <c r="L410" i="24" s="1"/>
  <c r="M409" i="24"/>
  <c r="L409" i="24" s="1"/>
  <c r="M408" i="24"/>
  <c r="L408" i="24" s="1"/>
  <c r="M407" i="24"/>
  <c r="L407" i="24" s="1"/>
  <c r="M406" i="24"/>
  <c r="L406" i="24" s="1"/>
  <c r="M405" i="24"/>
  <c r="L405" i="24" s="1"/>
  <c r="M404" i="24"/>
  <c r="L404" i="24" s="1"/>
  <c r="M403" i="24"/>
  <c r="L403" i="24" s="1"/>
  <c r="M402" i="24"/>
  <c r="L402" i="24" s="1"/>
  <c r="M401" i="24"/>
  <c r="L401" i="24" s="1"/>
  <c r="M400" i="24"/>
  <c r="L400" i="24" s="1"/>
  <c r="M399" i="24"/>
  <c r="L399" i="24" s="1"/>
  <c r="M398" i="24"/>
  <c r="L398" i="24" s="1"/>
  <c r="M397" i="24"/>
  <c r="L397" i="24" s="1"/>
  <c r="M396" i="24"/>
  <c r="L396" i="24" s="1"/>
  <c r="M395" i="24"/>
  <c r="L395" i="24" s="1"/>
  <c r="M394" i="24"/>
  <c r="L394" i="24" s="1"/>
  <c r="M393" i="24"/>
  <c r="L393" i="24" s="1"/>
  <c r="M392" i="24"/>
  <c r="L392" i="24" s="1"/>
  <c r="M391" i="24"/>
  <c r="L391" i="24" s="1"/>
  <c r="M390" i="24"/>
  <c r="L390" i="24" s="1"/>
  <c r="M389" i="24"/>
  <c r="L389" i="24" s="1"/>
  <c r="M388" i="24"/>
  <c r="L388" i="24" s="1"/>
  <c r="M387" i="24"/>
  <c r="L387" i="24" s="1"/>
  <c r="M386" i="24"/>
  <c r="L386" i="24" s="1"/>
  <c r="M385" i="24"/>
  <c r="L385" i="24" s="1"/>
  <c r="M384" i="24"/>
  <c r="L384" i="24" s="1"/>
  <c r="M383" i="24"/>
  <c r="L383" i="24" s="1"/>
  <c r="M382" i="24"/>
  <c r="L382" i="24" s="1"/>
  <c r="M381" i="24"/>
  <c r="L381" i="24" s="1"/>
  <c r="M380" i="24"/>
  <c r="L380" i="24" s="1"/>
  <c r="M379" i="24"/>
  <c r="L379" i="24" s="1"/>
  <c r="M378" i="24"/>
  <c r="L378" i="24" s="1"/>
  <c r="M377" i="24"/>
  <c r="L377" i="24" s="1"/>
  <c r="M376" i="24"/>
  <c r="L376" i="24" s="1"/>
  <c r="M375" i="24"/>
  <c r="L375" i="24" s="1"/>
  <c r="M374" i="24"/>
  <c r="L374" i="24" s="1"/>
  <c r="M373" i="24"/>
  <c r="L373" i="24" s="1"/>
  <c r="M372" i="24"/>
  <c r="L372" i="24" s="1"/>
  <c r="M371" i="24"/>
  <c r="L371" i="24" s="1"/>
  <c r="M370" i="24"/>
  <c r="L370" i="24" s="1"/>
  <c r="M369" i="24"/>
  <c r="L369" i="24" s="1"/>
  <c r="M368" i="24"/>
  <c r="L368" i="24" s="1"/>
  <c r="M367" i="24"/>
  <c r="L367" i="24" s="1"/>
  <c r="M366" i="24"/>
  <c r="L366" i="24" s="1"/>
  <c r="M365" i="24"/>
  <c r="L365" i="24" s="1"/>
  <c r="M364" i="24"/>
  <c r="L364" i="24" s="1"/>
  <c r="M363" i="24"/>
  <c r="L363" i="24" s="1"/>
  <c r="M362" i="24"/>
  <c r="L362" i="24" s="1"/>
  <c r="M361" i="24"/>
  <c r="L361" i="24" s="1"/>
  <c r="M360" i="24"/>
  <c r="L360" i="24" s="1"/>
  <c r="M359" i="24"/>
  <c r="L359" i="24" s="1"/>
  <c r="M358" i="24"/>
  <c r="L358" i="24" s="1"/>
  <c r="M357" i="24"/>
  <c r="L357" i="24" s="1"/>
  <c r="M356" i="24"/>
  <c r="L356" i="24" s="1"/>
  <c r="M355" i="24"/>
  <c r="L355" i="24" s="1"/>
  <c r="M354" i="24"/>
  <c r="L354" i="24" s="1"/>
  <c r="M353" i="24"/>
  <c r="L353" i="24" s="1"/>
  <c r="M352" i="24"/>
  <c r="L352" i="24" s="1"/>
  <c r="M351" i="24"/>
  <c r="L351" i="24" s="1"/>
  <c r="M350" i="24"/>
  <c r="L350" i="24" s="1"/>
  <c r="M349" i="24"/>
  <c r="L349" i="24" s="1"/>
  <c r="M348" i="24"/>
  <c r="L348" i="24" s="1"/>
  <c r="M347" i="24"/>
  <c r="L347" i="24" s="1"/>
  <c r="M346" i="24"/>
  <c r="L346" i="24" s="1"/>
  <c r="M345" i="24"/>
  <c r="L345" i="24" s="1"/>
  <c r="M344" i="24"/>
  <c r="L344" i="24" s="1"/>
  <c r="M343" i="24"/>
  <c r="L343" i="24" s="1"/>
  <c r="M342" i="24"/>
  <c r="L342" i="24" s="1"/>
  <c r="M341" i="24"/>
  <c r="L341" i="24" s="1"/>
  <c r="M340" i="24"/>
  <c r="L340" i="24" s="1"/>
  <c r="M339" i="24"/>
  <c r="L339" i="24" s="1"/>
  <c r="M338" i="24"/>
  <c r="L338" i="24" s="1"/>
  <c r="M337" i="24"/>
  <c r="L337" i="24" s="1"/>
  <c r="M336" i="24"/>
  <c r="L336" i="24" s="1"/>
  <c r="M335" i="24"/>
  <c r="L335" i="24" s="1"/>
  <c r="M334" i="24"/>
  <c r="L334" i="24" s="1"/>
  <c r="M333" i="24"/>
  <c r="L333" i="24" s="1"/>
  <c r="M332" i="24"/>
  <c r="L332" i="24" s="1"/>
  <c r="M331" i="24"/>
  <c r="L331" i="24" s="1"/>
  <c r="M330" i="24"/>
  <c r="L330" i="24" s="1"/>
  <c r="M329" i="24"/>
  <c r="L329" i="24" s="1"/>
  <c r="M328" i="24"/>
  <c r="L328" i="24" s="1"/>
  <c r="M327" i="24"/>
  <c r="L327" i="24" s="1"/>
  <c r="M326" i="24"/>
  <c r="L326" i="24" s="1"/>
  <c r="M325" i="24"/>
  <c r="L325" i="24" s="1"/>
  <c r="M324" i="24"/>
  <c r="L324" i="24" s="1"/>
  <c r="M323" i="24"/>
  <c r="L323" i="24" s="1"/>
  <c r="M322" i="24"/>
  <c r="L322" i="24" s="1"/>
  <c r="M321" i="24"/>
  <c r="L321" i="24" s="1"/>
  <c r="M320" i="24"/>
  <c r="L320" i="24" s="1"/>
  <c r="M319" i="24"/>
  <c r="L319" i="24" s="1"/>
  <c r="M318" i="24"/>
  <c r="L318" i="24" s="1"/>
  <c r="M317" i="24"/>
  <c r="L317" i="24" s="1"/>
  <c r="M316" i="24"/>
  <c r="L316" i="24" s="1"/>
  <c r="M315" i="24"/>
  <c r="L315" i="24" s="1"/>
  <c r="M314" i="24"/>
  <c r="L314" i="24" s="1"/>
  <c r="M313" i="24"/>
  <c r="L313" i="24" s="1"/>
  <c r="M312" i="24"/>
  <c r="L312" i="24" s="1"/>
  <c r="M311" i="24"/>
  <c r="L311" i="24" s="1"/>
  <c r="M310" i="24"/>
  <c r="L310" i="24" s="1"/>
  <c r="M309" i="24"/>
  <c r="L309" i="24" s="1"/>
  <c r="M308" i="24"/>
  <c r="L308" i="24" s="1"/>
  <c r="M307" i="24"/>
  <c r="L307" i="24" s="1"/>
  <c r="M306" i="24"/>
  <c r="L306" i="24" s="1"/>
  <c r="M305" i="24"/>
  <c r="L305" i="24" s="1"/>
  <c r="M304" i="24"/>
  <c r="L304" i="24" s="1"/>
  <c r="M303" i="24"/>
  <c r="L303" i="24" s="1"/>
  <c r="M302" i="24"/>
  <c r="L302" i="24" s="1"/>
  <c r="M301" i="24"/>
  <c r="L301" i="24" s="1"/>
  <c r="M300" i="24"/>
  <c r="L300" i="24" s="1"/>
  <c r="M299" i="24"/>
  <c r="L299" i="24" s="1"/>
  <c r="M298" i="24"/>
  <c r="L298" i="24" s="1"/>
  <c r="M297" i="24"/>
  <c r="L297" i="24" s="1"/>
  <c r="M296" i="24"/>
  <c r="L296" i="24" s="1"/>
  <c r="M295" i="24"/>
  <c r="L295" i="24" s="1"/>
  <c r="M294" i="24"/>
  <c r="L294" i="24" s="1"/>
  <c r="M293" i="24"/>
  <c r="L293" i="24" s="1"/>
  <c r="M292" i="24"/>
  <c r="L292" i="24" s="1"/>
  <c r="M291" i="24"/>
  <c r="L291" i="24" s="1"/>
  <c r="M290" i="24"/>
  <c r="L290" i="24" s="1"/>
  <c r="M289" i="24"/>
  <c r="L289" i="24" s="1"/>
  <c r="M288" i="24"/>
  <c r="L288" i="24" s="1"/>
  <c r="M287" i="24"/>
  <c r="M286" i="24"/>
  <c r="L286" i="24" s="1"/>
  <c r="M285" i="24"/>
  <c r="L285" i="24" s="1"/>
  <c r="M284" i="24"/>
  <c r="L284" i="24" s="1"/>
  <c r="M283" i="24"/>
  <c r="L283" i="24" s="1"/>
  <c r="M282" i="24"/>
  <c r="L282" i="24" s="1"/>
  <c r="M281" i="24"/>
  <c r="L281" i="24" s="1"/>
  <c r="M280" i="24"/>
  <c r="L280" i="24" s="1"/>
  <c r="M279" i="24"/>
  <c r="L279" i="24" s="1"/>
  <c r="M278" i="24"/>
  <c r="L278" i="24" s="1"/>
  <c r="M277" i="24"/>
  <c r="L277" i="24" s="1"/>
  <c r="M276" i="24"/>
  <c r="L276" i="24" s="1"/>
  <c r="M275" i="24"/>
  <c r="L275" i="24" s="1"/>
  <c r="M274" i="24"/>
  <c r="L274" i="24" s="1"/>
  <c r="M273" i="24"/>
  <c r="L273" i="24" s="1"/>
  <c r="M272" i="24"/>
  <c r="L272" i="24" s="1"/>
  <c r="M271" i="24"/>
  <c r="L271" i="24" s="1"/>
  <c r="M270" i="24"/>
  <c r="L270" i="24" s="1"/>
  <c r="M269" i="24"/>
  <c r="L269" i="24" s="1"/>
  <c r="M268" i="24"/>
  <c r="L268" i="24" s="1"/>
  <c r="M267" i="24"/>
  <c r="L267" i="24" s="1"/>
  <c r="M266" i="24"/>
  <c r="L266" i="24" s="1"/>
  <c r="M265" i="24"/>
  <c r="L265" i="24" s="1"/>
  <c r="M264" i="24"/>
  <c r="L264" i="24" s="1"/>
  <c r="M263" i="24"/>
  <c r="L263" i="24" s="1"/>
  <c r="M262" i="24"/>
  <c r="L262" i="24" s="1"/>
  <c r="M261" i="24"/>
  <c r="L261" i="24" s="1"/>
  <c r="M260" i="24"/>
  <c r="L260" i="24" s="1"/>
  <c r="M259" i="24"/>
  <c r="L259" i="24" s="1"/>
  <c r="M258" i="24"/>
  <c r="L258" i="24" s="1"/>
  <c r="M257" i="24"/>
  <c r="L257" i="24" s="1"/>
  <c r="M256" i="24"/>
  <c r="L256" i="24" s="1"/>
  <c r="M255" i="24"/>
  <c r="L255" i="24" s="1"/>
  <c r="M254" i="24"/>
  <c r="L254" i="24" s="1"/>
  <c r="M253" i="24"/>
  <c r="L253" i="24" s="1"/>
  <c r="M252" i="24"/>
  <c r="L252" i="24" s="1"/>
  <c r="M251" i="24"/>
  <c r="L251" i="24" s="1"/>
  <c r="M250" i="24"/>
  <c r="L250" i="24" s="1"/>
  <c r="M249" i="24"/>
  <c r="L249" i="24" s="1"/>
  <c r="M248" i="24"/>
  <c r="L248" i="24" s="1"/>
  <c r="M247" i="24"/>
  <c r="L247" i="24" s="1"/>
  <c r="M246" i="24"/>
  <c r="L246" i="24" s="1"/>
  <c r="M245" i="24"/>
  <c r="L245" i="24" s="1"/>
  <c r="M244" i="24"/>
  <c r="L244" i="24" s="1"/>
  <c r="M243" i="24"/>
  <c r="L243" i="24" s="1"/>
  <c r="M242" i="24"/>
  <c r="L242" i="24" s="1"/>
  <c r="M241" i="24"/>
  <c r="L241" i="24" s="1"/>
  <c r="M240" i="24"/>
  <c r="L240" i="24" s="1"/>
  <c r="M239" i="24"/>
  <c r="L239" i="24" s="1"/>
  <c r="M238" i="24"/>
  <c r="L238" i="24" s="1"/>
  <c r="M237" i="24"/>
  <c r="L237" i="24" s="1"/>
  <c r="M236" i="24"/>
  <c r="L236" i="24" s="1"/>
  <c r="M235" i="24"/>
  <c r="L235" i="24" s="1"/>
  <c r="M234" i="24"/>
  <c r="L234" i="24" s="1"/>
  <c r="M233" i="24"/>
  <c r="L233" i="24" s="1"/>
  <c r="M232" i="24"/>
  <c r="L232" i="24" s="1"/>
  <c r="M231" i="24"/>
  <c r="L231" i="24" s="1"/>
  <c r="M230" i="24"/>
  <c r="L230" i="24" s="1"/>
  <c r="M229" i="24"/>
  <c r="L229" i="24" s="1"/>
  <c r="M228" i="24"/>
  <c r="L228" i="24" s="1"/>
  <c r="M227" i="24"/>
  <c r="L227" i="24" s="1"/>
  <c r="M226" i="24"/>
  <c r="L226" i="24" s="1"/>
  <c r="M225" i="24"/>
  <c r="L225" i="24" s="1"/>
  <c r="M224" i="24"/>
  <c r="L224" i="24" s="1"/>
  <c r="M223" i="24"/>
  <c r="L223" i="24" s="1"/>
  <c r="M222" i="24"/>
  <c r="L222" i="24" s="1"/>
  <c r="M221" i="24"/>
  <c r="L221" i="24" s="1"/>
  <c r="M220" i="24"/>
  <c r="L220" i="24" s="1"/>
  <c r="M219" i="24"/>
  <c r="L219" i="24" s="1"/>
  <c r="M218" i="24"/>
  <c r="L218" i="24" s="1"/>
  <c r="M217" i="24"/>
  <c r="L217" i="24" s="1"/>
  <c r="M216" i="24"/>
  <c r="L216" i="24" s="1"/>
  <c r="M215" i="24"/>
  <c r="L215" i="24" s="1"/>
  <c r="M214" i="24"/>
  <c r="L214" i="24" s="1"/>
  <c r="M213" i="24"/>
  <c r="L213" i="24" s="1"/>
  <c r="M212" i="24"/>
  <c r="L212" i="24" s="1"/>
  <c r="M211" i="24"/>
  <c r="L211" i="24" s="1"/>
  <c r="M210" i="24"/>
  <c r="L210" i="24" s="1"/>
  <c r="M209" i="24"/>
  <c r="L209" i="24" s="1"/>
  <c r="M208" i="24"/>
  <c r="L208" i="24" s="1"/>
  <c r="M207" i="24"/>
  <c r="L207" i="24" s="1"/>
  <c r="M206" i="24"/>
  <c r="L206" i="24" s="1"/>
  <c r="M205" i="24"/>
  <c r="L205" i="24" s="1"/>
  <c r="M204" i="24"/>
  <c r="L204" i="24" s="1"/>
  <c r="M203" i="24"/>
  <c r="L203" i="24" s="1"/>
  <c r="M202" i="24"/>
  <c r="L202" i="24" s="1"/>
  <c r="M201" i="24"/>
  <c r="L201" i="24" s="1"/>
  <c r="M200" i="24"/>
  <c r="L200" i="24" s="1"/>
  <c r="M199" i="24"/>
  <c r="L199" i="24" s="1"/>
  <c r="M198" i="24"/>
  <c r="L198" i="24" s="1"/>
  <c r="M197" i="24"/>
  <c r="L197" i="24" s="1"/>
  <c r="M196" i="24"/>
  <c r="L196" i="24" s="1"/>
  <c r="M195" i="24"/>
  <c r="L195" i="24" s="1"/>
  <c r="M194" i="24"/>
  <c r="L194" i="24" s="1"/>
  <c r="M193" i="24"/>
  <c r="L193" i="24" s="1"/>
  <c r="M192" i="24"/>
  <c r="L192" i="24" s="1"/>
  <c r="M191" i="24"/>
  <c r="L191" i="24" s="1"/>
  <c r="M190" i="24"/>
  <c r="L190" i="24" s="1"/>
  <c r="M189" i="24"/>
  <c r="L189" i="24" s="1"/>
  <c r="M188" i="24"/>
  <c r="L188" i="24" s="1"/>
  <c r="M187" i="24"/>
  <c r="L187" i="24" s="1"/>
  <c r="M186" i="24"/>
  <c r="L186" i="24" s="1"/>
  <c r="M185" i="24"/>
  <c r="L185" i="24" s="1"/>
  <c r="M184" i="24"/>
  <c r="L184" i="24" s="1"/>
  <c r="M183" i="24"/>
  <c r="L183" i="24" s="1"/>
  <c r="M182" i="24"/>
  <c r="L182" i="24" s="1"/>
  <c r="M181" i="24"/>
  <c r="L181" i="24" s="1"/>
  <c r="M180" i="24"/>
  <c r="L180" i="24" s="1"/>
  <c r="M179" i="24"/>
  <c r="L179" i="24" s="1"/>
  <c r="M178" i="24"/>
  <c r="L178" i="24" s="1"/>
  <c r="M177" i="24"/>
  <c r="L177" i="24" s="1"/>
  <c r="M176" i="24"/>
  <c r="L176" i="24" s="1"/>
  <c r="M175" i="24"/>
  <c r="L175" i="24" s="1"/>
  <c r="M174" i="24"/>
  <c r="L174" i="24" s="1"/>
  <c r="M173" i="24"/>
  <c r="L173" i="24" s="1"/>
  <c r="M172" i="24"/>
  <c r="L172" i="24" s="1"/>
  <c r="M171" i="24"/>
  <c r="L171" i="24" s="1"/>
  <c r="M170" i="24"/>
  <c r="L170" i="24" s="1"/>
  <c r="M169" i="24"/>
  <c r="L169" i="24" s="1"/>
  <c r="M168" i="24"/>
  <c r="L168" i="24" s="1"/>
  <c r="M167" i="24"/>
  <c r="L167" i="24" s="1"/>
  <c r="M166" i="24"/>
  <c r="L166" i="24" s="1"/>
  <c r="M165" i="24"/>
  <c r="L165" i="24" s="1"/>
  <c r="M164" i="24"/>
  <c r="L164" i="24" s="1"/>
  <c r="M163" i="24"/>
  <c r="L163" i="24" s="1"/>
  <c r="M162" i="24"/>
  <c r="L162" i="24" s="1"/>
  <c r="M161" i="24"/>
  <c r="L161" i="24" s="1"/>
  <c r="M160" i="24"/>
  <c r="L160" i="24" s="1"/>
  <c r="M159" i="24"/>
  <c r="L159" i="24" s="1"/>
  <c r="M158" i="24"/>
  <c r="L158" i="24" s="1"/>
  <c r="M157" i="24"/>
  <c r="L157" i="24" s="1"/>
  <c r="M156" i="24"/>
  <c r="L156" i="24" s="1"/>
  <c r="M155" i="24"/>
  <c r="L155" i="24" s="1"/>
  <c r="M154" i="24"/>
  <c r="L154" i="24" s="1"/>
  <c r="M153" i="24"/>
  <c r="L153" i="24" s="1"/>
  <c r="M152" i="24"/>
  <c r="L152" i="24" s="1"/>
  <c r="M151" i="24"/>
  <c r="L151" i="24" s="1"/>
  <c r="M150" i="24"/>
  <c r="L150" i="24" s="1"/>
  <c r="M149" i="24"/>
  <c r="L149" i="24" s="1"/>
  <c r="M148" i="24"/>
  <c r="L148" i="24" s="1"/>
  <c r="M147" i="24"/>
  <c r="L147" i="24" s="1"/>
  <c r="M146" i="24"/>
  <c r="L146" i="24" s="1"/>
  <c r="M145" i="24"/>
  <c r="L145" i="24" s="1"/>
  <c r="M144" i="24"/>
  <c r="L144" i="24" s="1"/>
  <c r="M143" i="24"/>
  <c r="L143" i="24" s="1"/>
  <c r="M142" i="24"/>
  <c r="L142" i="24" s="1"/>
  <c r="M141" i="24"/>
  <c r="L141" i="24" s="1"/>
  <c r="M140" i="24"/>
  <c r="L140" i="24" s="1"/>
  <c r="M139" i="24"/>
  <c r="L139" i="24" s="1"/>
  <c r="M138" i="24"/>
  <c r="L138" i="24" s="1"/>
  <c r="M137" i="24"/>
  <c r="L137" i="24" s="1"/>
  <c r="M136" i="24"/>
  <c r="L136" i="24" s="1"/>
  <c r="M135" i="24"/>
  <c r="L135" i="24" s="1"/>
  <c r="M134" i="24"/>
  <c r="L134" i="24" s="1"/>
  <c r="M133" i="24"/>
  <c r="L133" i="24" s="1"/>
  <c r="M132" i="24"/>
  <c r="L132" i="24" s="1"/>
  <c r="M131" i="24"/>
  <c r="L131" i="24" s="1"/>
  <c r="M130" i="24"/>
  <c r="L130" i="24" s="1"/>
  <c r="M129" i="24"/>
  <c r="L129" i="24" s="1"/>
  <c r="M128" i="24"/>
  <c r="L128" i="24" s="1"/>
  <c r="M127" i="24"/>
  <c r="L127" i="24" s="1"/>
  <c r="M126" i="24"/>
  <c r="L126" i="24" s="1"/>
  <c r="M125" i="24"/>
  <c r="L125" i="24" s="1"/>
  <c r="M124" i="24"/>
  <c r="L124" i="24" s="1"/>
  <c r="M123" i="24"/>
  <c r="L123" i="24" s="1"/>
  <c r="M122" i="24"/>
  <c r="L122" i="24" s="1"/>
  <c r="M121" i="24"/>
  <c r="L121" i="24" s="1"/>
  <c r="M120" i="24"/>
  <c r="L120" i="24" s="1"/>
  <c r="M119" i="24"/>
  <c r="L119" i="24" s="1"/>
  <c r="M118" i="24"/>
  <c r="L118" i="24" s="1"/>
  <c r="M117" i="24"/>
  <c r="L117" i="24" s="1"/>
  <c r="M116" i="24"/>
  <c r="L116" i="24" s="1"/>
  <c r="M115" i="24"/>
  <c r="L115" i="24" s="1"/>
  <c r="M114" i="24"/>
  <c r="L114" i="24" s="1"/>
  <c r="M113" i="24"/>
  <c r="L113" i="24" s="1"/>
  <c r="M112" i="24"/>
  <c r="L112" i="24" s="1"/>
  <c r="M111" i="24"/>
  <c r="L111" i="24" s="1"/>
  <c r="M110" i="24"/>
  <c r="L110" i="24" s="1"/>
  <c r="M109" i="24"/>
  <c r="L109" i="24" s="1"/>
  <c r="M108" i="24"/>
  <c r="L108" i="24" s="1"/>
  <c r="M107" i="24"/>
  <c r="L107" i="24" s="1"/>
  <c r="M106" i="24"/>
  <c r="L106" i="24" s="1"/>
  <c r="M105" i="24"/>
  <c r="L105" i="24" s="1"/>
  <c r="M104" i="24"/>
  <c r="L104" i="24" s="1"/>
  <c r="M103" i="24"/>
  <c r="L103" i="24" s="1"/>
  <c r="M102" i="24"/>
  <c r="L102" i="24" s="1"/>
  <c r="M101" i="24"/>
  <c r="L101" i="24" s="1"/>
  <c r="M100" i="24"/>
  <c r="L100" i="24" s="1"/>
  <c r="M99" i="24"/>
  <c r="L99" i="24" s="1"/>
  <c r="M98" i="24"/>
  <c r="L98" i="24" s="1"/>
  <c r="M97" i="24"/>
  <c r="L97" i="24" s="1"/>
  <c r="M96" i="24"/>
  <c r="L96" i="24" s="1"/>
  <c r="M95" i="24"/>
  <c r="L95" i="24" s="1"/>
  <c r="M94" i="24"/>
  <c r="L94" i="24" s="1"/>
  <c r="M93" i="24"/>
  <c r="L93" i="24" s="1"/>
  <c r="M92" i="24"/>
  <c r="L92" i="24" s="1"/>
  <c r="M91" i="24"/>
  <c r="L91" i="24" s="1"/>
  <c r="M90" i="24"/>
  <c r="L90" i="24" s="1"/>
  <c r="M89" i="24"/>
  <c r="L89" i="24" s="1"/>
  <c r="M88" i="24"/>
  <c r="L88" i="24" s="1"/>
  <c r="M87" i="24"/>
  <c r="L87" i="24" s="1"/>
  <c r="M86" i="24"/>
  <c r="L86" i="24" s="1"/>
  <c r="M85" i="24"/>
  <c r="L85" i="24" s="1"/>
  <c r="M84" i="24"/>
  <c r="L84" i="24" s="1"/>
  <c r="M83" i="24"/>
  <c r="L83" i="24" s="1"/>
  <c r="M82" i="24"/>
  <c r="L82" i="24" s="1"/>
  <c r="M81" i="24"/>
  <c r="L81" i="24" s="1"/>
  <c r="M80" i="24"/>
  <c r="L80" i="24" s="1"/>
  <c r="M79" i="24"/>
  <c r="L79" i="24" s="1"/>
  <c r="M78" i="24"/>
  <c r="L78" i="24" s="1"/>
  <c r="M77" i="24"/>
  <c r="L77" i="24" s="1"/>
  <c r="M76" i="24"/>
  <c r="L76" i="24" s="1"/>
  <c r="M75" i="24"/>
  <c r="L75" i="24" s="1"/>
  <c r="M74" i="24"/>
  <c r="L74" i="24" s="1"/>
  <c r="M73" i="24"/>
  <c r="L73" i="24" s="1"/>
  <c r="M72" i="24"/>
  <c r="L72" i="24" s="1"/>
  <c r="M71" i="24"/>
  <c r="L71" i="24" s="1"/>
  <c r="M70" i="24"/>
  <c r="L70" i="24" s="1"/>
  <c r="M69" i="24"/>
  <c r="L69" i="24" s="1"/>
  <c r="M68" i="24"/>
  <c r="L68" i="24" s="1"/>
  <c r="M67" i="24"/>
  <c r="L67" i="24" s="1"/>
  <c r="M66" i="24"/>
  <c r="L66" i="24" s="1"/>
  <c r="M65" i="24"/>
  <c r="L65" i="24" s="1"/>
  <c r="M64" i="24"/>
  <c r="L64" i="24" s="1"/>
  <c r="M63" i="24"/>
  <c r="L63" i="24" s="1"/>
  <c r="M62" i="24"/>
  <c r="L62" i="24" s="1"/>
  <c r="M61" i="24"/>
  <c r="L61" i="24" s="1"/>
  <c r="M60" i="24"/>
  <c r="L60" i="24" s="1"/>
  <c r="M59" i="24"/>
  <c r="L59" i="24" s="1"/>
  <c r="M58" i="24"/>
  <c r="L58" i="24" s="1"/>
  <c r="M57" i="24"/>
  <c r="L57" i="24" s="1"/>
  <c r="M56" i="24"/>
  <c r="L56" i="24" s="1"/>
  <c r="M55" i="24"/>
  <c r="L55" i="24" s="1"/>
  <c r="M54" i="24"/>
  <c r="L54" i="24" s="1"/>
  <c r="M53" i="24"/>
  <c r="L53" i="24" s="1"/>
  <c r="M52" i="24"/>
  <c r="L52" i="24" s="1"/>
  <c r="M51" i="24"/>
  <c r="L51" i="24" s="1"/>
  <c r="M50" i="24"/>
  <c r="L50" i="24" s="1"/>
  <c r="M47" i="24"/>
  <c r="L47" i="24" s="1"/>
  <c r="M43" i="24"/>
  <c r="L43" i="24" s="1"/>
  <c r="M42" i="24"/>
  <c r="L42" i="24" s="1"/>
  <c r="M41" i="24"/>
  <c r="L41" i="24" s="1"/>
  <c r="M6" i="24"/>
  <c r="L6" i="24" s="1"/>
  <c r="M5" i="24"/>
  <c r="L5" i="24" s="1"/>
  <c r="M4" i="24"/>
  <c r="L4" i="24" s="1"/>
  <c r="M3" i="24"/>
  <c r="L3" i="24" s="1"/>
  <c r="G9" i="5"/>
  <c r="F9" i="5"/>
  <c r="F12" i="5"/>
  <c r="G12" i="5"/>
  <c r="F15" i="5"/>
  <c r="G15" i="5"/>
  <c r="M457" i="24" l="1"/>
  <c r="L457" i="24"/>
  <c r="N115" i="15"/>
  <c r="M115" i="15"/>
  <c r="J115" i="15"/>
  <c r="I115" i="15"/>
  <c r="K115" i="15" s="1"/>
  <c r="G115" i="15"/>
  <c r="F115" i="15"/>
  <c r="H115" i="15" s="1"/>
  <c r="D115" i="15"/>
  <c r="C115" i="15"/>
  <c r="E115" i="15" s="1"/>
  <c r="N114" i="15"/>
  <c r="M114" i="15"/>
  <c r="L114" i="15"/>
  <c r="P114" i="15" s="1"/>
  <c r="J114" i="15"/>
  <c r="I114" i="15"/>
  <c r="K114" i="15" s="1"/>
  <c r="G114" i="15"/>
  <c r="F114" i="15"/>
  <c r="H114" i="15" s="1"/>
  <c r="D114" i="15"/>
  <c r="C114" i="15"/>
  <c r="E114" i="15" s="1"/>
  <c r="N113" i="15"/>
  <c r="M113" i="15"/>
  <c r="L113" i="15"/>
  <c r="P113" i="15" s="1"/>
  <c r="J113" i="15"/>
  <c r="I113" i="15"/>
  <c r="K113" i="15" s="1"/>
  <c r="G113" i="15"/>
  <c r="F113" i="15"/>
  <c r="H113" i="15" s="1"/>
  <c r="D113" i="15"/>
  <c r="C113" i="15"/>
  <c r="E113" i="15" s="1"/>
  <c r="N112" i="15"/>
  <c r="M112" i="15"/>
  <c r="J112" i="15"/>
  <c r="I112" i="15"/>
  <c r="K112" i="15" s="1"/>
  <c r="G112" i="15"/>
  <c r="F112" i="15"/>
  <c r="H112" i="15" s="1"/>
  <c r="D112" i="15"/>
  <c r="C112" i="15"/>
  <c r="E112" i="15" s="1"/>
  <c r="N111" i="15"/>
  <c r="M111" i="15"/>
  <c r="J111" i="15"/>
  <c r="I111" i="15"/>
  <c r="K111" i="15" s="1"/>
  <c r="G111" i="15"/>
  <c r="F111" i="15"/>
  <c r="H111" i="15" s="1"/>
  <c r="D111" i="15"/>
  <c r="C111" i="15"/>
  <c r="E111" i="15" s="1"/>
  <c r="N110" i="15"/>
  <c r="M110" i="15"/>
  <c r="L110" i="15"/>
  <c r="P110" i="15" s="1"/>
  <c r="J110" i="15"/>
  <c r="I110" i="15"/>
  <c r="K110" i="15" s="1"/>
  <c r="G110" i="15"/>
  <c r="F110" i="15"/>
  <c r="H110" i="15" s="1"/>
  <c r="D110" i="15"/>
  <c r="C110" i="15"/>
  <c r="E110" i="15" s="1"/>
  <c r="N109" i="15"/>
  <c r="M109" i="15"/>
  <c r="L109" i="15"/>
  <c r="P109" i="15" s="1"/>
  <c r="J109" i="15"/>
  <c r="I109" i="15"/>
  <c r="K109" i="15" s="1"/>
  <c r="G109" i="15"/>
  <c r="F109" i="15"/>
  <c r="H109" i="15" s="1"/>
  <c r="D109" i="15"/>
  <c r="C109" i="15"/>
  <c r="E109" i="15" s="1"/>
  <c r="N108" i="15"/>
  <c r="M108" i="15"/>
  <c r="L108" i="15"/>
  <c r="P108" i="15" s="1"/>
  <c r="J108" i="15"/>
  <c r="I108" i="15"/>
  <c r="K108" i="15" s="1"/>
  <c r="G108" i="15"/>
  <c r="F108" i="15"/>
  <c r="H108" i="15" s="1"/>
  <c r="D108" i="15"/>
  <c r="C108" i="15"/>
  <c r="E108" i="15" s="1"/>
  <c r="N107" i="15"/>
  <c r="M107" i="15"/>
  <c r="L107" i="15"/>
  <c r="P107" i="15" s="1"/>
  <c r="J107" i="15"/>
  <c r="I107" i="15"/>
  <c r="K107" i="15" s="1"/>
  <c r="G107" i="15"/>
  <c r="F107" i="15"/>
  <c r="H107" i="15" s="1"/>
  <c r="D107" i="15"/>
  <c r="C107" i="15"/>
  <c r="E107" i="15" s="1"/>
  <c r="N106" i="15"/>
  <c r="M106" i="15"/>
  <c r="J106" i="15"/>
  <c r="I106" i="15"/>
  <c r="K106" i="15" s="1"/>
  <c r="G106" i="15"/>
  <c r="F106" i="15"/>
  <c r="H106" i="15" s="1"/>
  <c r="D106" i="15"/>
  <c r="C106" i="15"/>
  <c r="E106" i="15" s="1"/>
  <c r="N105" i="15"/>
  <c r="M105" i="15"/>
  <c r="L105" i="15"/>
  <c r="P105" i="15" s="1"/>
  <c r="J105" i="15"/>
  <c r="I105" i="15"/>
  <c r="K105" i="15" s="1"/>
  <c r="G105" i="15"/>
  <c r="F105" i="15"/>
  <c r="H105" i="15" s="1"/>
  <c r="D105" i="15"/>
  <c r="C105" i="15"/>
  <c r="E105" i="15" s="1"/>
  <c r="N104" i="15"/>
  <c r="M104" i="15"/>
  <c r="J104" i="15"/>
  <c r="I104" i="15"/>
  <c r="K104" i="15" s="1"/>
  <c r="G104" i="15"/>
  <c r="F104" i="15"/>
  <c r="H104" i="15" s="1"/>
  <c r="D104" i="15"/>
  <c r="C104" i="15"/>
  <c r="E104" i="15" s="1"/>
  <c r="N103" i="15"/>
  <c r="M103" i="15"/>
  <c r="J103" i="15"/>
  <c r="I103" i="15"/>
  <c r="K103" i="15" s="1"/>
  <c r="G103" i="15"/>
  <c r="F103" i="15"/>
  <c r="H103" i="15" s="1"/>
  <c r="D103" i="15"/>
  <c r="C103" i="15"/>
  <c r="E103" i="15" s="1"/>
  <c r="N102" i="15"/>
  <c r="M102" i="15"/>
  <c r="J102" i="15"/>
  <c r="I102" i="15"/>
  <c r="K102" i="15" s="1"/>
  <c r="G102" i="15"/>
  <c r="F102" i="15"/>
  <c r="H102" i="15" s="1"/>
  <c r="D102" i="15"/>
  <c r="C102" i="15"/>
  <c r="E102" i="15" s="1"/>
  <c r="N101" i="15"/>
  <c r="M101" i="15"/>
  <c r="J101" i="15"/>
  <c r="I101" i="15"/>
  <c r="K101" i="15" s="1"/>
  <c r="G101" i="15"/>
  <c r="F101" i="15"/>
  <c r="H101" i="15" s="1"/>
  <c r="D101" i="15"/>
  <c r="C101" i="15"/>
  <c r="E101" i="15" s="1"/>
  <c r="N100" i="15"/>
  <c r="M100" i="15"/>
  <c r="J100" i="15"/>
  <c r="I100" i="15"/>
  <c r="K100" i="15" s="1"/>
  <c r="G100" i="15"/>
  <c r="F100" i="15"/>
  <c r="H100" i="15" s="1"/>
  <c r="D100" i="15"/>
  <c r="C100" i="15"/>
  <c r="E100" i="15" s="1"/>
  <c r="N99" i="15"/>
  <c r="M99" i="15"/>
  <c r="J99" i="15"/>
  <c r="I99" i="15"/>
  <c r="K99" i="15" s="1"/>
  <c r="G99" i="15"/>
  <c r="F99" i="15"/>
  <c r="H99" i="15" s="1"/>
  <c r="D99" i="15"/>
  <c r="C99" i="15"/>
  <c r="E99" i="15" s="1"/>
  <c r="Q98" i="15"/>
  <c r="N98" i="15"/>
  <c r="M98" i="15"/>
  <c r="J98" i="15"/>
  <c r="I98" i="15"/>
  <c r="K98" i="15" s="1"/>
  <c r="G98" i="15"/>
  <c r="F98" i="15"/>
  <c r="H98" i="15" s="1"/>
  <c r="D98" i="15"/>
  <c r="C98" i="15"/>
  <c r="E98" i="15" s="1"/>
  <c r="N97" i="15"/>
  <c r="M97" i="15"/>
  <c r="L97" i="15"/>
  <c r="J97" i="15"/>
  <c r="I97" i="15"/>
  <c r="K97" i="15" s="1"/>
  <c r="G97" i="15"/>
  <c r="F97" i="15"/>
  <c r="H97" i="15" s="1"/>
  <c r="D97" i="15"/>
  <c r="C97" i="15"/>
  <c r="E97" i="15" s="1"/>
  <c r="N95" i="15"/>
  <c r="M95" i="15"/>
  <c r="J95" i="15"/>
  <c r="I95" i="15"/>
  <c r="K95" i="15" s="1"/>
  <c r="G95" i="15"/>
  <c r="F95" i="15"/>
  <c r="H95" i="15" s="1"/>
  <c r="D95" i="15"/>
  <c r="C95" i="15"/>
  <c r="E95" i="15" s="1"/>
  <c r="N94" i="15"/>
  <c r="M94" i="15"/>
  <c r="L94" i="15"/>
  <c r="P94" i="15" s="1"/>
  <c r="J94" i="15"/>
  <c r="I94" i="15"/>
  <c r="K94" i="15" s="1"/>
  <c r="G94" i="15"/>
  <c r="F94" i="15"/>
  <c r="H94" i="15" s="1"/>
  <c r="D94" i="15"/>
  <c r="C94" i="15"/>
  <c r="E94" i="15" s="1"/>
  <c r="N93" i="15"/>
  <c r="M93" i="15"/>
  <c r="J93" i="15"/>
  <c r="I93" i="15"/>
  <c r="K93" i="15" s="1"/>
  <c r="G93" i="15"/>
  <c r="F93" i="15"/>
  <c r="H93" i="15" s="1"/>
  <c r="D93" i="15"/>
  <c r="C93" i="15"/>
  <c r="E93" i="15" s="1"/>
  <c r="N92" i="15"/>
  <c r="M92" i="15"/>
  <c r="J92" i="15"/>
  <c r="I92" i="15"/>
  <c r="K92" i="15" s="1"/>
  <c r="G92" i="15"/>
  <c r="F92" i="15"/>
  <c r="H92" i="15" s="1"/>
  <c r="D92" i="15"/>
  <c r="C92" i="15"/>
  <c r="E92" i="15" s="1"/>
  <c r="N91" i="15"/>
  <c r="M91" i="15"/>
  <c r="J91" i="15"/>
  <c r="I91" i="15"/>
  <c r="K91" i="15" s="1"/>
  <c r="G91" i="15"/>
  <c r="F91" i="15"/>
  <c r="H91" i="15" s="1"/>
  <c r="D91" i="15"/>
  <c r="C91" i="15"/>
  <c r="E91" i="15" s="1"/>
  <c r="N90" i="15"/>
  <c r="M90" i="15"/>
  <c r="J90" i="15"/>
  <c r="I90" i="15"/>
  <c r="K90" i="15" s="1"/>
  <c r="G90" i="15"/>
  <c r="F90" i="15"/>
  <c r="H90" i="15" s="1"/>
  <c r="D90" i="15"/>
  <c r="C90" i="15"/>
  <c r="E90" i="15" s="1"/>
  <c r="N89" i="15"/>
  <c r="M89" i="15"/>
  <c r="J89" i="15"/>
  <c r="I89" i="15"/>
  <c r="K89" i="15" s="1"/>
  <c r="G89" i="15"/>
  <c r="F89" i="15"/>
  <c r="H89" i="15" s="1"/>
  <c r="D89" i="15"/>
  <c r="C89" i="15"/>
  <c r="E89" i="15" s="1"/>
  <c r="N88" i="15"/>
  <c r="M88" i="15"/>
  <c r="L88" i="15"/>
  <c r="P88" i="15" s="1"/>
  <c r="J88" i="15"/>
  <c r="I88" i="15"/>
  <c r="K88" i="15" s="1"/>
  <c r="G88" i="15"/>
  <c r="F88" i="15"/>
  <c r="H88" i="15" s="1"/>
  <c r="D88" i="15"/>
  <c r="C88" i="15"/>
  <c r="E88" i="15" s="1"/>
  <c r="N87" i="15"/>
  <c r="M87" i="15"/>
  <c r="J87" i="15"/>
  <c r="I87" i="15"/>
  <c r="K87" i="15" s="1"/>
  <c r="G87" i="15"/>
  <c r="F87" i="15"/>
  <c r="H87" i="15" s="1"/>
  <c r="D87" i="15"/>
  <c r="C87" i="15"/>
  <c r="E87" i="15" s="1"/>
  <c r="N86" i="15"/>
  <c r="M86" i="15"/>
  <c r="J86" i="15"/>
  <c r="I86" i="15"/>
  <c r="K86" i="15" s="1"/>
  <c r="G86" i="15"/>
  <c r="F86" i="15"/>
  <c r="H86" i="15" s="1"/>
  <c r="D86" i="15"/>
  <c r="C86" i="15"/>
  <c r="E86" i="15" s="1"/>
  <c r="N85" i="15"/>
  <c r="M85" i="15"/>
  <c r="L85" i="15"/>
  <c r="P85" i="15" s="1"/>
  <c r="J85" i="15"/>
  <c r="I85" i="15"/>
  <c r="K85" i="15" s="1"/>
  <c r="G85" i="15"/>
  <c r="F85" i="15"/>
  <c r="H85" i="15" s="1"/>
  <c r="D85" i="15"/>
  <c r="C85" i="15"/>
  <c r="E85" i="15" s="1"/>
  <c r="N84" i="15"/>
  <c r="M84" i="15"/>
  <c r="J84" i="15"/>
  <c r="I84" i="15"/>
  <c r="K84" i="15" s="1"/>
  <c r="G84" i="15"/>
  <c r="F84" i="15"/>
  <c r="H84" i="15" s="1"/>
  <c r="D84" i="15"/>
  <c r="C84" i="15"/>
  <c r="E84" i="15" s="1"/>
  <c r="N83" i="15"/>
  <c r="M83" i="15"/>
  <c r="L83" i="15"/>
  <c r="P83" i="15" s="1"/>
  <c r="J83" i="15"/>
  <c r="I83" i="15"/>
  <c r="K83" i="15" s="1"/>
  <c r="G83" i="15"/>
  <c r="F83" i="15"/>
  <c r="H83" i="15" s="1"/>
  <c r="D83" i="15"/>
  <c r="C83" i="15"/>
  <c r="E83" i="15" s="1"/>
  <c r="N82" i="15"/>
  <c r="M82" i="15"/>
  <c r="L82" i="15"/>
  <c r="P82" i="15" s="1"/>
  <c r="J82" i="15"/>
  <c r="I82" i="15"/>
  <c r="K82" i="15" s="1"/>
  <c r="G82" i="15"/>
  <c r="F82" i="15"/>
  <c r="H82" i="15" s="1"/>
  <c r="D82" i="15"/>
  <c r="C82" i="15"/>
  <c r="E82" i="15" s="1"/>
  <c r="N81" i="15"/>
  <c r="M81" i="15"/>
  <c r="L81" i="15"/>
  <c r="P81" i="15" s="1"/>
  <c r="J81" i="15"/>
  <c r="I81" i="15"/>
  <c r="K81" i="15" s="1"/>
  <c r="G81" i="15"/>
  <c r="F81" i="15"/>
  <c r="H81" i="15" s="1"/>
  <c r="D81" i="15"/>
  <c r="C81" i="15"/>
  <c r="E81" i="15" s="1"/>
  <c r="N80" i="15"/>
  <c r="M80" i="15"/>
  <c r="L80" i="15"/>
  <c r="P80" i="15" s="1"/>
  <c r="J80" i="15"/>
  <c r="I80" i="15"/>
  <c r="K80" i="15" s="1"/>
  <c r="G80" i="15"/>
  <c r="F80" i="15"/>
  <c r="H80" i="15" s="1"/>
  <c r="D80" i="15"/>
  <c r="C80" i="15"/>
  <c r="E80" i="15" s="1"/>
  <c r="N79" i="15"/>
  <c r="M79" i="15"/>
  <c r="L79" i="15"/>
  <c r="P79" i="15" s="1"/>
  <c r="J79" i="15"/>
  <c r="I79" i="15"/>
  <c r="K79" i="15" s="1"/>
  <c r="G79" i="15"/>
  <c r="F79" i="15"/>
  <c r="H79" i="15" s="1"/>
  <c r="D79" i="15"/>
  <c r="C79" i="15"/>
  <c r="E79" i="15" s="1"/>
  <c r="N78" i="15"/>
  <c r="M78" i="15"/>
  <c r="J78" i="15"/>
  <c r="I78" i="15"/>
  <c r="K78" i="15" s="1"/>
  <c r="G78" i="15"/>
  <c r="F78" i="15"/>
  <c r="H78" i="15" s="1"/>
  <c r="D78" i="15"/>
  <c r="C78" i="15"/>
  <c r="E78" i="15" s="1"/>
  <c r="N77" i="15"/>
  <c r="M77" i="15"/>
  <c r="L77" i="15"/>
  <c r="P77" i="15" s="1"/>
  <c r="J77" i="15"/>
  <c r="I77" i="15"/>
  <c r="K77" i="15" s="1"/>
  <c r="G77" i="15"/>
  <c r="F77" i="15"/>
  <c r="H77" i="15" s="1"/>
  <c r="D77" i="15"/>
  <c r="C77" i="15"/>
  <c r="E77" i="15" s="1"/>
  <c r="N76" i="15"/>
  <c r="M76" i="15"/>
  <c r="J76" i="15"/>
  <c r="I76" i="15"/>
  <c r="K76" i="15" s="1"/>
  <c r="G76" i="15"/>
  <c r="F76" i="15"/>
  <c r="H76" i="15" s="1"/>
  <c r="D76" i="15"/>
  <c r="C76" i="15"/>
  <c r="E76" i="15" s="1"/>
  <c r="N75" i="15"/>
  <c r="M75" i="15"/>
  <c r="J75" i="15"/>
  <c r="I75" i="15"/>
  <c r="K75" i="15" s="1"/>
  <c r="G75" i="15"/>
  <c r="F75" i="15"/>
  <c r="H75" i="15" s="1"/>
  <c r="D75" i="15"/>
  <c r="C75" i="15"/>
  <c r="E75" i="15" s="1"/>
  <c r="N74" i="15"/>
  <c r="M74" i="15"/>
  <c r="L74" i="15"/>
  <c r="P74" i="15" s="1"/>
  <c r="J74" i="15"/>
  <c r="I74" i="15"/>
  <c r="K74" i="15" s="1"/>
  <c r="G74" i="15"/>
  <c r="F74" i="15"/>
  <c r="H74" i="15" s="1"/>
  <c r="D74" i="15"/>
  <c r="C74" i="15"/>
  <c r="E74" i="15" s="1"/>
  <c r="N73" i="15"/>
  <c r="M73" i="15"/>
  <c r="L73" i="15"/>
  <c r="P73" i="15" s="1"/>
  <c r="J73" i="15"/>
  <c r="I73" i="15"/>
  <c r="K73" i="15" s="1"/>
  <c r="G73" i="15"/>
  <c r="F73" i="15"/>
  <c r="H73" i="15" s="1"/>
  <c r="D73" i="15"/>
  <c r="C73" i="15"/>
  <c r="E73" i="15" s="1"/>
  <c r="N72" i="15"/>
  <c r="M72" i="15"/>
  <c r="L72" i="15"/>
  <c r="P72" i="15" s="1"/>
  <c r="J72" i="15"/>
  <c r="I72" i="15"/>
  <c r="K72" i="15" s="1"/>
  <c r="G72" i="15"/>
  <c r="F72" i="15"/>
  <c r="H72" i="15" s="1"/>
  <c r="D72" i="15"/>
  <c r="C72" i="15"/>
  <c r="E72" i="15" s="1"/>
  <c r="N71" i="15"/>
  <c r="M71" i="15"/>
  <c r="L71" i="15"/>
  <c r="P71" i="15" s="1"/>
  <c r="J71" i="15"/>
  <c r="I71" i="15"/>
  <c r="K71" i="15" s="1"/>
  <c r="G71" i="15"/>
  <c r="F71" i="15"/>
  <c r="H71" i="15" s="1"/>
  <c r="D71" i="15"/>
  <c r="C71" i="15"/>
  <c r="E71" i="15" s="1"/>
  <c r="N70" i="15"/>
  <c r="M70" i="15"/>
  <c r="J70" i="15"/>
  <c r="I70" i="15"/>
  <c r="K70" i="15" s="1"/>
  <c r="G70" i="15"/>
  <c r="F70" i="15"/>
  <c r="H70" i="15" s="1"/>
  <c r="D70" i="15"/>
  <c r="C70" i="15"/>
  <c r="E70" i="15" s="1"/>
  <c r="N69" i="15"/>
  <c r="M69" i="15"/>
  <c r="L69" i="15"/>
  <c r="P69" i="15" s="1"/>
  <c r="J69" i="15"/>
  <c r="I69" i="15"/>
  <c r="K69" i="15" s="1"/>
  <c r="G69" i="15"/>
  <c r="F69" i="15"/>
  <c r="H69" i="15" s="1"/>
  <c r="D69" i="15"/>
  <c r="C69" i="15"/>
  <c r="E69" i="15" s="1"/>
  <c r="N68" i="15"/>
  <c r="M68" i="15"/>
  <c r="L68" i="15"/>
  <c r="P68" i="15" s="1"/>
  <c r="J68" i="15"/>
  <c r="I68" i="15"/>
  <c r="K68" i="15" s="1"/>
  <c r="G68" i="15"/>
  <c r="F68" i="15"/>
  <c r="H68" i="15" s="1"/>
  <c r="D68" i="15"/>
  <c r="C68" i="15"/>
  <c r="E68" i="15" s="1"/>
  <c r="N67" i="15"/>
  <c r="M67" i="15"/>
  <c r="L67" i="15"/>
  <c r="P67" i="15" s="1"/>
  <c r="J67" i="15"/>
  <c r="I67" i="15"/>
  <c r="K67" i="15" s="1"/>
  <c r="G67" i="15"/>
  <c r="F67" i="15"/>
  <c r="H67" i="15" s="1"/>
  <c r="D67" i="15"/>
  <c r="C67" i="15"/>
  <c r="E67" i="15" s="1"/>
  <c r="N66" i="15"/>
  <c r="M66" i="15"/>
  <c r="J66" i="15"/>
  <c r="I66" i="15"/>
  <c r="K66" i="15" s="1"/>
  <c r="G66" i="15"/>
  <c r="F66" i="15"/>
  <c r="H66" i="15" s="1"/>
  <c r="D66" i="15"/>
  <c r="C66" i="15"/>
  <c r="E66" i="15" s="1"/>
  <c r="N65" i="15"/>
  <c r="M65" i="15"/>
  <c r="L65" i="15"/>
  <c r="P65" i="15" s="1"/>
  <c r="J65" i="15"/>
  <c r="I65" i="15"/>
  <c r="K65" i="15" s="1"/>
  <c r="G65" i="15"/>
  <c r="F65" i="15"/>
  <c r="H65" i="15" s="1"/>
  <c r="D65" i="15"/>
  <c r="C65" i="15"/>
  <c r="E65" i="15" s="1"/>
  <c r="N64" i="15"/>
  <c r="M64" i="15"/>
  <c r="L64" i="15"/>
  <c r="P64" i="15" s="1"/>
  <c r="J64" i="15"/>
  <c r="I64" i="15"/>
  <c r="K64" i="15" s="1"/>
  <c r="G64" i="15"/>
  <c r="F64" i="15"/>
  <c r="H64" i="15" s="1"/>
  <c r="D64" i="15"/>
  <c r="C64" i="15"/>
  <c r="E64" i="15" s="1"/>
  <c r="N63" i="15"/>
  <c r="M63" i="15"/>
  <c r="L63" i="15"/>
  <c r="P63" i="15" s="1"/>
  <c r="J63" i="15"/>
  <c r="I63" i="15"/>
  <c r="K63" i="15" s="1"/>
  <c r="G63" i="15"/>
  <c r="F63" i="15"/>
  <c r="H63" i="15" s="1"/>
  <c r="D63" i="15"/>
  <c r="C63" i="15"/>
  <c r="E63" i="15" s="1"/>
  <c r="N62" i="15"/>
  <c r="M62" i="15"/>
  <c r="L62" i="15"/>
  <c r="P62" i="15" s="1"/>
  <c r="J62" i="15"/>
  <c r="I62" i="15"/>
  <c r="K62" i="15" s="1"/>
  <c r="G62" i="15"/>
  <c r="F62" i="15"/>
  <c r="H62" i="15" s="1"/>
  <c r="D62" i="15"/>
  <c r="C62" i="15"/>
  <c r="E62" i="15" s="1"/>
  <c r="N61" i="15"/>
  <c r="M61" i="15"/>
  <c r="J61" i="15"/>
  <c r="I61" i="15"/>
  <c r="K61" i="15" s="1"/>
  <c r="G61" i="15"/>
  <c r="F61" i="15"/>
  <c r="H61" i="15" s="1"/>
  <c r="D61" i="15"/>
  <c r="C61" i="15"/>
  <c r="E61" i="15" s="1"/>
  <c r="N60" i="15"/>
  <c r="M60" i="15"/>
  <c r="L60" i="15"/>
  <c r="P60" i="15" s="1"/>
  <c r="J60" i="15"/>
  <c r="I60" i="15"/>
  <c r="K60" i="15" s="1"/>
  <c r="G60" i="15"/>
  <c r="F60" i="15"/>
  <c r="H60" i="15" s="1"/>
  <c r="D60" i="15"/>
  <c r="C60" i="15"/>
  <c r="E60" i="15" s="1"/>
  <c r="N59" i="15"/>
  <c r="M59" i="15"/>
  <c r="J59" i="15"/>
  <c r="I59" i="15"/>
  <c r="K59" i="15" s="1"/>
  <c r="G59" i="15"/>
  <c r="F59" i="15"/>
  <c r="H59" i="15" s="1"/>
  <c r="D59" i="15"/>
  <c r="C59" i="15"/>
  <c r="E59" i="15" s="1"/>
  <c r="N58" i="15"/>
  <c r="M58" i="15"/>
  <c r="L58" i="15"/>
  <c r="P58" i="15" s="1"/>
  <c r="J58" i="15"/>
  <c r="I58" i="15"/>
  <c r="K58" i="15" s="1"/>
  <c r="G58" i="15"/>
  <c r="F58" i="15"/>
  <c r="H58" i="15" s="1"/>
  <c r="D58" i="15"/>
  <c r="C58" i="15"/>
  <c r="E58" i="15" s="1"/>
  <c r="N57" i="15"/>
  <c r="M57" i="15"/>
  <c r="J57" i="15"/>
  <c r="I57" i="15"/>
  <c r="K57" i="15" s="1"/>
  <c r="G57" i="15"/>
  <c r="F57" i="15"/>
  <c r="H57" i="15" s="1"/>
  <c r="D57" i="15"/>
  <c r="C57" i="15"/>
  <c r="E57" i="15" s="1"/>
  <c r="N56" i="15"/>
  <c r="M56" i="15"/>
  <c r="L56" i="15"/>
  <c r="P56" i="15" s="1"/>
  <c r="J56" i="15"/>
  <c r="I56" i="15"/>
  <c r="K56" i="15" s="1"/>
  <c r="G56" i="15"/>
  <c r="F56" i="15"/>
  <c r="H56" i="15" s="1"/>
  <c r="D56" i="15"/>
  <c r="C56" i="15"/>
  <c r="E56" i="15" s="1"/>
  <c r="N55" i="15"/>
  <c r="M55" i="15"/>
  <c r="L55" i="15"/>
  <c r="P55" i="15" s="1"/>
  <c r="J55" i="15"/>
  <c r="I55" i="15"/>
  <c r="K55" i="15" s="1"/>
  <c r="G55" i="15"/>
  <c r="F55" i="15"/>
  <c r="H55" i="15" s="1"/>
  <c r="D55" i="15"/>
  <c r="C55" i="15"/>
  <c r="E55" i="15" s="1"/>
  <c r="N54" i="15"/>
  <c r="M54" i="15"/>
  <c r="L54" i="15"/>
  <c r="P54" i="15" s="1"/>
  <c r="J54" i="15"/>
  <c r="I54" i="15"/>
  <c r="K54" i="15" s="1"/>
  <c r="G54" i="15"/>
  <c r="F54" i="15"/>
  <c r="H54" i="15" s="1"/>
  <c r="D54" i="15"/>
  <c r="C54" i="15"/>
  <c r="E54" i="15" s="1"/>
  <c r="N53" i="15"/>
  <c r="M53" i="15"/>
  <c r="L53" i="15"/>
  <c r="P53" i="15" s="1"/>
  <c r="J53" i="15"/>
  <c r="I53" i="15"/>
  <c r="K53" i="15" s="1"/>
  <c r="G53" i="15"/>
  <c r="F53" i="15"/>
  <c r="H53" i="15" s="1"/>
  <c r="D53" i="15"/>
  <c r="C53" i="15"/>
  <c r="E53" i="15" s="1"/>
  <c r="N52" i="15"/>
  <c r="M52" i="15"/>
  <c r="L52" i="15"/>
  <c r="P52" i="15" s="1"/>
  <c r="J52" i="15"/>
  <c r="I52" i="15"/>
  <c r="K52" i="15" s="1"/>
  <c r="G52" i="15"/>
  <c r="F52" i="15"/>
  <c r="H52" i="15" s="1"/>
  <c r="D52" i="15"/>
  <c r="C52" i="15"/>
  <c r="E52" i="15" s="1"/>
  <c r="N51" i="15"/>
  <c r="M51" i="15"/>
  <c r="L51" i="15"/>
  <c r="P51" i="15" s="1"/>
  <c r="J51" i="15"/>
  <c r="I51" i="15"/>
  <c r="K51" i="15" s="1"/>
  <c r="G51" i="15"/>
  <c r="F51" i="15"/>
  <c r="H51" i="15" s="1"/>
  <c r="D51" i="15"/>
  <c r="C51" i="15"/>
  <c r="E51" i="15" s="1"/>
  <c r="N50" i="15"/>
  <c r="M50" i="15"/>
  <c r="J50" i="15"/>
  <c r="I50" i="15"/>
  <c r="K50" i="15" s="1"/>
  <c r="G50" i="15"/>
  <c r="F50" i="15"/>
  <c r="H50" i="15" s="1"/>
  <c r="D50" i="15"/>
  <c r="C50" i="15"/>
  <c r="E50" i="15" s="1"/>
  <c r="N49" i="15"/>
  <c r="M49" i="15"/>
  <c r="J49" i="15"/>
  <c r="I49" i="15"/>
  <c r="K49" i="15" s="1"/>
  <c r="G49" i="15"/>
  <c r="F49" i="15"/>
  <c r="H49" i="15" s="1"/>
  <c r="D49" i="15"/>
  <c r="C49" i="15"/>
  <c r="E49" i="15" s="1"/>
  <c r="N48" i="15"/>
  <c r="M48" i="15"/>
  <c r="L48" i="15"/>
  <c r="P48" i="15" s="1"/>
  <c r="J48" i="15"/>
  <c r="I48" i="15"/>
  <c r="K48" i="15" s="1"/>
  <c r="G48" i="15"/>
  <c r="F48" i="15"/>
  <c r="H48" i="15" s="1"/>
  <c r="D48" i="15"/>
  <c r="C48" i="15"/>
  <c r="E48" i="15" s="1"/>
  <c r="N47" i="15"/>
  <c r="M47" i="15"/>
  <c r="L47" i="15"/>
  <c r="P47" i="15" s="1"/>
  <c r="J47" i="15"/>
  <c r="I47" i="15"/>
  <c r="K47" i="15" s="1"/>
  <c r="G47" i="15"/>
  <c r="F47" i="15"/>
  <c r="H47" i="15" s="1"/>
  <c r="D47" i="15"/>
  <c r="C47" i="15"/>
  <c r="E47" i="15" s="1"/>
  <c r="N46" i="15"/>
  <c r="M46" i="15"/>
  <c r="J46" i="15"/>
  <c r="I46" i="15"/>
  <c r="K46" i="15" s="1"/>
  <c r="G46" i="15"/>
  <c r="F46" i="15"/>
  <c r="H46" i="15" s="1"/>
  <c r="D46" i="15"/>
  <c r="C46" i="15"/>
  <c r="E46" i="15" s="1"/>
  <c r="Q45" i="15"/>
  <c r="N45" i="15"/>
  <c r="M45" i="15"/>
  <c r="L45" i="15"/>
  <c r="J45" i="15"/>
  <c r="I45" i="15"/>
  <c r="K45" i="15" s="1"/>
  <c r="G45" i="15"/>
  <c r="F45" i="15"/>
  <c r="H45" i="15" s="1"/>
  <c r="D45" i="15"/>
  <c r="C45" i="15"/>
  <c r="E45" i="15" s="1"/>
  <c r="N44" i="15"/>
  <c r="M44" i="15"/>
  <c r="J44" i="15"/>
  <c r="I44" i="15"/>
  <c r="K44" i="15" s="1"/>
  <c r="G44" i="15"/>
  <c r="F44" i="15"/>
  <c r="H44" i="15" s="1"/>
  <c r="D44" i="15"/>
  <c r="C44" i="15"/>
  <c r="E44" i="15" s="1"/>
  <c r="N42" i="15"/>
  <c r="M42" i="15"/>
  <c r="J42" i="15"/>
  <c r="I42" i="15"/>
  <c r="K42" i="15" s="1"/>
  <c r="G42" i="15"/>
  <c r="F42" i="15"/>
  <c r="H42" i="15" s="1"/>
  <c r="D42" i="15"/>
  <c r="C42" i="15"/>
  <c r="E42" i="15" s="1"/>
  <c r="N41" i="15"/>
  <c r="M41" i="15"/>
  <c r="J41" i="15"/>
  <c r="I41" i="15"/>
  <c r="K41" i="15" s="1"/>
  <c r="G41" i="15"/>
  <c r="F41" i="15"/>
  <c r="H41" i="15" s="1"/>
  <c r="D41" i="15"/>
  <c r="C41" i="15"/>
  <c r="E41" i="15" s="1"/>
  <c r="N40" i="15"/>
  <c r="M40" i="15"/>
  <c r="L40" i="15"/>
  <c r="P40" i="15" s="1"/>
  <c r="J40" i="15"/>
  <c r="I40" i="15"/>
  <c r="K40" i="15" s="1"/>
  <c r="G40" i="15"/>
  <c r="F40" i="15"/>
  <c r="H40" i="15" s="1"/>
  <c r="D40" i="15"/>
  <c r="C40" i="15"/>
  <c r="E40" i="15" s="1"/>
  <c r="N39" i="15"/>
  <c r="M39" i="15"/>
  <c r="J39" i="15"/>
  <c r="I39" i="15"/>
  <c r="K39" i="15" s="1"/>
  <c r="G39" i="15"/>
  <c r="F39" i="15"/>
  <c r="H39" i="15" s="1"/>
  <c r="D39" i="15"/>
  <c r="C39" i="15"/>
  <c r="E39" i="15" s="1"/>
  <c r="N38" i="15"/>
  <c r="M38" i="15"/>
  <c r="L38" i="15"/>
  <c r="P38" i="15" s="1"/>
  <c r="J38" i="15"/>
  <c r="I38" i="15"/>
  <c r="K38" i="15" s="1"/>
  <c r="G38" i="15"/>
  <c r="F38" i="15"/>
  <c r="H38" i="15" s="1"/>
  <c r="D38" i="15"/>
  <c r="C38" i="15"/>
  <c r="E38" i="15" s="1"/>
  <c r="N37" i="15"/>
  <c r="M37" i="15"/>
  <c r="J37" i="15"/>
  <c r="I37" i="15"/>
  <c r="K37" i="15" s="1"/>
  <c r="G37" i="15"/>
  <c r="F37" i="15"/>
  <c r="H37" i="15" s="1"/>
  <c r="D37" i="15"/>
  <c r="C37" i="15"/>
  <c r="E37" i="15" s="1"/>
  <c r="N36" i="15"/>
  <c r="M36" i="15"/>
  <c r="J36" i="15"/>
  <c r="I36" i="15"/>
  <c r="K36" i="15" s="1"/>
  <c r="G36" i="15"/>
  <c r="F36" i="15"/>
  <c r="H36" i="15" s="1"/>
  <c r="D36" i="15"/>
  <c r="C36" i="15"/>
  <c r="E36" i="15" s="1"/>
  <c r="N35" i="15"/>
  <c r="M35" i="15"/>
  <c r="L35" i="15"/>
  <c r="P35" i="15" s="1"/>
  <c r="J35" i="15"/>
  <c r="I35" i="15"/>
  <c r="K35" i="15" s="1"/>
  <c r="G35" i="15"/>
  <c r="F35" i="15"/>
  <c r="H35" i="15" s="1"/>
  <c r="D35" i="15"/>
  <c r="C35" i="15"/>
  <c r="E35" i="15" s="1"/>
  <c r="N34" i="15"/>
  <c r="M34" i="15"/>
  <c r="L34" i="15"/>
  <c r="P34" i="15" s="1"/>
  <c r="J34" i="15"/>
  <c r="I34" i="15"/>
  <c r="K34" i="15" s="1"/>
  <c r="G34" i="15"/>
  <c r="F34" i="15"/>
  <c r="H34" i="15" s="1"/>
  <c r="D34" i="15"/>
  <c r="C34" i="15"/>
  <c r="E34" i="15" s="1"/>
  <c r="N33" i="15"/>
  <c r="M33" i="15"/>
  <c r="L33" i="15"/>
  <c r="P33" i="15" s="1"/>
  <c r="J33" i="15"/>
  <c r="I33" i="15"/>
  <c r="K33" i="15" s="1"/>
  <c r="G33" i="15"/>
  <c r="F33" i="15"/>
  <c r="H33" i="15" s="1"/>
  <c r="D33" i="15"/>
  <c r="C33" i="15"/>
  <c r="E33" i="15" s="1"/>
  <c r="N32" i="15"/>
  <c r="M32" i="15"/>
  <c r="J32" i="15"/>
  <c r="I32" i="15"/>
  <c r="K32" i="15" s="1"/>
  <c r="G32" i="15"/>
  <c r="F32" i="15"/>
  <c r="H32" i="15" s="1"/>
  <c r="D32" i="15"/>
  <c r="C32" i="15"/>
  <c r="E32" i="15" s="1"/>
  <c r="N31" i="15"/>
  <c r="M31" i="15"/>
  <c r="L31" i="15"/>
  <c r="P31" i="15" s="1"/>
  <c r="J31" i="15"/>
  <c r="I31" i="15"/>
  <c r="K31" i="15" s="1"/>
  <c r="G31" i="15"/>
  <c r="F31" i="15"/>
  <c r="H31" i="15" s="1"/>
  <c r="D31" i="15"/>
  <c r="C31" i="15"/>
  <c r="E31" i="15" s="1"/>
  <c r="N30" i="15"/>
  <c r="M30" i="15"/>
  <c r="L30" i="15"/>
  <c r="P30" i="15" s="1"/>
  <c r="J30" i="15"/>
  <c r="I30" i="15"/>
  <c r="K30" i="15" s="1"/>
  <c r="G30" i="15"/>
  <c r="F30" i="15"/>
  <c r="H30" i="15" s="1"/>
  <c r="D30" i="15"/>
  <c r="C30" i="15"/>
  <c r="E30" i="15" s="1"/>
  <c r="N29" i="15"/>
  <c r="M29" i="15"/>
  <c r="L29" i="15"/>
  <c r="P29" i="15" s="1"/>
  <c r="J29" i="15"/>
  <c r="I29" i="15"/>
  <c r="K29" i="15" s="1"/>
  <c r="G29" i="15"/>
  <c r="F29" i="15"/>
  <c r="H29" i="15" s="1"/>
  <c r="D29" i="15"/>
  <c r="C29" i="15"/>
  <c r="E29" i="15" s="1"/>
  <c r="N28" i="15"/>
  <c r="M28" i="15"/>
  <c r="J28" i="15"/>
  <c r="I28" i="15"/>
  <c r="K28" i="15" s="1"/>
  <c r="G28" i="15"/>
  <c r="F28" i="15"/>
  <c r="H28" i="15" s="1"/>
  <c r="D28" i="15"/>
  <c r="C28" i="15"/>
  <c r="E28" i="15" s="1"/>
  <c r="N27" i="15"/>
  <c r="M27" i="15"/>
  <c r="L27" i="15"/>
  <c r="P27" i="15" s="1"/>
  <c r="J27" i="15"/>
  <c r="I27" i="15"/>
  <c r="K27" i="15" s="1"/>
  <c r="G27" i="15"/>
  <c r="F27" i="15"/>
  <c r="H27" i="15" s="1"/>
  <c r="D27" i="15"/>
  <c r="C27" i="15"/>
  <c r="E27" i="15" s="1"/>
  <c r="N26" i="15"/>
  <c r="M26" i="15"/>
  <c r="L26" i="15"/>
  <c r="P26" i="15" s="1"/>
  <c r="J26" i="15"/>
  <c r="I26" i="15"/>
  <c r="K26" i="15" s="1"/>
  <c r="G26" i="15"/>
  <c r="F26" i="15"/>
  <c r="H26" i="15" s="1"/>
  <c r="D26" i="15"/>
  <c r="C26" i="15"/>
  <c r="E26" i="15" s="1"/>
  <c r="N25" i="15"/>
  <c r="M25" i="15"/>
  <c r="J25" i="15"/>
  <c r="I25" i="15"/>
  <c r="K25" i="15" s="1"/>
  <c r="G25" i="15"/>
  <c r="F25" i="15"/>
  <c r="H25" i="15" s="1"/>
  <c r="D25" i="15"/>
  <c r="C25" i="15"/>
  <c r="E25" i="15" s="1"/>
  <c r="N24" i="15"/>
  <c r="M24" i="15"/>
  <c r="L24" i="15"/>
  <c r="P24" i="15" s="1"/>
  <c r="J24" i="15"/>
  <c r="I24" i="15"/>
  <c r="K24" i="15" s="1"/>
  <c r="G24" i="15"/>
  <c r="F24" i="15"/>
  <c r="H24" i="15" s="1"/>
  <c r="D24" i="15"/>
  <c r="C24" i="15"/>
  <c r="E24" i="15" s="1"/>
  <c r="N23" i="15"/>
  <c r="M23" i="15"/>
  <c r="J23" i="15"/>
  <c r="I23" i="15"/>
  <c r="K23" i="15" s="1"/>
  <c r="G23" i="15"/>
  <c r="F23" i="15"/>
  <c r="H23" i="15" s="1"/>
  <c r="D23" i="15"/>
  <c r="C23" i="15"/>
  <c r="E23" i="15" s="1"/>
  <c r="N22" i="15"/>
  <c r="M22" i="15"/>
  <c r="L22" i="15"/>
  <c r="P22" i="15" s="1"/>
  <c r="J22" i="15"/>
  <c r="I22" i="15"/>
  <c r="K22" i="15" s="1"/>
  <c r="G22" i="15"/>
  <c r="F22" i="15"/>
  <c r="H22" i="15" s="1"/>
  <c r="D22" i="15"/>
  <c r="C22" i="15"/>
  <c r="E22" i="15" s="1"/>
  <c r="N21" i="15"/>
  <c r="M21" i="15"/>
  <c r="L21" i="15"/>
  <c r="P21" i="15" s="1"/>
  <c r="J21" i="15"/>
  <c r="I21" i="15"/>
  <c r="K21" i="15" s="1"/>
  <c r="G21" i="15"/>
  <c r="F21" i="15"/>
  <c r="H21" i="15" s="1"/>
  <c r="D21" i="15"/>
  <c r="C21" i="15"/>
  <c r="E21" i="15" s="1"/>
  <c r="Q20" i="15"/>
  <c r="N20" i="15"/>
  <c r="M20" i="15"/>
  <c r="L20" i="15"/>
  <c r="P20" i="15" s="1"/>
  <c r="J20" i="15"/>
  <c r="I20" i="15"/>
  <c r="K20" i="15" s="1"/>
  <c r="G20" i="15"/>
  <c r="F20" i="15"/>
  <c r="H20" i="15" s="1"/>
  <c r="D20" i="15"/>
  <c r="C20" i="15"/>
  <c r="E20" i="15" s="1"/>
  <c r="N19" i="15"/>
  <c r="M19" i="15"/>
  <c r="J19" i="15"/>
  <c r="I19" i="15"/>
  <c r="K19" i="15" s="1"/>
  <c r="G19" i="15"/>
  <c r="F19" i="15"/>
  <c r="H19" i="15" s="1"/>
  <c r="D19" i="15"/>
  <c r="C19" i="15"/>
  <c r="E19" i="15" s="1"/>
  <c r="N17" i="15"/>
  <c r="M17" i="15"/>
  <c r="J17" i="15"/>
  <c r="I17" i="15"/>
  <c r="K17" i="15" s="1"/>
  <c r="G17" i="15"/>
  <c r="F17" i="15"/>
  <c r="H17" i="15" s="1"/>
  <c r="D17" i="15"/>
  <c r="C17" i="15"/>
  <c r="E17" i="15" s="1"/>
  <c r="N16" i="15"/>
  <c r="M16" i="15"/>
  <c r="L16" i="15"/>
  <c r="P16" i="15" s="1"/>
  <c r="J16" i="15"/>
  <c r="I16" i="15"/>
  <c r="K16" i="15" s="1"/>
  <c r="G16" i="15"/>
  <c r="F16" i="15"/>
  <c r="H16" i="15" s="1"/>
  <c r="D16" i="15"/>
  <c r="C16" i="15"/>
  <c r="E16" i="15" s="1"/>
  <c r="N15" i="15"/>
  <c r="M15" i="15"/>
  <c r="J15" i="15"/>
  <c r="I15" i="15"/>
  <c r="K15" i="15" s="1"/>
  <c r="G15" i="15"/>
  <c r="F15" i="15"/>
  <c r="H15" i="15" s="1"/>
  <c r="D15" i="15"/>
  <c r="C15" i="15"/>
  <c r="E15" i="15" s="1"/>
  <c r="N14" i="15"/>
  <c r="M14" i="15"/>
  <c r="J14" i="15"/>
  <c r="I14" i="15"/>
  <c r="K14" i="15" s="1"/>
  <c r="G14" i="15"/>
  <c r="F14" i="15"/>
  <c r="H14" i="15" s="1"/>
  <c r="D14" i="15"/>
  <c r="C14" i="15"/>
  <c r="E14" i="15" s="1"/>
  <c r="N13" i="15"/>
  <c r="M13" i="15"/>
  <c r="J13" i="15"/>
  <c r="I13" i="15"/>
  <c r="K13" i="15" s="1"/>
  <c r="G13" i="15"/>
  <c r="F13" i="15"/>
  <c r="H13" i="15" s="1"/>
  <c r="D13" i="15"/>
  <c r="C13" i="15"/>
  <c r="E13" i="15" s="1"/>
  <c r="N12" i="15"/>
  <c r="M12" i="15"/>
  <c r="L12" i="15"/>
  <c r="P12" i="15" s="1"/>
  <c r="J12" i="15"/>
  <c r="I12" i="15"/>
  <c r="K12" i="15" s="1"/>
  <c r="G12" i="15"/>
  <c r="F12" i="15"/>
  <c r="H12" i="15" s="1"/>
  <c r="D12" i="15"/>
  <c r="C12" i="15"/>
  <c r="E12" i="15" s="1"/>
  <c r="N11" i="15"/>
  <c r="M11" i="15"/>
  <c r="L11" i="15"/>
  <c r="P11" i="15" s="1"/>
  <c r="J11" i="15"/>
  <c r="I11" i="15"/>
  <c r="K11" i="15" s="1"/>
  <c r="G11" i="15"/>
  <c r="F11" i="15"/>
  <c r="H11" i="15" s="1"/>
  <c r="D11" i="15"/>
  <c r="C11" i="15"/>
  <c r="E11" i="15" s="1"/>
  <c r="N10" i="15"/>
  <c r="M10" i="15"/>
  <c r="J10" i="15"/>
  <c r="I10" i="15"/>
  <c r="K10" i="15" s="1"/>
  <c r="G10" i="15"/>
  <c r="F10" i="15"/>
  <c r="H10" i="15" s="1"/>
  <c r="D10" i="15"/>
  <c r="C10" i="15"/>
  <c r="E10" i="15" s="1"/>
  <c r="N9" i="15"/>
  <c r="M9" i="15"/>
  <c r="J9" i="15"/>
  <c r="I9" i="15"/>
  <c r="K9" i="15" s="1"/>
  <c r="G9" i="15"/>
  <c r="F9" i="15"/>
  <c r="H9" i="15" s="1"/>
  <c r="D9" i="15"/>
  <c r="C9" i="15"/>
  <c r="N8" i="15"/>
  <c r="M8" i="15"/>
  <c r="L8" i="15"/>
  <c r="P8" i="15" s="1"/>
  <c r="J8" i="15"/>
  <c r="I8" i="15"/>
  <c r="K8" i="15" s="1"/>
  <c r="G8" i="15"/>
  <c r="F8" i="15"/>
  <c r="H8" i="15" s="1"/>
  <c r="D8" i="15"/>
  <c r="C8" i="15"/>
  <c r="E8" i="15" s="1"/>
  <c r="Q7" i="15"/>
  <c r="N7" i="15"/>
  <c r="M7" i="15"/>
  <c r="L7" i="15"/>
  <c r="P7" i="15" s="1"/>
  <c r="J7" i="15"/>
  <c r="I7" i="15"/>
  <c r="K7" i="15" s="1"/>
  <c r="G7" i="15"/>
  <c r="F7" i="15"/>
  <c r="H7" i="15" s="1"/>
  <c r="D7" i="15"/>
  <c r="C7" i="15"/>
  <c r="E7" i="15" s="1"/>
  <c r="N6" i="15"/>
  <c r="M6" i="15"/>
  <c r="J6" i="15"/>
  <c r="I6" i="15"/>
  <c r="K6" i="15" s="1"/>
  <c r="G6" i="15"/>
  <c r="F6" i="15"/>
  <c r="H6" i="15" s="1"/>
  <c r="D6" i="15"/>
  <c r="C6" i="15"/>
  <c r="E6" i="15" s="1"/>
  <c r="T456" i="14"/>
  <c r="Q7" i="13"/>
  <c r="M98" i="13"/>
  <c r="M99" i="13"/>
  <c r="M100" i="13"/>
  <c r="M101" i="13"/>
  <c r="M102" i="13"/>
  <c r="M103" i="13"/>
  <c r="M104" i="13"/>
  <c r="M105" i="13"/>
  <c r="M106" i="13"/>
  <c r="M107" i="13"/>
  <c r="M108" i="13"/>
  <c r="M109" i="13"/>
  <c r="M110" i="13"/>
  <c r="M111" i="13"/>
  <c r="M112" i="13"/>
  <c r="M113" i="13"/>
  <c r="M114" i="13"/>
  <c r="M115" i="13"/>
  <c r="M97" i="13"/>
  <c r="M45" i="13"/>
  <c r="M46" i="13"/>
  <c r="M47" i="13"/>
  <c r="M48" i="13"/>
  <c r="M49" i="13"/>
  <c r="M50" i="13"/>
  <c r="M51" i="13"/>
  <c r="M52" i="13"/>
  <c r="M53" i="13"/>
  <c r="M54" i="13"/>
  <c r="M55" i="13"/>
  <c r="M56" i="13"/>
  <c r="M57" i="13"/>
  <c r="M58" i="13"/>
  <c r="M59" i="13"/>
  <c r="M60" i="13"/>
  <c r="M61" i="13"/>
  <c r="M62" i="13"/>
  <c r="M63" i="13"/>
  <c r="M64" i="13"/>
  <c r="M65" i="13"/>
  <c r="M66" i="13"/>
  <c r="M67" i="13"/>
  <c r="M68" i="13"/>
  <c r="M69" i="13"/>
  <c r="M70" i="13"/>
  <c r="M71" i="13"/>
  <c r="M72" i="13"/>
  <c r="M73" i="13"/>
  <c r="M74" i="13"/>
  <c r="M75" i="13"/>
  <c r="M76" i="13"/>
  <c r="M77" i="13"/>
  <c r="M78" i="13"/>
  <c r="M79" i="13"/>
  <c r="M80" i="13"/>
  <c r="M81" i="13"/>
  <c r="M82" i="13"/>
  <c r="M83" i="13"/>
  <c r="M84" i="13"/>
  <c r="M85" i="13"/>
  <c r="M86" i="13"/>
  <c r="M87" i="13"/>
  <c r="M88" i="13"/>
  <c r="M89" i="13"/>
  <c r="M90" i="13"/>
  <c r="M91" i="13"/>
  <c r="M92" i="13"/>
  <c r="M93" i="13"/>
  <c r="M94" i="13"/>
  <c r="M95" i="13"/>
  <c r="M44" i="13"/>
  <c r="M20" i="13"/>
  <c r="M21" i="13"/>
  <c r="M22" i="13"/>
  <c r="M23" i="13"/>
  <c r="M24" i="13"/>
  <c r="M25" i="13"/>
  <c r="M26" i="13"/>
  <c r="M27" i="13"/>
  <c r="M28" i="13"/>
  <c r="M29" i="13"/>
  <c r="M30" i="13"/>
  <c r="M31" i="13"/>
  <c r="M32" i="13"/>
  <c r="M33" i="13"/>
  <c r="M34" i="13"/>
  <c r="M35" i="13"/>
  <c r="M36" i="13"/>
  <c r="M37" i="13"/>
  <c r="M38" i="13"/>
  <c r="M39" i="13"/>
  <c r="M40" i="13"/>
  <c r="M41" i="13"/>
  <c r="M42" i="13"/>
  <c r="M19" i="13"/>
  <c r="M7" i="13"/>
  <c r="M8" i="13"/>
  <c r="M9" i="13"/>
  <c r="M10" i="13"/>
  <c r="M11" i="13"/>
  <c r="M12" i="13"/>
  <c r="M13" i="13"/>
  <c r="M14" i="13"/>
  <c r="M15" i="13"/>
  <c r="M16" i="13"/>
  <c r="M17" i="13"/>
  <c r="M6" i="13"/>
  <c r="N57" i="13"/>
  <c r="N26" i="13"/>
  <c r="N46" i="13"/>
  <c r="L47" i="13"/>
  <c r="P47" i="13" s="1"/>
  <c r="N44" i="13"/>
  <c r="N23" i="13"/>
  <c r="N20" i="13"/>
  <c r="N19" i="13"/>
  <c r="N9" i="13"/>
  <c r="N8" i="13"/>
  <c r="N7" i="13"/>
  <c r="N6" i="13"/>
  <c r="N97" i="13"/>
  <c r="N45" i="13"/>
  <c r="N47" i="13"/>
  <c r="N48" i="13"/>
  <c r="N49" i="13"/>
  <c r="N50" i="13"/>
  <c r="O50" i="13" s="1"/>
  <c r="N51" i="13"/>
  <c r="N52" i="13"/>
  <c r="N53" i="13"/>
  <c r="N54" i="13"/>
  <c r="O54" i="13" s="1"/>
  <c r="N55" i="13"/>
  <c r="N56" i="13"/>
  <c r="N58" i="13"/>
  <c r="N59" i="13"/>
  <c r="N60" i="13"/>
  <c r="N61" i="13"/>
  <c r="N62" i="13"/>
  <c r="N63" i="13"/>
  <c r="N64" i="13"/>
  <c r="N65" i="13"/>
  <c r="N66" i="13"/>
  <c r="N67" i="13"/>
  <c r="N68" i="13"/>
  <c r="N69" i="13"/>
  <c r="N70" i="13"/>
  <c r="N71" i="13"/>
  <c r="N72" i="13"/>
  <c r="N73" i="13"/>
  <c r="N74" i="13"/>
  <c r="N75" i="13"/>
  <c r="N76" i="13"/>
  <c r="N77" i="13"/>
  <c r="N78" i="13"/>
  <c r="N79" i="13"/>
  <c r="N80" i="13"/>
  <c r="N81" i="13"/>
  <c r="N82" i="13"/>
  <c r="N83" i="13"/>
  <c r="N84" i="13"/>
  <c r="N85" i="13"/>
  <c r="N86" i="13"/>
  <c r="N87" i="13"/>
  <c r="N88" i="13"/>
  <c r="N89" i="13"/>
  <c r="N90" i="13"/>
  <c r="N91" i="13"/>
  <c r="N92" i="13"/>
  <c r="N93" i="13"/>
  <c r="N94" i="13"/>
  <c r="N95" i="13"/>
  <c r="N42" i="13"/>
  <c r="N98" i="13"/>
  <c r="O98" i="13" s="1"/>
  <c r="N99" i="13"/>
  <c r="N100" i="13"/>
  <c r="N101" i="13"/>
  <c r="N102" i="13"/>
  <c r="N103" i="13"/>
  <c r="N104" i="13"/>
  <c r="N105" i="13"/>
  <c r="N106" i="13"/>
  <c r="O106" i="13" s="1"/>
  <c r="N107" i="13"/>
  <c r="N108" i="13"/>
  <c r="N109" i="13"/>
  <c r="N110" i="13"/>
  <c r="O110" i="13" s="1"/>
  <c r="N111" i="13"/>
  <c r="N112" i="13"/>
  <c r="N113" i="13"/>
  <c r="N114" i="13"/>
  <c r="O114" i="13" s="1"/>
  <c r="N115" i="13"/>
  <c r="N21" i="13"/>
  <c r="N22" i="13"/>
  <c r="N24" i="13"/>
  <c r="N25" i="13"/>
  <c r="N27" i="13"/>
  <c r="N28" i="13"/>
  <c r="N29" i="13"/>
  <c r="N30" i="13"/>
  <c r="N31" i="13"/>
  <c r="N32" i="13"/>
  <c r="N33" i="13"/>
  <c r="N34" i="13"/>
  <c r="N35" i="13"/>
  <c r="N36" i="13"/>
  <c r="N37" i="13"/>
  <c r="N38" i="13"/>
  <c r="N39" i="13"/>
  <c r="N40" i="13"/>
  <c r="N41" i="13"/>
  <c r="N13" i="13"/>
  <c r="N10" i="13"/>
  <c r="N11" i="13"/>
  <c r="N12" i="13"/>
  <c r="N14" i="13"/>
  <c r="N15" i="13"/>
  <c r="N16" i="13"/>
  <c r="N17" i="13"/>
  <c r="L105" i="13"/>
  <c r="P105" i="13" s="1"/>
  <c r="L107" i="13"/>
  <c r="P107" i="13" s="1"/>
  <c r="L108" i="13"/>
  <c r="P108" i="13" s="1"/>
  <c r="L109" i="13"/>
  <c r="P109" i="13" s="1"/>
  <c r="L110" i="13"/>
  <c r="P110" i="13" s="1"/>
  <c r="L113" i="13"/>
  <c r="P113" i="13" s="1"/>
  <c r="L114" i="13"/>
  <c r="P114" i="13" s="1"/>
  <c r="L97" i="13"/>
  <c r="P97" i="13" s="1"/>
  <c r="L45" i="13"/>
  <c r="P45" i="13" s="1"/>
  <c r="L48" i="13"/>
  <c r="P48" i="13" s="1"/>
  <c r="L51" i="13"/>
  <c r="P51" i="13" s="1"/>
  <c r="L52" i="13"/>
  <c r="P52" i="13" s="1"/>
  <c r="L53" i="13"/>
  <c r="P53" i="13" s="1"/>
  <c r="L54" i="13"/>
  <c r="P54" i="13" s="1"/>
  <c r="L55" i="13"/>
  <c r="P55" i="13" s="1"/>
  <c r="L56" i="13"/>
  <c r="P56" i="13" s="1"/>
  <c r="L58" i="13"/>
  <c r="P58" i="13" s="1"/>
  <c r="L60" i="13"/>
  <c r="P60" i="13" s="1"/>
  <c r="L62" i="13"/>
  <c r="P62" i="13" s="1"/>
  <c r="L63" i="13"/>
  <c r="P63" i="13" s="1"/>
  <c r="L64" i="13"/>
  <c r="P64" i="13" s="1"/>
  <c r="L65" i="13"/>
  <c r="P65" i="13" s="1"/>
  <c r="L67" i="13"/>
  <c r="P67" i="13" s="1"/>
  <c r="L68" i="13"/>
  <c r="P68" i="13" s="1"/>
  <c r="L69" i="13"/>
  <c r="P69" i="13" s="1"/>
  <c r="L71" i="13"/>
  <c r="P71" i="13" s="1"/>
  <c r="L72" i="13"/>
  <c r="P72" i="13" s="1"/>
  <c r="L73" i="13"/>
  <c r="P73" i="13" s="1"/>
  <c r="L74" i="13"/>
  <c r="P74" i="13" s="1"/>
  <c r="L77" i="13"/>
  <c r="P77" i="13" s="1"/>
  <c r="L79" i="13"/>
  <c r="P79" i="13" s="1"/>
  <c r="L80" i="13"/>
  <c r="P80" i="13" s="1"/>
  <c r="L81" i="13"/>
  <c r="P81" i="13" s="1"/>
  <c r="L82" i="13"/>
  <c r="P82" i="13" s="1"/>
  <c r="L83" i="13"/>
  <c r="P83" i="13" s="1"/>
  <c r="L85" i="13"/>
  <c r="P85" i="13" s="1"/>
  <c r="L88" i="13"/>
  <c r="P88" i="13" s="1"/>
  <c r="L94" i="13"/>
  <c r="P94" i="13" s="1"/>
  <c r="L20" i="13"/>
  <c r="P20" i="13" s="1"/>
  <c r="L21" i="13"/>
  <c r="P21" i="13" s="1"/>
  <c r="L22" i="13"/>
  <c r="P22" i="13" s="1"/>
  <c r="L24" i="13"/>
  <c r="P24" i="13" s="1"/>
  <c r="L26" i="13"/>
  <c r="P26" i="13" s="1"/>
  <c r="L27" i="13"/>
  <c r="P27" i="13" s="1"/>
  <c r="L29" i="13"/>
  <c r="P29" i="13" s="1"/>
  <c r="L30" i="13"/>
  <c r="P30" i="13" s="1"/>
  <c r="L31" i="13"/>
  <c r="P31" i="13" s="1"/>
  <c r="L33" i="13"/>
  <c r="P33" i="13" s="1"/>
  <c r="L34" i="13"/>
  <c r="P34" i="13" s="1"/>
  <c r="L35" i="13"/>
  <c r="P35" i="13" s="1"/>
  <c r="L38" i="13"/>
  <c r="P38" i="13" s="1"/>
  <c r="L40" i="13"/>
  <c r="P40" i="13" s="1"/>
  <c r="L7" i="13"/>
  <c r="P7" i="13" s="1"/>
  <c r="L8" i="13"/>
  <c r="P8" i="13" s="1"/>
  <c r="L11" i="13"/>
  <c r="P11" i="13" s="1"/>
  <c r="L12" i="13"/>
  <c r="P12" i="13" s="1"/>
  <c r="L16" i="13"/>
  <c r="P16" i="13" s="1"/>
  <c r="M2" i="14"/>
  <c r="M3" i="14"/>
  <c r="L3" i="14" s="1"/>
  <c r="M4" i="14"/>
  <c r="L4" i="14" s="1"/>
  <c r="M5" i="14"/>
  <c r="L5" i="14" s="1"/>
  <c r="M40" i="14"/>
  <c r="L40" i="14" s="1"/>
  <c r="M41" i="14"/>
  <c r="L41" i="14" s="1"/>
  <c r="M42" i="14"/>
  <c r="M46" i="14"/>
  <c r="L46" i="14" s="1"/>
  <c r="L46" i="13" s="1"/>
  <c r="P46" i="13" s="1"/>
  <c r="M49" i="14"/>
  <c r="L49" i="14" s="1"/>
  <c r="M50" i="14"/>
  <c r="L50" i="14" s="1"/>
  <c r="M51" i="14"/>
  <c r="L51" i="14" s="1"/>
  <c r="M52" i="14"/>
  <c r="L52" i="14" s="1"/>
  <c r="M53" i="14"/>
  <c r="M54" i="14"/>
  <c r="L54" i="14" s="1"/>
  <c r="M55" i="14"/>
  <c r="L55" i="14" s="1"/>
  <c r="M56" i="14"/>
  <c r="L56" i="14" s="1"/>
  <c r="M57" i="14"/>
  <c r="L57" i="14" s="1"/>
  <c r="M58" i="14"/>
  <c r="L58" i="14" s="1"/>
  <c r="M59" i="14"/>
  <c r="L59" i="14" s="1"/>
  <c r="M60" i="14"/>
  <c r="L60" i="14" s="1"/>
  <c r="M61" i="14"/>
  <c r="L61" i="14" s="1"/>
  <c r="M62" i="14"/>
  <c r="L62" i="14" s="1"/>
  <c r="M63" i="14"/>
  <c r="L63" i="14" s="1"/>
  <c r="M64" i="14"/>
  <c r="L64" i="14" s="1"/>
  <c r="M65" i="14"/>
  <c r="L65" i="14" s="1"/>
  <c r="M66" i="14"/>
  <c r="L66" i="14" s="1"/>
  <c r="M67" i="14"/>
  <c r="L67" i="14" s="1"/>
  <c r="M68" i="14"/>
  <c r="L68" i="14" s="1"/>
  <c r="M69" i="14"/>
  <c r="L69" i="14" s="1"/>
  <c r="M70" i="14"/>
  <c r="L70" i="14" s="1"/>
  <c r="M71" i="14"/>
  <c r="L71" i="14" s="1"/>
  <c r="M72" i="14"/>
  <c r="L72" i="14" s="1"/>
  <c r="M73" i="14"/>
  <c r="L73" i="14" s="1"/>
  <c r="M74" i="14"/>
  <c r="L74" i="14" s="1"/>
  <c r="M75" i="14"/>
  <c r="L75" i="14" s="1"/>
  <c r="M76" i="14"/>
  <c r="L76" i="14" s="1"/>
  <c r="M77" i="14"/>
  <c r="L77" i="14" s="1"/>
  <c r="M78" i="14"/>
  <c r="L78" i="14" s="1"/>
  <c r="M79" i="14"/>
  <c r="L79" i="14" s="1"/>
  <c r="M80" i="14"/>
  <c r="L80" i="14" s="1"/>
  <c r="M81" i="14"/>
  <c r="L81" i="14" s="1"/>
  <c r="M82" i="14"/>
  <c r="L82" i="14" s="1"/>
  <c r="M83" i="14"/>
  <c r="L83" i="14" s="1"/>
  <c r="M84" i="14"/>
  <c r="L84" i="14" s="1"/>
  <c r="M85" i="14"/>
  <c r="L85" i="14" s="1"/>
  <c r="M86" i="14"/>
  <c r="L86" i="14" s="1"/>
  <c r="M87" i="14"/>
  <c r="L87" i="14" s="1"/>
  <c r="M88" i="14"/>
  <c r="L88" i="14" s="1"/>
  <c r="M89" i="14"/>
  <c r="L89" i="14" s="1"/>
  <c r="M90" i="14"/>
  <c r="L90" i="14" s="1"/>
  <c r="M91" i="14"/>
  <c r="L91" i="14" s="1"/>
  <c r="M92" i="14"/>
  <c r="L92" i="14" s="1"/>
  <c r="M93" i="14"/>
  <c r="L93" i="14" s="1"/>
  <c r="M94" i="14"/>
  <c r="L94" i="14" s="1"/>
  <c r="M95" i="14"/>
  <c r="L95" i="14" s="1"/>
  <c r="M96" i="14"/>
  <c r="L96" i="14" s="1"/>
  <c r="M97" i="14"/>
  <c r="L97" i="14" s="1"/>
  <c r="M98" i="14"/>
  <c r="L98" i="14" s="1"/>
  <c r="M99" i="14"/>
  <c r="L99" i="14" s="1"/>
  <c r="M100" i="14"/>
  <c r="L100" i="14" s="1"/>
  <c r="M101" i="14"/>
  <c r="L101" i="14" s="1"/>
  <c r="M102" i="14"/>
  <c r="L102" i="14" s="1"/>
  <c r="M103" i="14"/>
  <c r="L103" i="14" s="1"/>
  <c r="M104" i="14"/>
  <c r="L104" i="14" s="1"/>
  <c r="M105" i="14"/>
  <c r="L105" i="14" s="1"/>
  <c r="M106" i="14"/>
  <c r="L106" i="14" s="1"/>
  <c r="M107" i="14"/>
  <c r="L107" i="14" s="1"/>
  <c r="M108" i="14"/>
  <c r="L108" i="14" s="1"/>
  <c r="M109" i="14"/>
  <c r="L109" i="14" s="1"/>
  <c r="M110" i="14"/>
  <c r="L110" i="14" s="1"/>
  <c r="M111" i="14"/>
  <c r="L111" i="14" s="1"/>
  <c r="M112" i="14"/>
  <c r="L112" i="14" s="1"/>
  <c r="M113" i="14"/>
  <c r="L113" i="14" s="1"/>
  <c r="M114" i="14"/>
  <c r="L114" i="14" s="1"/>
  <c r="M115" i="14"/>
  <c r="L115" i="14" s="1"/>
  <c r="M116" i="14"/>
  <c r="L116" i="14" s="1"/>
  <c r="M117" i="14"/>
  <c r="L117" i="14" s="1"/>
  <c r="M118" i="14"/>
  <c r="L118" i="14" s="1"/>
  <c r="M119" i="14"/>
  <c r="L119" i="14" s="1"/>
  <c r="M120" i="14"/>
  <c r="L120" i="14" s="1"/>
  <c r="M121" i="14"/>
  <c r="L121" i="14" s="1"/>
  <c r="M122" i="14"/>
  <c r="L122" i="14" s="1"/>
  <c r="M123" i="14"/>
  <c r="L123" i="14" s="1"/>
  <c r="M124" i="14"/>
  <c r="L124" i="14" s="1"/>
  <c r="M125" i="14"/>
  <c r="L125" i="14" s="1"/>
  <c r="M126" i="14"/>
  <c r="L126" i="14" s="1"/>
  <c r="M127" i="14"/>
  <c r="L127" i="14" s="1"/>
  <c r="M128" i="14"/>
  <c r="L128" i="14" s="1"/>
  <c r="M129" i="14"/>
  <c r="L129" i="14" s="1"/>
  <c r="M130" i="14"/>
  <c r="L130" i="14" s="1"/>
  <c r="M131" i="14"/>
  <c r="L131" i="14" s="1"/>
  <c r="M132" i="14"/>
  <c r="L132" i="14" s="1"/>
  <c r="M133" i="14"/>
  <c r="L133" i="14" s="1"/>
  <c r="M134" i="14"/>
  <c r="L134" i="14" s="1"/>
  <c r="M135" i="14"/>
  <c r="L135" i="14" s="1"/>
  <c r="M136" i="14"/>
  <c r="L136" i="14" s="1"/>
  <c r="M137" i="14"/>
  <c r="L137" i="14" s="1"/>
  <c r="M138" i="14"/>
  <c r="L138" i="14" s="1"/>
  <c r="M139" i="14"/>
  <c r="L139" i="14" s="1"/>
  <c r="M140" i="14"/>
  <c r="L140" i="14" s="1"/>
  <c r="M141" i="14"/>
  <c r="L141" i="14" s="1"/>
  <c r="M142" i="14"/>
  <c r="L142" i="14" s="1"/>
  <c r="M143" i="14"/>
  <c r="L143" i="14" s="1"/>
  <c r="M144" i="14"/>
  <c r="L144" i="14" s="1"/>
  <c r="M145" i="14"/>
  <c r="L145" i="14" s="1"/>
  <c r="M146" i="14"/>
  <c r="L146" i="14" s="1"/>
  <c r="M147" i="14"/>
  <c r="L147" i="14" s="1"/>
  <c r="M148" i="14"/>
  <c r="L148" i="14" s="1"/>
  <c r="M149" i="14"/>
  <c r="L149" i="14" s="1"/>
  <c r="M150" i="14"/>
  <c r="L150" i="14" s="1"/>
  <c r="M151" i="14"/>
  <c r="L151" i="14" s="1"/>
  <c r="M152" i="14"/>
  <c r="L152" i="14" s="1"/>
  <c r="M153" i="14"/>
  <c r="L153" i="14" s="1"/>
  <c r="M154" i="14"/>
  <c r="L154" i="14" s="1"/>
  <c r="M155" i="14"/>
  <c r="L155" i="14" s="1"/>
  <c r="M156" i="14"/>
  <c r="L156" i="14" s="1"/>
  <c r="M157" i="14"/>
  <c r="L157" i="14" s="1"/>
  <c r="M158" i="14"/>
  <c r="L158" i="14" s="1"/>
  <c r="M159" i="14"/>
  <c r="L159" i="14" s="1"/>
  <c r="M160" i="14"/>
  <c r="L160" i="14" s="1"/>
  <c r="M161" i="14"/>
  <c r="L161" i="14" s="1"/>
  <c r="M162" i="14"/>
  <c r="L162" i="14" s="1"/>
  <c r="M163" i="14"/>
  <c r="L163" i="14" s="1"/>
  <c r="M164" i="14"/>
  <c r="L164" i="14" s="1"/>
  <c r="M165" i="14"/>
  <c r="L165" i="14" s="1"/>
  <c r="M166" i="14"/>
  <c r="L166" i="14" s="1"/>
  <c r="M167" i="14"/>
  <c r="L167" i="14" s="1"/>
  <c r="M168" i="14"/>
  <c r="L168" i="14" s="1"/>
  <c r="M169" i="14"/>
  <c r="L169" i="14" s="1"/>
  <c r="M170" i="14"/>
  <c r="L170" i="14" s="1"/>
  <c r="M171" i="14"/>
  <c r="L171" i="14" s="1"/>
  <c r="M172" i="14"/>
  <c r="L172" i="14" s="1"/>
  <c r="M173" i="14"/>
  <c r="L173" i="14" s="1"/>
  <c r="M174" i="14"/>
  <c r="L174" i="14" s="1"/>
  <c r="M175" i="14"/>
  <c r="L175" i="14" s="1"/>
  <c r="M176" i="14"/>
  <c r="L176" i="14" s="1"/>
  <c r="M177" i="14"/>
  <c r="L177" i="14" s="1"/>
  <c r="M178" i="14"/>
  <c r="L178" i="14" s="1"/>
  <c r="M179" i="14"/>
  <c r="L179" i="14" s="1"/>
  <c r="M180" i="14"/>
  <c r="L180" i="14" s="1"/>
  <c r="M181" i="14"/>
  <c r="L181" i="14" s="1"/>
  <c r="M182" i="14"/>
  <c r="L182" i="14" s="1"/>
  <c r="M183" i="14"/>
  <c r="L183" i="14" s="1"/>
  <c r="M184" i="14"/>
  <c r="L184" i="14" s="1"/>
  <c r="M185" i="14"/>
  <c r="L185" i="14" s="1"/>
  <c r="M186" i="14"/>
  <c r="L186" i="14" s="1"/>
  <c r="M187" i="14"/>
  <c r="L187" i="14" s="1"/>
  <c r="M188" i="14"/>
  <c r="L188" i="14" s="1"/>
  <c r="M189" i="14"/>
  <c r="L189" i="14" s="1"/>
  <c r="M190" i="14"/>
  <c r="L190" i="14" s="1"/>
  <c r="M191" i="14"/>
  <c r="L191" i="14" s="1"/>
  <c r="M192" i="14"/>
  <c r="L192" i="14" s="1"/>
  <c r="M193" i="14"/>
  <c r="L193" i="14" s="1"/>
  <c r="M194" i="14"/>
  <c r="L194" i="14" s="1"/>
  <c r="M195" i="14"/>
  <c r="L195" i="14" s="1"/>
  <c r="M196" i="14"/>
  <c r="L196" i="14" s="1"/>
  <c r="M197" i="14"/>
  <c r="L197" i="14" s="1"/>
  <c r="M198" i="14"/>
  <c r="L198" i="14" s="1"/>
  <c r="M199" i="14"/>
  <c r="L199" i="14" s="1"/>
  <c r="M200" i="14"/>
  <c r="L200" i="14" s="1"/>
  <c r="M201" i="14"/>
  <c r="L201" i="14" s="1"/>
  <c r="M202" i="14"/>
  <c r="L202" i="14" s="1"/>
  <c r="M203" i="14"/>
  <c r="L203" i="14" s="1"/>
  <c r="M204" i="14"/>
  <c r="L204" i="14" s="1"/>
  <c r="M205" i="14"/>
  <c r="L205" i="14" s="1"/>
  <c r="M206" i="14"/>
  <c r="L206" i="14" s="1"/>
  <c r="M207" i="14"/>
  <c r="L207" i="14" s="1"/>
  <c r="M208" i="14"/>
  <c r="L208" i="14" s="1"/>
  <c r="M209" i="14"/>
  <c r="L209" i="14" s="1"/>
  <c r="M210" i="14"/>
  <c r="L210" i="14" s="1"/>
  <c r="M211" i="14"/>
  <c r="L211" i="14" s="1"/>
  <c r="M212" i="14"/>
  <c r="L212" i="14" s="1"/>
  <c r="M213" i="14"/>
  <c r="L213" i="14" s="1"/>
  <c r="M214" i="14"/>
  <c r="L214" i="14" s="1"/>
  <c r="M215" i="14"/>
  <c r="L215" i="14" s="1"/>
  <c r="M216" i="14"/>
  <c r="L216" i="14" s="1"/>
  <c r="M217" i="14"/>
  <c r="L217" i="14" s="1"/>
  <c r="M218" i="14"/>
  <c r="L218" i="14" s="1"/>
  <c r="M219" i="14"/>
  <c r="L219" i="14" s="1"/>
  <c r="M220" i="14"/>
  <c r="L220" i="14" s="1"/>
  <c r="M221" i="14"/>
  <c r="L221" i="14" s="1"/>
  <c r="M222" i="14"/>
  <c r="L222" i="14" s="1"/>
  <c r="M223" i="14"/>
  <c r="L223" i="14" s="1"/>
  <c r="M224" i="14"/>
  <c r="L224" i="14" s="1"/>
  <c r="M225" i="14"/>
  <c r="L225" i="14" s="1"/>
  <c r="M226" i="14"/>
  <c r="L226" i="14" s="1"/>
  <c r="M227" i="14"/>
  <c r="L227" i="14" s="1"/>
  <c r="M228" i="14"/>
  <c r="L228" i="14" s="1"/>
  <c r="M229" i="14"/>
  <c r="L229" i="14" s="1"/>
  <c r="M230" i="14"/>
  <c r="L230" i="14" s="1"/>
  <c r="M231" i="14"/>
  <c r="L231" i="14" s="1"/>
  <c r="M232" i="14"/>
  <c r="L232" i="14" s="1"/>
  <c r="M233" i="14"/>
  <c r="L233" i="14" s="1"/>
  <c r="M234" i="14"/>
  <c r="L234" i="14" s="1"/>
  <c r="M235" i="14"/>
  <c r="L235" i="14" s="1"/>
  <c r="M236" i="14"/>
  <c r="L236" i="14" s="1"/>
  <c r="M237" i="14"/>
  <c r="L237" i="14" s="1"/>
  <c r="M238" i="14"/>
  <c r="L238" i="14" s="1"/>
  <c r="M239" i="14"/>
  <c r="L239" i="14" s="1"/>
  <c r="M240" i="14"/>
  <c r="L240" i="14" s="1"/>
  <c r="M241" i="14"/>
  <c r="L241" i="14" s="1"/>
  <c r="M242" i="14"/>
  <c r="L242" i="14" s="1"/>
  <c r="M243" i="14"/>
  <c r="L243" i="14" s="1"/>
  <c r="M244" i="14"/>
  <c r="L244" i="14" s="1"/>
  <c r="M245" i="14"/>
  <c r="L245" i="14" s="1"/>
  <c r="M246" i="14"/>
  <c r="L246" i="14" s="1"/>
  <c r="M247" i="14"/>
  <c r="L247" i="14" s="1"/>
  <c r="M248" i="14"/>
  <c r="L248" i="14" s="1"/>
  <c r="M249" i="14"/>
  <c r="L249" i="14" s="1"/>
  <c r="M250" i="14"/>
  <c r="L250" i="14" s="1"/>
  <c r="M251" i="14"/>
  <c r="L251" i="14" s="1"/>
  <c r="M252" i="14"/>
  <c r="L252" i="14" s="1"/>
  <c r="M253" i="14"/>
  <c r="L253" i="14" s="1"/>
  <c r="M254" i="14"/>
  <c r="L254" i="14" s="1"/>
  <c r="M255" i="14"/>
  <c r="L255" i="14" s="1"/>
  <c r="M256" i="14"/>
  <c r="L256" i="14" s="1"/>
  <c r="M257" i="14"/>
  <c r="L257" i="14" s="1"/>
  <c r="M258" i="14"/>
  <c r="L258" i="14" s="1"/>
  <c r="M259" i="14"/>
  <c r="L259" i="14" s="1"/>
  <c r="M260" i="14"/>
  <c r="L260" i="14" s="1"/>
  <c r="M261" i="14"/>
  <c r="L261" i="14" s="1"/>
  <c r="M262" i="14"/>
  <c r="L262" i="14" s="1"/>
  <c r="M263" i="14"/>
  <c r="L263" i="14" s="1"/>
  <c r="M264" i="14"/>
  <c r="L264" i="14" s="1"/>
  <c r="M265" i="14"/>
  <c r="L265" i="14" s="1"/>
  <c r="M266" i="14"/>
  <c r="L266" i="14" s="1"/>
  <c r="M267" i="14"/>
  <c r="L267" i="14" s="1"/>
  <c r="M268" i="14"/>
  <c r="L268" i="14" s="1"/>
  <c r="M269" i="14"/>
  <c r="L269" i="14" s="1"/>
  <c r="M270" i="14"/>
  <c r="L270" i="14" s="1"/>
  <c r="M271" i="14"/>
  <c r="L271" i="14" s="1"/>
  <c r="M272" i="14"/>
  <c r="L272" i="14" s="1"/>
  <c r="M273" i="14"/>
  <c r="L273" i="14" s="1"/>
  <c r="M274" i="14"/>
  <c r="L274" i="14" s="1"/>
  <c r="M275" i="14"/>
  <c r="L275" i="14" s="1"/>
  <c r="M276" i="14"/>
  <c r="L276" i="14" s="1"/>
  <c r="M277" i="14"/>
  <c r="L277" i="14" s="1"/>
  <c r="M278" i="14"/>
  <c r="L278" i="14" s="1"/>
  <c r="M279" i="14"/>
  <c r="L279" i="14" s="1"/>
  <c r="M280" i="14"/>
  <c r="L280" i="14" s="1"/>
  <c r="M281" i="14"/>
  <c r="L281" i="14" s="1"/>
  <c r="M282" i="14"/>
  <c r="L282" i="14" s="1"/>
  <c r="M283" i="14"/>
  <c r="L283" i="14" s="1"/>
  <c r="M284" i="14"/>
  <c r="L284" i="14" s="1"/>
  <c r="M285" i="14"/>
  <c r="L285" i="14" s="1"/>
  <c r="M286" i="14"/>
  <c r="M287" i="14"/>
  <c r="L287" i="14" s="1"/>
  <c r="M288" i="14"/>
  <c r="L288" i="14" s="1"/>
  <c r="M289" i="14"/>
  <c r="L289" i="14" s="1"/>
  <c r="M290" i="14"/>
  <c r="L290" i="14" s="1"/>
  <c r="M291" i="14"/>
  <c r="L291" i="14" s="1"/>
  <c r="M292" i="14"/>
  <c r="L292" i="14" s="1"/>
  <c r="M293" i="14"/>
  <c r="L293" i="14" s="1"/>
  <c r="M294" i="14"/>
  <c r="L294" i="14" s="1"/>
  <c r="L57" i="15" s="1"/>
  <c r="P57" i="15" s="1"/>
  <c r="M295" i="14"/>
  <c r="L295" i="14" s="1"/>
  <c r="L61" i="13" s="1"/>
  <c r="P61" i="13" s="1"/>
  <c r="M296" i="14"/>
  <c r="L296" i="14" s="1"/>
  <c r="M297" i="14"/>
  <c r="L297" i="14" s="1"/>
  <c r="L102" i="13" s="1"/>
  <c r="P102" i="13" s="1"/>
  <c r="M298" i="14"/>
  <c r="L298" i="14" s="1"/>
  <c r="M299" i="14"/>
  <c r="L299" i="14" s="1"/>
  <c r="M300" i="14"/>
  <c r="L300" i="14" s="1"/>
  <c r="L91" i="13" s="1"/>
  <c r="P91" i="13" s="1"/>
  <c r="M301" i="14"/>
  <c r="L301" i="14" s="1"/>
  <c r="L37" i="13" s="1"/>
  <c r="P37" i="13" s="1"/>
  <c r="M302" i="14"/>
  <c r="L302" i="14" s="1"/>
  <c r="M303" i="14"/>
  <c r="L303" i="14" s="1"/>
  <c r="L75" i="13" s="1"/>
  <c r="P75" i="13" s="1"/>
  <c r="M304" i="14"/>
  <c r="L304" i="14" s="1"/>
  <c r="M305" i="14"/>
  <c r="L305" i="14" s="1"/>
  <c r="M306" i="14"/>
  <c r="L306" i="14" s="1"/>
  <c r="L39" i="13" s="1"/>
  <c r="P39" i="13" s="1"/>
  <c r="M307" i="14"/>
  <c r="L307" i="14" s="1"/>
  <c r="L98" i="13" s="1"/>
  <c r="M308" i="14"/>
  <c r="L308" i="14" s="1"/>
  <c r="L19" i="13" s="1"/>
  <c r="P19" i="13" s="1"/>
  <c r="M309" i="14"/>
  <c r="L309" i="14" s="1"/>
  <c r="M310" i="14"/>
  <c r="L310" i="14" s="1"/>
  <c r="L42" i="13" s="1"/>
  <c r="P42" i="13" s="1"/>
  <c r="M311" i="14"/>
  <c r="L311" i="14" s="1"/>
  <c r="M312" i="14"/>
  <c r="L312" i="14" s="1"/>
  <c r="L14" i="13" s="1"/>
  <c r="P14" i="13" s="1"/>
  <c r="M313" i="14"/>
  <c r="L313" i="14" s="1"/>
  <c r="M314" i="14"/>
  <c r="L314" i="14" s="1"/>
  <c r="L41" i="13" s="1"/>
  <c r="P41" i="13" s="1"/>
  <c r="M315" i="14"/>
  <c r="L315" i="14" s="1"/>
  <c r="L87" i="13" s="1"/>
  <c r="P87" i="13" s="1"/>
  <c r="M316" i="14"/>
  <c r="L316" i="14" s="1"/>
  <c r="M317" i="14"/>
  <c r="L317" i="14" s="1"/>
  <c r="L59" i="13" s="1"/>
  <c r="P59" i="13" s="1"/>
  <c r="M318" i="14"/>
  <c r="L318" i="14" s="1"/>
  <c r="M319" i="14"/>
  <c r="L319" i="14" s="1"/>
  <c r="M320" i="14"/>
  <c r="L320" i="14" s="1"/>
  <c r="M321" i="14"/>
  <c r="L321" i="14" s="1"/>
  <c r="M322" i="14"/>
  <c r="L322" i="14" s="1"/>
  <c r="M323" i="14"/>
  <c r="L323" i="14" s="1"/>
  <c r="L70" i="13" s="1"/>
  <c r="P70" i="13" s="1"/>
  <c r="M324" i="14"/>
  <c r="L324" i="14" s="1"/>
  <c r="L86" i="13" s="1"/>
  <c r="P86" i="13" s="1"/>
  <c r="M325" i="14"/>
  <c r="L325" i="14" s="1"/>
  <c r="M326" i="14"/>
  <c r="L326" i="14" s="1"/>
  <c r="M327" i="14"/>
  <c r="L327" i="14" s="1"/>
  <c r="L103" i="13" s="1"/>
  <c r="P103" i="13" s="1"/>
  <c r="M328" i="14"/>
  <c r="L328" i="14" s="1"/>
  <c r="M329" i="14"/>
  <c r="L329" i="14" s="1"/>
  <c r="L9" i="13" s="1"/>
  <c r="P9" i="13" s="1"/>
  <c r="M330" i="14"/>
  <c r="L330" i="14" s="1"/>
  <c r="M331" i="14"/>
  <c r="L331" i="14" s="1"/>
  <c r="M332" i="14"/>
  <c r="L332" i="14" s="1"/>
  <c r="M333" i="14"/>
  <c r="L333" i="14" s="1"/>
  <c r="M334" i="14"/>
  <c r="L334" i="14" s="1"/>
  <c r="L6" i="13" s="1"/>
  <c r="P6" i="13" s="1"/>
  <c r="M335" i="14"/>
  <c r="L335" i="14" s="1"/>
  <c r="L10" i="13" s="1"/>
  <c r="P10" i="13" s="1"/>
  <c r="M336" i="14"/>
  <c r="L336" i="14" s="1"/>
  <c r="M337" i="14"/>
  <c r="L337" i="14" s="1"/>
  <c r="L93" i="13" s="1"/>
  <c r="P93" i="13" s="1"/>
  <c r="M338" i="14"/>
  <c r="L338" i="14" s="1"/>
  <c r="L95" i="13" s="1"/>
  <c r="P95" i="13" s="1"/>
  <c r="M339" i="14"/>
  <c r="L339" i="14" s="1"/>
  <c r="M340" i="14"/>
  <c r="L340" i="14" s="1"/>
  <c r="L84" i="13" s="1"/>
  <c r="P84" i="13" s="1"/>
  <c r="M341" i="14"/>
  <c r="L341" i="14" s="1"/>
  <c r="M342" i="14"/>
  <c r="L342" i="14" s="1"/>
  <c r="L76" i="13" s="1"/>
  <c r="P76" i="13" s="1"/>
  <c r="M343" i="14"/>
  <c r="L343" i="14" s="1"/>
  <c r="L99" i="13" s="1"/>
  <c r="P99" i="13" s="1"/>
  <c r="M344" i="14"/>
  <c r="L344" i="14" s="1"/>
  <c r="M345" i="14"/>
  <c r="L345" i="14" s="1"/>
  <c r="L78" i="13" s="1"/>
  <c r="P78" i="13" s="1"/>
  <c r="M346" i="14"/>
  <c r="L346" i="14" s="1"/>
  <c r="M347" i="14"/>
  <c r="L347" i="14" s="1"/>
  <c r="L28" i="13" s="1"/>
  <c r="P28" i="13" s="1"/>
  <c r="M348" i="14"/>
  <c r="L348" i="14" s="1"/>
  <c r="M349" i="14"/>
  <c r="L349" i="14" s="1"/>
  <c r="M350" i="14"/>
  <c r="L350" i="14" s="1"/>
  <c r="M351" i="14"/>
  <c r="L351" i="14" s="1"/>
  <c r="L32" i="13" s="1"/>
  <c r="P32" i="13" s="1"/>
  <c r="M352" i="14"/>
  <c r="L352" i="14" s="1"/>
  <c r="M353" i="14"/>
  <c r="L353" i="14" s="1"/>
  <c r="L100" i="13" s="1"/>
  <c r="P100" i="13" s="1"/>
  <c r="M354" i="14"/>
  <c r="L354" i="14" s="1"/>
  <c r="M355" i="14"/>
  <c r="L355" i="14" s="1"/>
  <c r="M356" i="14"/>
  <c r="L356" i="14" s="1"/>
  <c r="M357" i="14"/>
  <c r="L357" i="14" s="1"/>
  <c r="M358" i="14"/>
  <c r="L358" i="14" s="1"/>
  <c r="M359" i="14"/>
  <c r="L359" i="14" s="1"/>
  <c r="M360" i="14"/>
  <c r="L360" i="14" s="1"/>
  <c r="M361" i="14"/>
  <c r="L361" i="14" s="1"/>
  <c r="M362" i="14"/>
  <c r="L362" i="14" s="1"/>
  <c r="M363" i="14"/>
  <c r="L363" i="14" s="1"/>
  <c r="M364" i="14"/>
  <c r="L364" i="14" s="1"/>
  <c r="M365" i="14"/>
  <c r="L365" i="14" s="1"/>
  <c r="M366" i="14"/>
  <c r="L366" i="14" s="1"/>
  <c r="M367" i="14"/>
  <c r="L367" i="14" s="1"/>
  <c r="M368" i="14"/>
  <c r="L368" i="14" s="1"/>
  <c r="M369" i="14"/>
  <c r="L369" i="14" s="1"/>
  <c r="M370" i="14"/>
  <c r="L370" i="14" s="1"/>
  <c r="M371" i="14"/>
  <c r="L371" i="14" s="1"/>
  <c r="M372" i="14"/>
  <c r="L372" i="14" s="1"/>
  <c r="M373" i="14"/>
  <c r="L373" i="14" s="1"/>
  <c r="M374" i="14"/>
  <c r="L374" i="14" s="1"/>
  <c r="M375" i="14"/>
  <c r="L375" i="14" s="1"/>
  <c r="M376" i="14"/>
  <c r="L376" i="14" s="1"/>
  <c r="M377" i="14"/>
  <c r="L377" i="14" s="1"/>
  <c r="M378" i="14"/>
  <c r="L378" i="14" s="1"/>
  <c r="M379" i="14"/>
  <c r="L379" i="14" s="1"/>
  <c r="M380" i="14"/>
  <c r="L380" i="14" s="1"/>
  <c r="M381" i="14"/>
  <c r="L381" i="14" s="1"/>
  <c r="M382" i="14"/>
  <c r="L382" i="14" s="1"/>
  <c r="M383" i="14"/>
  <c r="L383" i="14" s="1"/>
  <c r="M384" i="14"/>
  <c r="L384" i="14" s="1"/>
  <c r="M385" i="14"/>
  <c r="L385" i="14" s="1"/>
  <c r="M386" i="14"/>
  <c r="L386" i="14" s="1"/>
  <c r="M387" i="14"/>
  <c r="L387" i="14" s="1"/>
  <c r="M388" i="14"/>
  <c r="L388" i="14" s="1"/>
  <c r="M389" i="14"/>
  <c r="L389" i="14" s="1"/>
  <c r="M390" i="14"/>
  <c r="L390" i="14" s="1"/>
  <c r="M391" i="14"/>
  <c r="L391" i="14" s="1"/>
  <c r="M392" i="14"/>
  <c r="L392" i="14" s="1"/>
  <c r="M393" i="14"/>
  <c r="L393" i="14" s="1"/>
  <c r="M394" i="14"/>
  <c r="L394" i="14" s="1"/>
  <c r="M395" i="14"/>
  <c r="L395" i="14" s="1"/>
  <c r="M396" i="14"/>
  <c r="L396" i="14" s="1"/>
  <c r="M397" i="14"/>
  <c r="L397" i="14" s="1"/>
  <c r="M398" i="14"/>
  <c r="L398" i="14" s="1"/>
  <c r="M399" i="14"/>
  <c r="L399" i="14" s="1"/>
  <c r="M400" i="14"/>
  <c r="L400" i="14" s="1"/>
  <c r="M401" i="14"/>
  <c r="L401" i="14" s="1"/>
  <c r="M402" i="14"/>
  <c r="L402" i="14" s="1"/>
  <c r="M403" i="14"/>
  <c r="L403" i="14" s="1"/>
  <c r="M404" i="14"/>
  <c r="L404" i="14" s="1"/>
  <c r="M405" i="14"/>
  <c r="L405" i="14" s="1"/>
  <c r="M406" i="14"/>
  <c r="L406" i="14" s="1"/>
  <c r="M407" i="14"/>
  <c r="L407" i="14" s="1"/>
  <c r="M408" i="14"/>
  <c r="L408" i="14" s="1"/>
  <c r="M409" i="14"/>
  <c r="L409" i="14" s="1"/>
  <c r="M410" i="14"/>
  <c r="L410" i="14" s="1"/>
  <c r="M411" i="14"/>
  <c r="L411" i="14" s="1"/>
  <c r="M412" i="14"/>
  <c r="L412" i="14" s="1"/>
  <c r="M413" i="14"/>
  <c r="L413" i="14" s="1"/>
  <c r="M414" i="14"/>
  <c r="L414" i="14" s="1"/>
  <c r="M415" i="14"/>
  <c r="L415" i="14" s="1"/>
  <c r="M416" i="14"/>
  <c r="L416" i="14" s="1"/>
  <c r="M417" i="14"/>
  <c r="L417" i="14" s="1"/>
  <c r="M418" i="14"/>
  <c r="L418" i="14" s="1"/>
  <c r="M419" i="14"/>
  <c r="L419" i="14" s="1"/>
  <c r="M420" i="14"/>
  <c r="L420" i="14" s="1"/>
  <c r="M421" i="14"/>
  <c r="L421" i="14" s="1"/>
  <c r="M422" i="14"/>
  <c r="L422" i="14" s="1"/>
  <c r="L66" i="13" s="1"/>
  <c r="P66" i="13" s="1"/>
  <c r="M423" i="14"/>
  <c r="L423" i="14" s="1"/>
  <c r="L115" i="13" s="1"/>
  <c r="P115" i="13" s="1"/>
  <c r="M424" i="14"/>
  <c r="L424" i="14" s="1"/>
  <c r="L111" i="13" s="1"/>
  <c r="P111" i="13" s="1"/>
  <c r="M425" i="14"/>
  <c r="L425" i="14" s="1"/>
  <c r="M426" i="14"/>
  <c r="L426" i="14" s="1"/>
  <c r="M427" i="14"/>
  <c r="L427" i="14" s="1"/>
  <c r="M428" i="14"/>
  <c r="L428" i="14" s="1"/>
  <c r="M429" i="14"/>
  <c r="L429" i="14" s="1"/>
  <c r="M430" i="14"/>
  <c r="L430" i="14" s="1"/>
  <c r="M431" i="14"/>
  <c r="L431" i="14" s="1"/>
  <c r="M432" i="14"/>
  <c r="L432" i="14" s="1"/>
  <c r="M433" i="14"/>
  <c r="L433" i="14" s="1"/>
  <c r="M434" i="14"/>
  <c r="L434" i="14" s="1"/>
  <c r="M435" i="14"/>
  <c r="L435" i="14" s="1"/>
  <c r="M436" i="14"/>
  <c r="L436" i="14" s="1"/>
  <c r="M437" i="14"/>
  <c r="L437" i="14" s="1"/>
  <c r="M438" i="14"/>
  <c r="L438" i="14" s="1"/>
  <c r="M439" i="14"/>
  <c r="L439" i="14" s="1"/>
  <c r="M440" i="14"/>
  <c r="L440" i="14" s="1"/>
  <c r="M441" i="14"/>
  <c r="L441" i="14" s="1"/>
  <c r="M442" i="14"/>
  <c r="L442" i="14" s="1"/>
  <c r="M443" i="14"/>
  <c r="L443" i="14" s="1"/>
  <c r="M444" i="14"/>
  <c r="L444" i="14" s="1"/>
  <c r="M445" i="14"/>
  <c r="L445" i="14" s="1"/>
  <c r="M446" i="14"/>
  <c r="L446" i="14" s="1"/>
  <c r="M447" i="14"/>
  <c r="L447" i="14" s="1"/>
  <c r="M448" i="14"/>
  <c r="L448" i="14" s="1"/>
  <c r="M449" i="14"/>
  <c r="L449" i="14" s="1"/>
  <c r="M450" i="14"/>
  <c r="L450" i="14" s="1"/>
  <c r="M451" i="14"/>
  <c r="L451" i="14" s="1"/>
  <c r="M452" i="14"/>
  <c r="L452" i="14" s="1"/>
  <c r="M453" i="14"/>
  <c r="L453" i="14" s="1"/>
  <c r="M454" i="14"/>
  <c r="L454" i="14" s="1"/>
  <c r="M455" i="14"/>
  <c r="L455" i="14" s="1"/>
  <c r="N456" i="14"/>
  <c r="O456" i="14"/>
  <c r="P456" i="14"/>
  <c r="Q456" i="14"/>
  <c r="S456" i="14"/>
  <c r="L25" i="13" l="1"/>
  <c r="P25" i="13" s="1"/>
  <c r="O58" i="13"/>
  <c r="L89" i="15"/>
  <c r="P89" i="15" s="1"/>
  <c r="O61" i="15"/>
  <c r="O115" i="15"/>
  <c r="L17" i="15"/>
  <c r="P17" i="15" s="1"/>
  <c r="L36" i="15"/>
  <c r="P36" i="15" s="1"/>
  <c r="L23" i="15"/>
  <c r="P23" i="15" s="1"/>
  <c r="L92" i="15"/>
  <c r="P92" i="15" s="1"/>
  <c r="L90" i="15"/>
  <c r="P90" i="15" s="1"/>
  <c r="L101" i="15"/>
  <c r="P101" i="15" s="1"/>
  <c r="O110" i="15"/>
  <c r="L14" i="15"/>
  <c r="P14" i="15" s="1"/>
  <c r="L112" i="15"/>
  <c r="P112" i="15" s="1"/>
  <c r="L104" i="15"/>
  <c r="P104" i="15" s="1"/>
  <c r="O105" i="13"/>
  <c r="O101" i="13"/>
  <c r="L106" i="15"/>
  <c r="P106" i="15" s="1"/>
  <c r="L25" i="15"/>
  <c r="P25" i="15" s="1"/>
  <c r="L15" i="15"/>
  <c r="P15" i="15" s="1"/>
  <c r="O14" i="15"/>
  <c r="O42" i="15"/>
  <c r="O50" i="15"/>
  <c r="O45" i="15"/>
  <c r="O105" i="15"/>
  <c r="O9" i="15"/>
  <c r="L10" i="15"/>
  <c r="P10" i="15" s="1"/>
  <c r="L39" i="15"/>
  <c r="P39" i="15" s="1"/>
  <c r="L61" i="15"/>
  <c r="P61" i="15" s="1"/>
  <c r="L76" i="15"/>
  <c r="P76" i="15" s="1"/>
  <c r="L84" i="15"/>
  <c r="P84" i="15" s="1"/>
  <c r="L100" i="15"/>
  <c r="P100" i="15" s="1"/>
  <c r="L13" i="13"/>
  <c r="P13" i="13" s="1"/>
  <c r="L19" i="15"/>
  <c r="P19" i="15" s="1"/>
  <c r="Q21" i="15" s="1"/>
  <c r="L28" i="15"/>
  <c r="P28" i="15" s="1"/>
  <c r="L32" i="15"/>
  <c r="P32" i="15" s="1"/>
  <c r="O54" i="15"/>
  <c r="L66" i="15"/>
  <c r="P66" i="15" s="1"/>
  <c r="L93" i="15"/>
  <c r="P93" i="15" s="1"/>
  <c r="O97" i="15"/>
  <c r="L98" i="15"/>
  <c r="P98" i="15" s="1"/>
  <c r="O99" i="15"/>
  <c r="O108" i="15"/>
  <c r="O35" i="15"/>
  <c r="L37" i="15"/>
  <c r="P37" i="15" s="1"/>
  <c r="L41" i="15"/>
  <c r="P41" i="15" s="1"/>
  <c r="L59" i="15"/>
  <c r="P59" i="15" s="1"/>
  <c r="L70" i="15"/>
  <c r="P70" i="15" s="1"/>
  <c r="L78" i="15"/>
  <c r="P78" i="15" s="1"/>
  <c r="L86" i="15"/>
  <c r="P86" i="15" s="1"/>
  <c r="L102" i="15"/>
  <c r="P102" i="15" s="1"/>
  <c r="L6" i="15"/>
  <c r="P6" i="15" s="1"/>
  <c r="L9" i="15"/>
  <c r="P9" i="15" s="1"/>
  <c r="L13" i="15"/>
  <c r="P13" i="15" s="1"/>
  <c r="O25" i="15"/>
  <c r="O37" i="15"/>
  <c r="O41" i="15"/>
  <c r="L42" i="15"/>
  <c r="P42" i="15" s="1"/>
  <c r="L46" i="15"/>
  <c r="P46" i="15" s="1"/>
  <c r="O56" i="15"/>
  <c r="L75" i="15"/>
  <c r="P75" i="15" s="1"/>
  <c r="L87" i="15"/>
  <c r="P87" i="15" s="1"/>
  <c r="O90" i="15"/>
  <c r="L91" i="15"/>
  <c r="P91" i="15" s="1"/>
  <c r="L95" i="15"/>
  <c r="P95" i="15" s="1"/>
  <c r="L99" i="15"/>
  <c r="P99" i="15" s="1"/>
  <c r="L103" i="15"/>
  <c r="P103" i="15" s="1"/>
  <c r="L111" i="15"/>
  <c r="P111" i="15" s="1"/>
  <c r="L115" i="15"/>
  <c r="P115" i="15" s="1"/>
  <c r="O22" i="15"/>
  <c r="O39" i="15"/>
  <c r="O52" i="15"/>
  <c r="O103" i="15"/>
  <c r="O29" i="15"/>
  <c r="O47" i="15"/>
  <c r="O24" i="15"/>
  <c r="O31" i="15"/>
  <c r="O59" i="15"/>
  <c r="O114" i="15"/>
  <c r="O68" i="15"/>
  <c r="O102" i="15"/>
  <c r="O8" i="15"/>
  <c r="O75" i="15"/>
  <c r="O10" i="15"/>
  <c r="O30" i="15"/>
  <c r="O82" i="15"/>
  <c r="O17" i="15"/>
  <c r="O67" i="15"/>
  <c r="O27" i="15"/>
  <c r="O95" i="15"/>
  <c r="O13" i="15"/>
  <c r="O19" i="15"/>
  <c r="O40" i="15"/>
  <c r="O78" i="15"/>
  <c r="O49" i="15"/>
  <c r="O104" i="15"/>
  <c r="O15" i="15"/>
  <c r="O53" i="15"/>
  <c r="O63" i="15"/>
  <c r="O73" i="15"/>
  <c r="O80" i="15"/>
  <c r="O85" i="15"/>
  <c r="O101" i="15"/>
  <c r="O111" i="15"/>
  <c r="O81" i="15"/>
  <c r="O21" i="15"/>
  <c r="O55" i="15"/>
  <c r="O92" i="15"/>
  <c r="O12" i="15"/>
  <c r="O23" i="15"/>
  <c r="O33" i="15"/>
  <c r="O79" i="15"/>
  <c r="O100" i="15"/>
  <c r="D117" i="15"/>
  <c r="O44" i="15"/>
  <c r="O91" i="15"/>
  <c r="O20" i="15"/>
  <c r="O26" i="15"/>
  <c r="O46" i="15"/>
  <c r="O77" i="15"/>
  <c r="O83" i="15"/>
  <c r="O88" i="15"/>
  <c r="O106" i="15"/>
  <c r="O109" i="15"/>
  <c r="O16" i="15"/>
  <c r="O66" i="15"/>
  <c r="O32" i="15"/>
  <c r="O38" i="15"/>
  <c r="O60" i="15"/>
  <c r="O71" i="15"/>
  <c r="O74" i="15"/>
  <c r="O93" i="15"/>
  <c r="O57" i="15"/>
  <c r="O87" i="15"/>
  <c r="O7" i="15"/>
  <c r="O28" i="15"/>
  <c r="O48" i="15"/>
  <c r="O51" i="15"/>
  <c r="O76" i="15"/>
  <c r="G117" i="15"/>
  <c r="O34" i="15"/>
  <c r="O62" i="15"/>
  <c r="O65" i="15"/>
  <c r="O84" i="15"/>
  <c r="O70" i="15"/>
  <c r="O107" i="15"/>
  <c r="O113" i="15"/>
  <c r="J117" i="15"/>
  <c r="O86" i="15"/>
  <c r="O89" i="15"/>
  <c r="O98" i="15"/>
  <c r="M117" i="15"/>
  <c r="N117" i="15"/>
  <c r="O64" i="15"/>
  <c r="O94" i="15"/>
  <c r="O11" i="15"/>
  <c r="O36" i="15"/>
  <c r="O58" i="15"/>
  <c r="O69" i="15"/>
  <c r="O72" i="15"/>
  <c r="O112" i="15"/>
  <c r="K117" i="15"/>
  <c r="E117" i="15"/>
  <c r="H117" i="15"/>
  <c r="P97" i="15"/>
  <c r="P45" i="15"/>
  <c r="O6" i="15"/>
  <c r="O102" i="13"/>
  <c r="O46" i="13"/>
  <c r="O62" i="13"/>
  <c r="O16" i="13"/>
  <c r="O12" i="13"/>
  <c r="O8" i="13"/>
  <c r="O41" i="13"/>
  <c r="O37" i="13"/>
  <c r="O33" i="13"/>
  <c r="O29" i="13"/>
  <c r="O25" i="13"/>
  <c r="O21" i="13"/>
  <c r="O94" i="13"/>
  <c r="O90" i="13"/>
  <c r="O86" i="13"/>
  <c r="O82" i="13"/>
  <c r="O78" i="13"/>
  <c r="O74" i="13"/>
  <c r="O70" i="13"/>
  <c r="O66" i="13"/>
  <c r="O15" i="13"/>
  <c r="O11" i="13"/>
  <c r="O7" i="13"/>
  <c r="O40" i="13"/>
  <c r="O36" i="13"/>
  <c r="O32" i="13"/>
  <c r="O28" i="13"/>
  <c r="O24" i="13"/>
  <c r="O20" i="13"/>
  <c r="O93" i="13"/>
  <c r="O89" i="13"/>
  <c r="O85" i="13"/>
  <c r="O81" i="13"/>
  <c r="O77" i="13"/>
  <c r="O73" i="13"/>
  <c r="O65" i="13"/>
  <c r="O61" i="13"/>
  <c r="O57" i="13"/>
  <c r="O53" i="13"/>
  <c r="O49" i="13"/>
  <c r="O45" i="13"/>
  <c r="O113" i="13"/>
  <c r="O109" i="13"/>
  <c r="O6" i="13"/>
  <c r="O14" i="13"/>
  <c r="O10" i="13"/>
  <c r="O19" i="13"/>
  <c r="O39" i="13"/>
  <c r="O35" i="13"/>
  <c r="O31" i="13"/>
  <c r="O27" i="13"/>
  <c r="O23" i="13"/>
  <c r="O44" i="13"/>
  <c r="O92" i="13"/>
  <c r="O88" i="13"/>
  <c r="O84" i="13"/>
  <c r="O80" i="13"/>
  <c r="O76" i="13"/>
  <c r="O72" i="13"/>
  <c r="O68" i="13"/>
  <c r="O64" i="13"/>
  <c r="O60" i="13"/>
  <c r="O56" i="13"/>
  <c r="O52" i="13"/>
  <c r="O48" i="13"/>
  <c r="O97" i="13"/>
  <c r="O112" i="13"/>
  <c r="O108" i="13"/>
  <c r="O104" i="13"/>
  <c r="O100" i="13"/>
  <c r="O17" i="13"/>
  <c r="O13" i="13"/>
  <c r="O9" i="13"/>
  <c r="O42" i="13"/>
  <c r="O38" i="13"/>
  <c r="O34" i="13"/>
  <c r="O30" i="13"/>
  <c r="O26" i="13"/>
  <c r="O22" i="13"/>
  <c r="O95" i="13"/>
  <c r="O91" i="13"/>
  <c r="O87" i="13"/>
  <c r="O83" i="13"/>
  <c r="O79" i="13"/>
  <c r="O75" i="13"/>
  <c r="O71" i="13"/>
  <c r="O67" i="13"/>
  <c r="O63" i="13"/>
  <c r="O59" i="13"/>
  <c r="O55" i="13"/>
  <c r="O51" i="13"/>
  <c r="O47" i="13"/>
  <c r="O115" i="13"/>
  <c r="O111" i="13"/>
  <c r="O107" i="13"/>
  <c r="O103" i="13"/>
  <c r="O99" i="13"/>
  <c r="O69" i="13"/>
  <c r="P98" i="13"/>
  <c r="M117" i="13"/>
  <c r="N117" i="13"/>
  <c r="L23" i="13"/>
  <c r="P23" i="13" s="1"/>
  <c r="L89" i="13"/>
  <c r="P89" i="13" s="1"/>
  <c r="L17" i="13"/>
  <c r="P17" i="13" s="1"/>
  <c r="L104" i="13"/>
  <c r="P104" i="13" s="1"/>
  <c r="L57" i="13"/>
  <c r="P57" i="13" s="1"/>
  <c r="L112" i="13"/>
  <c r="P112" i="13" s="1"/>
  <c r="L106" i="13"/>
  <c r="P106" i="13" s="1"/>
  <c r="L15" i="13"/>
  <c r="P15" i="13" s="1"/>
  <c r="L36" i="13"/>
  <c r="P36" i="13" s="1"/>
  <c r="L92" i="13"/>
  <c r="P92" i="13" s="1"/>
  <c r="L90" i="13"/>
  <c r="P90" i="13" s="1"/>
  <c r="L101" i="13"/>
  <c r="P101" i="13" s="1"/>
  <c r="M456" i="14"/>
  <c r="L42" i="14"/>
  <c r="L2" i="14"/>
  <c r="L53" i="14"/>
  <c r="G98" i="13"/>
  <c r="G99" i="13"/>
  <c r="G100" i="13"/>
  <c r="G101" i="13"/>
  <c r="G102" i="13"/>
  <c r="G103" i="13"/>
  <c r="G104" i="13"/>
  <c r="G105" i="13"/>
  <c r="G106" i="13"/>
  <c r="G107" i="13"/>
  <c r="G108" i="13"/>
  <c r="G109" i="13"/>
  <c r="G110" i="13"/>
  <c r="G111" i="13"/>
  <c r="G112" i="13"/>
  <c r="G113" i="13"/>
  <c r="G114" i="13"/>
  <c r="G115" i="13"/>
  <c r="G97" i="13"/>
  <c r="G45" i="13"/>
  <c r="G46" i="13"/>
  <c r="G47" i="13"/>
  <c r="G48" i="13"/>
  <c r="G49" i="13"/>
  <c r="G50" i="13"/>
  <c r="G51" i="13"/>
  <c r="G52" i="13"/>
  <c r="G53" i="13"/>
  <c r="G54" i="13"/>
  <c r="G55" i="13"/>
  <c r="G56" i="13"/>
  <c r="G57" i="13"/>
  <c r="G58" i="13"/>
  <c r="G59" i="13"/>
  <c r="G60" i="13"/>
  <c r="G61" i="13"/>
  <c r="G62" i="13"/>
  <c r="G63" i="13"/>
  <c r="G64" i="13"/>
  <c r="G65" i="13"/>
  <c r="G66" i="13"/>
  <c r="G67" i="13"/>
  <c r="G68" i="13"/>
  <c r="G69" i="13"/>
  <c r="G70" i="13"/>
  <c r="G71" i="13"/>
  <c r="G72" i="13"/>
  <c r="G73" i="13"/>
  <c r="G74" i="13"/>
  <c r="G75" i="13"/>
  <c r="G76" i="13"/>
  <c r="G77" i="13"/>
  <c r="G78" i="13"/>
  <c r="G79" i="13"/>
  <c r="G80" i="13"/>
  <c r="G81" i="13"/>
  <c r="G82" i="13"/>
  <c r="G83" i="13"/>
  <c r="G84" i="13"/>
  <c r="G85" i="13"/>
  <c r="G86" i="13"/>
  <c r="G87" i="13"/>
  <c r="G88" i="13"/>
  <c r="G89" i="13"/>
  <c r="G90" i="13"/>
  <c r="G91" i="13"/>
  <c r="G92" i="13"/>
  <c r="G93" i="13"/>
  <c r="G94" i="13"/>
  <c r="G95" i="13"/>
  <c r="G44" i="13"/>
  <c r="G20" i="13"/>
  <c r="G21" i="13"/>
  <c r="G22" i="13"/>
  <c r="G23" i="13"/>
  <c r="G24" i="13"/>
  <c r="G25" i="13"/>
  <c r="G26" i="13"/>
  <c r="G27" i="13"/>
  <c r="G28" i="13"/>
  <c r="G29" i="13"/>
  <c r="G30" i="13"/>
  <c r="G31" i="13"/>
  <c r="G32" i="13"/>
  <c r="G33" i="13"/>
  <c r="G34" i="13"/>
  <c r="G35" i="13"/>
  <c r="G36" i="13"/>
  <c r="G37" i="13"/>
  <c r="G38" i="13"/>
  <c r="G39" i="13"/>
  <c r="G40" i="13"/>
  <c r="G41" i="13"/>
  <c r="G42" i="13"/>
  <c r="G19" i="13"/>
  <c r="G7" i="13"/>
  <c r="G8" i="13"/>
  <c r="G9" i="13"/>
  <c r="G10" i="13"/>
  <c r="G11" i="13"/>
  <c r="G12" i="13"/>
  <c r="G13" i="13"/>
  <c r="G14" i="13"/>
  <c r="G15" i="13"/>
  <c r="G16" i="13"/>
  <c r="G17" i="13"/>
  <c r="G6" i="13"/>
  <c r="I98" i="13"/>
  <c r="K98" i="13" s="1"/>
  <c r="J98" i="13"/>
  <c r="I99" i="13"/>
  <c r="K99" i="13" s="1"/>
  <c r="J99" i="13"/>
  <c r="I100" i="13"/>
  <c r="K100" i="13" s="1"/>
  <c r="J100" i="13"/>
  <c r="I101" i="13"/>
  <c r="K101" i="13" s="1"/>
  <c r="J101" i="13"/>
  <c r="I102" i="13"/>
  <c r="K102" i="13" s="1"/>
  <c r="J102" i="13"/>
  <c r="I103" i="13"/>
  <c r="K103" i="13" s="1"/>
  <c r="J103" i="13"/>
  <c r="I104" i="13"/>
  <c r="K104" i="13" s="1"/>
  <c r="J104" i="13"/>
  <c r="I105" i="13"/>
  <c r="K105" i="13" s="1"/>
  <c r="J105" i="13"/>
  <c r="I106" i="13"/>
  <c r="K106" i="13" s="1"/>
  <c r="J106" i="13"/>
  <c r="I107" i="13"/>
  <c r="K107" i="13" s="1"/>
  <c r="J107" i="13"/>
  <c r="I108" i="13"/>
  <c r="K108" i="13" s="1"/>
  <c r="J108" i="13"/>
  <c r="I109" i="13"/>
  <c r="K109" i="13" s="1"/>
  <c r="J109" i="13"/>
  <c r="I110" i="13"/>
  <c r="K110" i="13" s="1"/>
  <c r="J110" i="13"/>
  <c r="I111" i="13"/>
  <c r="K111" i="13" s="1"/>
  <c r="J111" i="13"/>
  <c r="I112" i="13"/>
  <c r="K112" i="13" s="1"/>
  <c r="J112" i="13"/>
  <c r="I113" i="13"/>
  <c r="K113" i="13" s="1"/>
  <c r="J113" i="13"/>
  <c r="I114" i="13"/>
  <c r="K114" i="13" s="1"/>
  <c r="J114" i="13"/>
  <c r="I115" i="13"/>
  <c r="K115" i="13" s="1"/>
  <c r="J115" i="13"/>
  <c r="J97" i="13"/>
  <c r="I97" i="13"/>
  <c r="K97" i="13" s="1"/>
  <c r="I45" i="13"/>
  <c r="K45" i="13" s="1"/>
  <c r="J45" i="13"/>
  <c r="I46" i="13"/>
  <c r="K46" i="13" s="1"/>
  <c r="J46" i="13"/>
  <c r="I47" i="13"/>
  <c r="K47" i="13" s="1"/>
  <c r="J47" i="13"/>
  <c r="I48" i="13"/>
  <c r="K48" i="13" s="1"/>
  <c r="J48" i="13"/>
  <c r="I49" i="13"/>
  <c r="K49" i="13" s="1"/>
  <c r="J49" i="13"/>
  <c r="I50" i="13"/>
  <c r="K50" i="13" s="1"/>
  <c r="J50" i="13"/>
  <c r="I51" i="13"/>
  <c r="K51" i="13" s="1"/>
  <c r="J51" i="13"/>
  <c r="I52" i="13"/>
  <c r="K52" i="13" s="1"/>
  <c r="J52" i="13"/>
  <c r="I53" i="13"/>
  <c r="K53" i="13" s="1"/>
  <c r="J53" i="13"/>
  <c r="I54" i="13"/>
  <c r="K54" i="13" s="1"/>
  <c r="J54" i="13"/>
  <c r="I55" i="13"/>
  <c r="K55" i="13" s="1"/>
  <c r="J55" i="13"/>
  <c r="I56" i="13"/>
  <c r="K56" i="13" s="1"/>
  <c r="J56" i="13"/>
  <c r="I57" i="13"/>
  <c r="K57" i="13" s="1"/>
  <c r="J57" i="13"/>
  <c r="I58" i="13"/>
  <c r="K58" i="13" s="1"/>
  <c r="J58" i="13"/>
  <c r="I59" i="13"/>
  <c r="K59" i="13" s="1"/>
  <c r="J59" i="13"/>
  <c r="I60" i="13"/>
  <c r="K60" i="13" s="1"/>
  <c r="J60" i="13"/>
  <c r="I61" i="13"/>
  <c r="K61" i="13" s="1"/>
  <c r="J61" i="13"/>
  <c r="I62" i="13"/>
  <c r="K62" i="13" s="1"/>
  <c r="J62" i="13"/>
  <c r="I63" i="13"/>
  <c r="K63" i="13" s="1"/>
  <c r="J63" i="13"/>
  <c r="I64" i="13"/>
  <c r="K64" i="13" s="1"/>
  <c r="J64" i="13"/>
  <c r="I65" i="13"/>
  <c r="K65" i="13" s="1"/>
  <c r="J65" i="13"/>
  <c r="I66" i="13"/>
  <c r="K66" i="13" s="1"/>
  <c r="J66" i="13"/>
  <c r="I67" i="13"/>
  <c r="K67" i="13" s="1"/>
  <c r="J67" i="13"/>
  <c r="I68" i="13"/>
  <c r="K68" i="13" s="1"/>
  <c r="J68" i="13"/>
  <c r="I69" i="13"/>
  <c r="K69" i="13" s="1"/>
  <c r="J69" i="13"/>
  <c r="I70" i="13"/>
  <c r="K70" i="13" s="1"/>
  <c r="J70" i="13"/>
  <c r="I71" i="13"/>
  <c r="K71" i="13" s="1"/>
  <c r="J71" i="13"/>
  <c r="I72" i="13"/>
  <c r="K72" i="13" s="1"/>
  <c r="J72" i="13"/>
  <c r="I73" i="13"/>
  <c r="K73" i="13" s="1"/>
  <c r="J73" i="13"/>
  <c r="I74" i="13"/>
  <c r="K74" i="13" s="1"/>
  <c r="J74" i="13"/>
  <c r="I75" i="13"/>
  <c r="K75" i="13" s="1"/>
  <c r="J75" i="13"/>
  <c r="I76" i="13"/>
  <c r="K76" i="13" s="1"/>
  <c r="J76" i="13"/>
  <c r="I77" i="13"/>
  <c r="K77" i="13" s="1"/>
  <c r="J77" i="13"/>
  <c r="I78" i="13"/>
  <c r="K78" i="13" s="1"/>
  <c r="J78" i="13"/>
  <c r="I79" i="13"/>
  <c r="K79" i="13" s="1"/>
  <c r="J79" i="13"/>
  <c r="I80" i="13"/>
  <c r="K80" i="13" s="1"/>
  <c r="J80" i="13"/>
  <c r="I81" i="13"/>
  <c r="K81" i="13" s="1"/>
  <c r="J81" i="13"/>
  <c r="I82" i="13"/>
  <c r="K82" i="13" s="1"/>
  <c r="J82" i="13"/>
  <c r="I83" i="13"/>
  <c r="K83" i="13" s="1"/>
  <c r="J83" i="13"/>
  <c r="I84" i="13"/>
  <c r="K84" i="13" s="1"/>
  <c r="J84" i="13"/>
  <c r="I85" i="13"/>
  <c r="K85" i="13" s="1"/>
  <c r="J85" i="13"/>
  <c r="I86" i="13"/>
  <c r="K86" i="13" s="1"/>
  <c r="J86" i="13"/>
  <c r="I87" i="13"/>
  <c r="K87" i="13" s="1"/>
  <c r="J87" i="13"/>
  <c r="I88" i="13"/>
  <c r="K88" i="13" s="1"/>
  <c r="J88" i="13"/>
  <c r="I89" i="13"/>
  <c r="K89" i="13" s="1"/>
  <c r="J89" i="13"/>
  <c r="I90" i="13"/>
  <c r="K90" i="13" s="1"/>
  <c r="J90" i="13"/>
  <c r="I91" i="13"/>
  <c r="K91" i="13" s="1"/>
  <c r="J91" i="13"/>
  <c r="I92" i="13"/>
  <c r="K92" i="13" s="1"/>
  <c r="J92" i="13"/>
  <c r="I93" i="13"/>
  <c r="K93" i="13" s="1"/>
  <c r="J93" i="13"/>
  <c r="I94" i="13"/>
  <c r="K94" i="13" s="1"/>
  <c r="J94" i="13"/>
  <c r="I95" i="13"/>
  <c r="K95" i="13" s="1"/>
  <c r="J95" i="13"/>
  <c r="J44" i="13"/>
  <c r="I44" i="13"/>
  <c r="K44" i="13" s="1"/>
  <c r="I20" i="13"/>
  <c r="K20" i="13" s="1"/>
  <c r="J20" i="13"/>
  <c r="I21" i="13"/>
  <c r="K21" i="13" s="1"/>
  <c r="J21" i="13"/>
  <c r="I22" i="13"/>
  <c r="K22" i="13" s="1"/>
  <c r="J22" i="13"/>
  <c r="I23" i="13"/>
  <c r="K23" i="13" s="1"/>
  <c r="J23" i="13"/>
  <c r="I24" i="13"/>
  <c r="K24" i="13" s="1"/>
  <c r="J24" i="13"/>
  <c r="I25" i="13"/>
  <c r="K25" i="13" s="1"/>
  <c r="J25" i="13"/>
  <c r="I26" i="13"/>
  <c r="K26" i="13" s="1"/>
  <c r="J26" i="13"/>
  <c r="I27" i="13"/>
  <c r="K27" i="13" s="1"/>
  <c r="J27" i="13"/>
  <c r="I28" i="13"/>
  <c r="K28" i="13" s="1"/>
  <c r="J28" i="13"/>
  <c r="I29" i="13"/>
  <c r="K29" i="13" s="1"/>
  <c r="J29" i="13"/>
  <c r="I30" i="13"/>
  <c r="K30" i="13" s="1"/>
  <c r="J30" i="13"/>
  <c r="I31" i="13"/>
  <c r="K31" i="13" s="1"/>
  <c r="J31" i="13"/>
  <c r="I32" i="13"/>
  <c r="K32" i="13" s="1"/>
  <c r="J32" i="13"/>
  <c r="I33" i="13"/>
  <c r="K33" i="13" s="1"/>
  <c r="J33" i="13"/>
  <c r="I34" i="13"/>
  <c r="K34" i="13" s="1"/>
  <c r="J34" i="13"/>
  <c r="I35" i="13"/>
  <c r="K35" i="13" s="1"/>
  <c r="J35" i="13"/>
  <c r="I36" i="13"/>
  <c r="K36" i="13" s="1"/>
  <c r="J36" i="13"/>
  <c r="I37" i="13"/>
  <c r="K37" i="13" s="1"/>
  <c r="J37" i="13"/>
  <c r="I38" i="13"/>
  <c r="K38" i="13" s="1"/>
  <c r="J38" i="13"/>
  <c r="I39" i="13"/>
  <c r="K39" i="13" s="1"/>
  <c r="J39" i="13"/>
  <c r="I40" i="13"/>
  <c r="K40" i="13" s="1"/>
  <c r="J40" i="13"/>
  <c r="I41" i="13"/>
  <c r="K41" i="13" s="1"/>
  <c r="J41" i="13"/>
  <c r="I42" i="13"/>
  <c r="K42" i="13" s="1"/>
  <c r="J42" i="13"/>
  <c r="J19" i="13"/>
  <c r="I19" i="13"/>
  <c r="K19" i="13" s="1"/>
  <c r="I7" i="13"/>
  <c r="K7" i="13" s="1"/>
  <c r="J7" i="13"/>
  <c r="I8" i="13"/>
  <c r="K8" i="13" s="1"/>
  <c r="J8" i="13"/>
  <c r="I9" i="13"/>
  <c r="K9" i="13" s="1"/>
  <c r="J9" i="13"/>
  <c r="I10" i="13"/>
  <c r="K10" i="13" s="1"/>
  <c r="J10" i="13"/>
  <c r="I11" i="13"/>
  <c r="K11" i="13" s="1"/>
  <c r="J11" i="13"/>
  <c r="I12" i="13"/>
  <c r="K12" i="13" s="1"/>
  <c r="J12" i="13"/>
  <c r="I13" i="13"/>
  <c r="K13" i="13" s="1"/>
  <c r="J13" i="13"/>
  <c r="I14" i="13"/>
  <c r="K14" i="13" s="1"/>
  <c r="J14" i="13"/>
  <c r="I15" i="13"/>
  <c r="K15" i="13" s="1"/>
  <c r="J15" i="13"/>
  <c r="I16" i="13"/>
  <c r="K16" i="13" s="1"/>
  <c r="J16" i="13"/>
  <c r="I17" i="13"/>
  <c r="K17" i="13" s="1"/>
  <c r="J17" i="13"/>
  <c r="J6" i="13"/>
  <c r="I6" i="13"/>
  <c r="K6" i="13" s="1"/>
  <c r="F98" i="13"/>
  <c r="H98" i="13" s="1"/>
  <c r="F99" i="13"/>
  <c r="H99" i="13" s="1"/>
  <c r="F100" i="13"/>
  <c r="H100" i="13" s="1"/>
  <c r="F101" i="13"/>
  <c r="H101" i="13" s="1"/>
  <c r="F102" i="13"/>
  <c r="H102" i="13" s="1"/>
  <c r="F103" i="13"/>
  <c r="H103" i="13" s="1"/>
  <c r="F104" i="13"/>
  <c r="H104" i="13" s="1"/>
  <c r="F105" i="13"/>
  <c r="H105" i="13" s="1"/>
  <c r="F106" i="13"/>
  <c r="H106" i="13" s="1"/>
  <c r="F107" i="13"/>
  <c r="H107" i="13" s="1"/>
  <c r="F108" i="13"/>
  <c r="H108" i="13" s="1"/>
  <c r="F109" i="13"/>
  <c r="H109" i="13" s="1"/>
  <c r="F110" i="13"/>
  <c r="H110" i="13" s="1"/>
  <c r="F111" i="13"/>
  <c r="H111" i="13" s="1"/>
  <c r="F112" i="13"/>
  <c r="H112" i="13" s="1"/>
  <c r="F113" i="13"/>
  <c r="H113" i="13" s="1"/>
  <c r="F114" i="13"/>
  <c r="H114" i="13" s="1"/>
  <c r="F115" i="13"/>
  <c r="H115" i="13" s="1"/>
  <c r="F97" i="13"/>
  <c r="H97" i="13" s="1"/>
  <c r="F45" i="13"/>
  <c r="H45" i="13" s="1"/>
  <c r="F46" i="13"/>
  <c r="H46" i="13" s="1"/>
  <c r="F47" i="13"/>
  <c r="H47" i="13" s="1"/>
  <c r="F48" i="13"/>
  <c r="H48" i="13" s="1"/>
  <c r="F49" i="13"/>
  <c r="H49" i="13" s="1"/>
  <c r="F50" i="13"/>
  <c r="H50" i="13" s="1"/>
  <c r="F51" i="13"/>
  <c r="H51" i="13" s="1"/>
  <c r="F52" i="13"/>
  <c r="H52" i="13" s="1"/>
  <c r="F53" i="13"/>
  <c r="H53" i="13" s="1"/>
  <c r="F54" i="13"/>
  <c r="H54" i="13" s="1"/>
  <c r="F55" i="13"/>
  <c r="H55" i="13" s="1"/>
  <c r="F56" i="13"/>
  <c r="H56" i="13" s="1"/>
  <c r="F57" i="13"/>
  <c r="H57" i="13" s="1"/>
  <c r="F58" i="13"/>
  <c r="H58" i="13" s="1"/>
  <c r="F59" i="13"/>
  <c r="H59" i="13" s="1"/>
  <c r="F60" i="13"/>
  <c r="H60" i="13" s="1"/>
  <c r="F61" i="13"/>
  <c r="H61" i="13" s="1"/>
  <c r="F62" i="13"/>
  <c r="H62" i="13" s="1"/>
  <c r="F63" i="13"/>
  <c r="H63" i="13" s="1"/>
  <c r="F64" i="13"/>
  <c r="H64" i="13" s="1"/>
  <c r="F65" i="13"/>
  <c r="H65" i="13" s="1"/>
  <c r="F66" i="13"/>
  <c r="H66" i="13" s="1"/>
  <c r="F67" i="13"/>
  <c r="H67" i="13" s="1"/>
  <c r="F68" i="13"/>
  <c r="H68" i="13" s="1"/>
  <c r="F69" i="13"/>
  <c r="H69" i="13" s="1"/>
  <c r="F70" i="13"/>
  <c r="H70" i="13" s="1"/>
  <c r="F71" i="13"/>
  <c r="H71" i="13" s="1"/>
  <c r="F72" i="13"/>
  <c r="H72" i="13" s="1"/>
  <c r="F73" i="13"/>
  <c r="H73" i="13" s="1"/>
  <c r="F74" i="13"/>
  <c r="H74" i="13" s="1"/>
  <c r="F75" i="13"/>
  <c r="H75" i="13" s="1"/>
  <c r="F76" i="13"/>
  <c r="H76" i="13" s="1"/>
  <c r="F77" i="13"/>
  <c r="H77" i="13" s="1"/>
  <c r="F78" i="13"/>
  <c r="H78" i="13" s="1"/>
  <c r="F79" i="13"/>
  <c r="H79" i="13" s="1"/>
  <c r="F80" i="13"/>
  <c r="H80" i="13" s="1"/>
  <c r="F81" i="13"/>
  <c r="H81" i="13" s="1"/>
  <c r="F82" i="13"/>
  <c r="H82" i="13" s="1"/>
  <c r="F83" i="13"/>
  <c r="H83" i="13" s="1"/>
  <c r="F84" i="13"/>
  <c r="H84" i="13" s="1"/>
  <c r="F85" i="13"/>
  <c r="H85" i="13" s="1"/>
  <c r="F86" i="13"/>
  <c r="H86" i="13" s="1"/>
  <c r="F87" i="13"/>
  <c r="H87" i="13" s="1"/>
  <c r="F88" i="13"/>
  <c r="H88" i="13" s="1"/>
  <c r="F89" i="13"/>
  <c r="H89" i="13" s="1"/>
  <c r="F90" i="13"/>
  <c r="H90" i="13" s="1"/>
  <c r="F91" i="13"/>
  <c r="H91" i="13" s="1"/>
  <c r="F92" i="13"/>
  <c r="H92" i="13" s="1"/>
  <c r="F93" i="13"/>
  <c r="H93" i="13" s="1"/>
  <c r="F94" i="13"/>
  <c r="H94" i="13" s="1"/>
  <c r="F95" i="13"/>
  <c r="H95" i="13" s="1"/>
  <c r="F44" i="13"/>
  <c r="H44" i="13" s="1"/>
  <c r="F20" i="13"/>
  <c r="H20" i="13" s="1"/>
  <c r="F21" i="13"/>
  <c r="H21" i="13" s="1"/>
  <c r="F22" i="13"/>
  <c r="H22" i="13" s="1"/>
  <c r="F23" i="13"/>
  <c r="H23" i="13" s="1"/>
  <c r="F24" i="13"/>
  <c r="H24" i="13" s="1"/>
  <c r="F25" i="13"/>
  <c r="H25" i="13" s="1"/>
  <c r="F26" i="13"/>
  <c r="H26" i="13" s="1"/>
  <c r="F27" i="13"/>
  <c r="H27" i="13" s="1"/>
  <c r="F28" i="13"/>
  <c r="H28" i="13" s="1"/>
  <c r="F29" i="13"/>
  <c r="H29" i="13" s="1"/>
  <c r="F30" i="13"/>
  <c r="H30" i="13" s="1"/>
  <c r="F31" i="13"/>
  <c r="H31" i="13" s="1"/>
  <c r="F32" i="13"/>
  <c r="H32" i="13" s="1"/>
  <c r="F33" i="13"/>
  <c r="H33" i="13" s="1"/>
  <c r="F34" i="13"/>
  <c r="H34" i="13" s="1"/>
  <c r="F35" i="13"/>
  <c r="H35" i="13" s="1"/>
  <c r="F36" i="13"/>
  <c r="H36" i="13" s="1"/>
  <c r="F37" i="13"/>
  <c r="H37" i="13" s="1"/>
  <c r="F38" i="13"/>
  <c r="H38" i="13" s="1"/>
  <c r="F39" i="13"/>
  <c r="H39" i="13" s="1"/>
  <c r="F40" i="13"/>
  <c r="H40" i="13" s="1"/>
  <c r="F41" i="13"/>
  <c r="H41" i="13" s="1"/>
  <c r="F42" i="13"/>
  <c r="H42" i="13" s="1"/>
  <c r="F19" i="13"/>
  <c r="H19" i="13" s="1"/>
  <c r="F7" i="13"/>
  <c r="H7" i="13" s="1"/>
  <c r="F8" i="13"/>
  <c r="H8" i="13" s="1"/>
  <c r="F9" i="13"/>
  <c r="H9" i="13" s="1"/>
  <c r="F10" i="13"/>
  <c r="H10" i="13" s="1"/>
  <c r="F11" i="13"/>
  <c r="H11" i="13" s="1"/>
  <c r="F12" i="13"/>
  <c r="H12" i="13" s="1"/>
  <c r="F13" i="13"/>
  <c r="H13" i="13" s="1"/>
  <c r="F14" i="13"/>
  <c r="H14" i="13" s="1"/>
  <c r="F15" i="13"/>
  <c r="H15" i="13" s="1"/>
  <c r="F16" i="13"/>
  <c r="H16" i="13" s="1"/>
  <c r="F17" i="13"/>
  <c r="H17" i="13" s="1"/>
  <c r="F6" i="13"/>
  <c r="H6" i="13" s="1"/>
  <c r="C6" i="13"/>
  <c r="E6" i="13" s="1"/>
  <c r="C98" i="13"/>
  <c r="E98" i="13" s="1"/>
  <c r="D98" i="13"/>
  <c r="C99" i="13"/>
  <c r="E99" i="13" s="1"/>
  <c r="D99" i="13"/>
  <c r="C100" i="13"/>
  <c r="E100" i="13" s="1"/>
  <c r="D100" i="13"/>
  <c r="C101" i="13"/>
  <c r="E101" i="13" s="1"/>
  <c r="D101" i="13"/>
  <c r="C102" i="13"/>
  <c r="E102" i="13" s="1"/>
  <c r="D102" i="13"/>
  <c r="C103" i="13"/>
  <c r="E103" i="13" s="1"/>
  <c r="D103" i="13"/>
  <c r="C104" i="13"/>
  <c r="E104" i="13" s="1"/>
  <c r="D104" i="13"/>
  <c r="C105" i="13"/>
  <c r="E105" i="13" s="1"/>
  <c r="D105" i="13"/>
  <c r="C106" i="13"/>
  <c r="E106" i="13" s="1"/>
  <c r="D106" i="13"/>
  <c r="C107" i="13"/>
  <c r="E107" i="13" s="1"/>
  <c r="D107" i="13"/>
  <c r="C108" i="13"/>
  <c r="E108" i="13" s="1"/>
  <c r="D108" i="13"/>
  <c r="C109" i="13"/>
  <c r="E109" i="13" s="1"/>
  <c r="D109" i="13"/>
  <c r="C110" i="13"/>
  <c r="E110" i="13" s="1"/>
  <c r="D110" i="13"/>
  <c r="C111" i="13"/>
  <c r="E111" i="13" s="1"/>
  <c r="D111" i="13"/>
  <c r="C112" i="13"/>
  <c r="E112" i="13" s="1"/>
  <c r="D112" i="13"/>
  <c r="C113" i="13"/>
  <c r="E113" i="13" s="1"/>
  <c r="D113" i="13"/>
  <c r="C114" i="13"/>
  <c r="E114" i="13" s="1"/>
  <c r="D114" i="13"/>
  <c r="C115" i="13"/>
  <c r="E115" i="13" s="1"/>
  <c r="D115" i="13"/>
  <c r="C97" i="13"/>
  <c r="E97" i="13" s="1"/>
  <c r="D97" i="13"/>
  <c r="C45" i="13"/>
  <c r="E45" i="13" s="1"/>
  <c r="D45" i="13"/>
  <c r="C46" i="13"/>
  <c r="E46" i="13" s="1"/>
  <c r="D46" i="13"/>
  <c r="C47" i="13"/>
  <c r="E47" i="13" s="1"/>
  <c r="D47" i="13"/>
  <c r="C48" i="13"/>
  <c r="E48" i="13" s="1"/>
  <c r="D48" i="13"/>
  <c r="C49" i="13"/>
  <c r="E49" i="13" s="1"/>
  <c r="D49" i="13"/>
  <c r="C50" i="13"/>
  <c r="E50" i="13" s="1"/>
  <c r="D50" i="13"/>
  <c r="C51" i="13"/>
  <c r="E51" i="13" s="1"/>
  <c r="D51" i="13"/>
  <c r="C52" i="13"/>
  <c r="E52" i="13" s="1"/>
  <c r="D52" i="13"/>
  <c r="C53" i="13"/>
  <c r="E53" i="13" s="1"/>
  <c r="D53" i="13"/>
  <c r="C54" i="13"/>
  <c r="E54" i="13" s="1"/>
  <c r="D54" i="13"/>
  <c r="C55" i="13"/>
  <c r="E55" i="13" s="1"/>
  <c r="D55" i="13"/>
  <c r="C56" i="13"/>
  <c r="E56" i="13" s="1"/>
  <c r="D56" i="13"/>
  <c r="C57" i="13"/>
  <c r="E57" i="13" s="1"/>
  <c r="D57" i="13"/>
  <c r="C58" i="13"/>
  <c r="E58" i="13" s="1"/>
  <c r="D58" i="13"/>
  <c r="C59" i="13"/>
  <c r="E59" i="13" s="1"/>
  <c r="D59" i="13"/>
  <c r="C60" i="13"/>
  <c r="E60" i="13" s="1"/>
  <c r="D60" i="13"/>
  <c r="C61" i="13"/>
  <c r="E61" i="13" s="1"/>
  <c r="D61" i="13"/>
  <c r="C62" i="13"/>
  <c r="E62" i="13" s="1"/>
  <c r="D62" i="13"/>
  <c r="C63" i="13"/>
  <c r="E63" i="13" s="1"/>
  <c r="D63" i="13"/>
  <c r="C64" i="13"/>
  <c r="E64" i="13" s="1"/>
  <c r="D64" i="13"/>
  <c r="C65" i="13"/>
  <c r="E65" i="13" s="1"/>
  <c r="D65" i="13"/>
  <c r="C66" i="13"/>
  <c r="E66" i="13" s="1"/>
  <c r="D66" i="13"/>
  <c r="C67" i="13"/>
  <c r="E67" i="13" s="1"/>
  <c r="D67" i="13"/>
  <c r="C68" i="13"/>
  <c r="E68" i="13" s="1"/>
  <c r="D68" i="13"/>
  <c r="C69" i="13"/>
  <c r="E69" i="13" s="1"/>
  <c r="D69" i="13"/>
  <c r="C70" i="13"/>
  <c r="E70" i="13" s="1"/>
  <c r="D70" i="13"/>
  <c r="C71" i="13"/>
  <c r="E71" i="13" s="1"/>
  <c r="D71" i="13"/>
  <c r="C72" i="13"/>
  <c r="E72" i="13" s="1"/>
  <c r="D72" i="13"/>
  <c r="C73" i="13"/>
  <c r="E73" i="13" s="1"/>
  <c r="D73" i="13"/>
  <c r="C74" i="13"/>
  <c r="E74" i="13" s="1"/>
  <c r="D74" i="13"/>
  <c r="C75" i="13"/>
  <c r="E75" i="13" s="1"/>
  <c r="D75" i="13"/>
  <c r="C76" i="13"/>
  <c r="E76" i="13" s="1"/>
  <c r="D76" i="13"/>
  <c r="C77" i="13"/>
  <c r="E77" i="13" s="1"/>
  <c r="D77" i="13"/>
  <c r="C78" i="13"/>
  <c r="E78" i="13" s="1"/>
  <c r="D78" i="13"/>
  <c r="C79" i="13"/>
  <c r="E79" i="13" s="1"/>
  <c r="D79" i="13"/>
  <c r="C80" i="13"/>
  <c r="E80" i="13" s="1"/>
  <c r="D80" i="13"/>
  <c r="C81" i="13"/>
  <c r="E81" i="13" s="1"/>
  <c r="D81" i="13"/>
  <c r="C82" i="13"/>
  <c r="E82" i="13" s="1"/>
  <c r="D82" i="13"/>
  <c r="C83" i="13"/>
  <c r="E83" i="13" s="1"/>
  <c r="D83" i="13"/>
  <c r="C84" i="13"/>
  <c r="E84" i="13" s="1"/>
  <c r="D84" i="13"/>
  <c r="C85" i="13"/>
  <c r="E85" i="13" s="1"/>
  <c r="D85" i="13"/>
  <c r="C86" i="13"/>
  <c r="E86" i="13" s="1"/>
  <c r="D86" i="13"/>
  <c r="C87" i="13"/>
  <c r="E87" i="13" s="1"/>
  <c r="D87" i="13"/>
  <c r="C88" i="13"/>
  <c r="E88" i="13" s="1"/>
  <c r="D88" i="13"/>
  <c r="C89" i="13"/>
  <c r="E89" i="13" s="1"/>
  <c r="D89" i="13"/>
  <c r="C90" i="13"/>
  <c r="E90" i="13" s="1"/>
  <c r="D90" i="13"/>
  <c r="C91" i="13"/>
  <c r="E91" i="13" s="1"/>
  <c r="D91" i="13"/>
  <c r="C92" i="13"/>
  <c r="E92" i="13" s="1"/>
  <c r="D92" i="13"/>
  <c r="C93" i="13"/>
  <c r="E93" i="13" s="1"/>
  <c r="D93" i="13"/>
  <c r="C94" i="13"/>
  <c r="E94" i="13" s="1"/>
  <c r="D94" i="13"/>
  <c r="C95" i="13"/>
  <c r="E95" i="13" s="1"/>
  <c r="D95" i="13"/>
  <c r="C44" i="13"/>
  <c r="E44" i="13" s="1"/>
  <c r="D44" i="13"/>
  <c r="C21" i="13"/>
  <c r="E21" i="13" s="1"/>
  <c r="D21" i="13"/>
  <c r="C22" i="13"/>
  <c r="E22" i="13" s="1"/>
  <c r="D22" i="13"/>
  <c r="C23" i="13"/>
  <c r="E23" i="13" s="1"/>
  <c r="D23" i="13"/>
  <c r="C24" i="13"/>
  <c r="E24" i="13" s="1"/>
  <c r="D24" i="13"/>
  <c r="C25" i="13"/>
  <c r="E25" i="13" s="1"/>
  <c r="D25" i="13"/>
  <c r="C26" i="13"/>
  <c r="E26" i="13" s="1"/>
  <c r="D26" i="13"/>
  <c r="C27" i="13"/>
  <c r="E27" i="13" s="1"/>
  <c r="D27" i="13"/>
  <c r="C28" i="13"/>
  <c r="E28" i="13" s="1"/>
  <c r="D28" i="13"/>
  <c r="C29" i="13"/>
  <c r="E29" i="13" s="1"/>
  <c r="D29" i="13"/>
  <c r="C30" i="13"/>
  <c r="E30" i="13" s="1"/>
  <c r="D30" i="13"/>
  <c r="C31" i="13"/>
  <c r="E31" i="13" s="1"/>
  <c r="D31" i="13"/>
  <c r="C32" i="13"/>
  <c r="E32" i="13" s="1"/>
  <c r="D32" i="13"/>
  <c r="C33" i="13"/>
  <c r="E33" i="13" s="1"/>
  <c r="D33" i="13"/>
  <c r="C34" i="13"/>
  <c r="E34" i="13" s="1"/>
  <c r="D34" i="13"/>
  <c r="C35" i="13"/>
  <c r="E35" i="13" s="1"/>
  <c r="D35" i="13"/>
  <c r="C36" i="13"/>
  <c r="E36" i="13" s="1"/>
  <c r="D36" i="13"/>
  <c r="C37" i="13"/>
  <c r="E37" i="13" s="1"/>
  <c r="D37" i="13"/>
  <c r="C38" i="13"/>
  <c r="E38" i="13" s="1"/>
  <c r="D38" i="13"/>
  <c r="C39" i="13"/>
  <c r="E39" i="13" s="1"/>
  <c r="D39" i="13"/>
  <c r="C40" i="13"/>
  <c r="E40" i="13" s="1"/>
  <c r="D40" i="13"/>
  <c r="C41" i="13"/>
  <c r="E41" i="13" s="1"/>
  <c r="D41" i="13"/>
  <c r="C42" i="13"/>
  <c r="E42" i="13" s="1"/>
  <c r="D42" i="13"/>
  <c r="C20" i="13"/>
  <c r="E20" i="13" s="1"/>
  <c r="D20" i="13"/>
  <c r="C19" i="13"/>
  <c r="E19" i="13" s="1"/>
  <c r="D19" i="13"/>
  <c r="D7" i="13"/>
  <c r="D8" i="13"/>
  <c r="D9" i="13"/>
  <c r="D10" i="13"/>
  <c r="D11" i="13"/>
  <c r="D12" i="13"/>
  <c r="D13" i="13"/>
  <c r="D14" i="13"/>
  <c r="D15" i="13"/>
  <c r="D16" i="13"/>
  <c r="D17" i="13"/>
  <c r="D6" i="13"/>
  <c r="C11" i="13"/>
  <c r="E11" i="13" s="1"/>
  <c r="C12" i="13"/>
  <c r="E12" i="13" s="1"/>
  <c r="C13" i="13"/>
  <c r="E13" i="13" s="1"/>
  <c r="C14" i="13"/>
  <c r="E14" i="13" s="1"/>
  <c r="C15" i="13"/>
  <c r="E15" i="13" s="1"/>
  <c r="C16" i="13"/>
  <c r="E16" i="13" s="1"/>
  <c r="C17" i="13"/>
  <c r="E17" i="13" s="1"/>
  <c r="C10" i="13"/>
  <c r="E10" i="13" s="1"/>
  <c r="C9" i="13"/>
  <c r="C7" i="13"/>
  <c r="E7" i="13" s="1"/>
  <c r="C8" i="13"/>
  <c r="D117" i="12"/>
  <c r="Q98" i="13"/>
  <c r="Q45" i="13"/>
  <c r="Q20" i="13"/>
  <c r="O6" i="12"/>
  <c r="E6" i="12"/>
  <c r="H6" i="12"/>
  <c r="K6" i="12"/>
  <c r="N6" i="12"/>
  <c r="E7" i="12"/>
  <c r="K7" i="12"/>
  <c r="N7" i="12"/>
  <c r="O7" i="12"/>
  <c r="E8" i="12"/>
  <c r="H8" i="12"/>
  <c r="K8" i="12"/>
  <c r="N8" i="12"/>
  <c r="E9" i="12"/>
  <c r="H9" i="12"/>
  <c r="K9" i="12"/>
  <c r="N9" i="12"/>
  <c r="E10" i="12"/>
  <c r="H10" i="12"/>
  <c r="K10" i="12"/>
  <c r="N10" i="12"/>
  <c r="E11" i="12"/>
  <c r="H11" i="12"/>
  <c r="K11" i="12"/>
  <c r="N11" i="12"/>
  <c r="E12" i="12"/>
  <c r="H12" i="12"/>
  <c r="K12" i="12"/>
  <c r="N12" i="12"/>
  <c r="E13" i="12"/>
  <c r="H13" i="12"/>
  <c r="K13" i="12"/>
  <c r="N13" i="12"/>
  <c r="E14" i="12"/>
  <c r="H14" i="12"/>
  <c r="K14" i="12"/>
  <c r="N14" i="12"/>
  <c r="E15" i="12"/>
  <c r="H15" i="12"/>
  <c r="K15" i="12"/>
  <c r="N15" i="12"/>
  <c r="E16" i="12"/>
  <c r="H16" i="12"/>
  <c r="K16" i="12"/>
  <c r="N16" i="12"/>
  <c r="E17" i="12"/>
  <c r="H17" i="12"/>
  <c r="K17" i="12"/>
  <c r="N17" i="12"/>
  <c r="E19" i="12"/>
  <c r="H19" i="12"/>
  <c r="K19" i="12"/>
  <c r="N19" i="12"/>
  <c r="O19" i="12"/>
  <c r="E20" i="12"/>
  <c r="K20" i="12"/>
  <c r="N20" i="12"/>
  <c r="O20" i="12"/>
  <c r="E21" i="12"/>
  <c r="H21" i="12"/>
  <c r="K21" i="12"/>
  <c r="N21" i="12"/>
  <c r="E22" i="12"/>
  <c r="H22" i="12"/>
  <c r="K22" i="12"/>
  <c r="N22" i="12"/>
  <c r="E23" i="12"/>
  <c r="H23" i="12"/>
  <c r="K23" i="12"/>
  <c r="N23" i="12"/>
  <c r="E24" i="12"/>
  <c r="H24" i="12"/>
  <c r="K24" i="12"/>
  <c r="N24" i="12"/>
  <c r="E25" i="12"/>
  <c r="H25" i="12"/>
  <c r="K25" i="12"/>
  <c r="N25" i="12"/>
  <c r="E26" i="12"/>
  <c r="H26" i="12"/>
  <c r="K26" i="12"/>
  <c r="N26" i="12"/>
  <c r="E27" i="12"/>
  <c r="K27" i="12"/>
  <c r="N27" i="12"/>
  <c r="E28" i="12"/>
  <c r="H28" i="12"/>
  <c r="K28" i="12"/>
  <c r="N28" i="12"/>
  <c r="E29" i="12"/>
  <c r="H29" i="12"/>
  <c r="K29" i="12"/>
  <c r="N29" i="12"/>
  <c r="E30" i="12"/>
  <c r="H30" i="12"/>
  <c r="K30" i="12"/>
  <c r="N30" i="12"/>
  <c r="E31" i="12"/>
  <c r="H31" i="12"/>
  <c r="K31" i="12"/>
  <c r="N31" i="12"/>
  <c r="E32" i="12"/>
  <c r="H32" i="12"/>
  <c r="K32" i="12"/>
  <c r="N32" i="12"/>
  <c r="E33" i="12"/>
  <c r="H33" i="12"/>
  <c r="K33" i="12"/>
  <c r="N33" i="12"/>
  <c r="E34" i="12"/>
  <c r="H34" i="12"/>
  <c r="K34" i="12"/>
  <c r="N34" i="12"/>
  <c r="E35" i="12"/>
  <c r="H35" i="12"/>
  <c r="K35" i="12"/>
  <c r="N35" i="12"/>
  <c r="E36" i="12"/>
  <c r="H36" i="12"/>
  <c r="K36" i="12"/>
  <c r="N36" i="12"/>
  <c r="E37" i="12"/>
  <c r="H37" i="12"/>
  <c r="K37" i="12"/>
  <c r="N37" i="12"/>
  <c r="E38" i="12"/>
  <c r="H38" i="12"/>
  <c r="K38" i="12"/>
  <c r="N38" i="12"/>
  <c r="E39" i="12"/>
  <c r="H39" i="12"/>
  <c r="K39" i="12"/>
  <c r="N39" i="12"/>
  <c r="E40" i="12"/>
  <c r="H40" i="12"/>
  <c r="K40" i="12"/>
  <c r="N40" i="12"/>
  <c r="E41" i="12"/>
  <c r="H41" i="12"/>
  <c r="K41" i="12"/>
  <c r="N41" i="12"/>
  <c r="E42" i="12"/>
  <c r="H42" i="12"/>
  <c r="K42" i="12"/>
  <c r="N42" i="12"/>
  <c r="E44" i="12"/>
  <c r="H44" i="12"/>
  <c r="K44" i="12"/>
  <c r="N44" i="12"/>
  <c r="O44" i="12"/>
  <c r="O46" i="12" s="1"/>
  <c r="E45" i="12"/>
  <c r="H45" i="12"/>
  <c r="K45" i="12"/>
  <c r="N45" i="12"/>
  <c r="O45" i="12"/>
  <c r="E46" i="12"/>
  <c r="N46" i="12"/>
  <c r="E47" i="12"/>
  <c r="H47" i="12"/>
  <c r="K47" i="12"/>
  <c r="N47" i="12"/>
  <c r="E48" i="12"/>
  <c r="K48" i="12"/>
  <c r="N48" i="12"/>
  <c r="N49" i="12"/>
  <c r="E50" i="12"/>
  <c r="K50" i="12"/>
  <c r="N50" i="12"/>
  <c r="E51" i="12"/>
  <c r="H51" i="12"/>
  <c r="K51" i="12"/>
  <c r="N51" i="12"/>
  <c r="E52" i="12"/>
  <c r="H52" i="12"/>
  <c r="K52" i="12"/>
  <c r="N52" i="12"/>
  <c r="E53" i="12"/>
  <c r="H53" i="12"/>
  <c r="K53" i="12"/>
  <c r="N53" i="12"/>
  <c r="E54" i="12"/>
  <c r="H54" i="12"/>
  <c r="K54" i="12"/>
  <c r="N54" i="12"/>
  <c r="E55" i="12"/>
  <c r="H55" i="12"/>
  <c r="K55" i="12"/>
  <c r="N55" i="12"/>
  <c r="E56" i="12"/>
  <c r="H56" i="12"/>
  <c r="K56" i="12"/>
  <c r="N56" i="12"/>
  <c r="E57" i="12"/>
  <c r="H57" i="12"/>
  <c r="K57" i="12"/>
  <c r="N57" i="12"/>
  <c r="E58" i="12"/>
  <c r="H58" i="12"/>
  <c r="K58" i="12"/>
  <c r="N58" i="12"/>
  <c r="E59" i="12"/>
  <c r="H59" i="12"/>
  <c r="K59" i="12"/>
  <c r="N59" i="12"/>
  <c r="E60" i="12"/>
  <c r="H60" i="12"/>
  <c r="K60" i="12"/>
  <c r="N60" i="12"/>
  <c r="E61" i="12"/>
  <c r="H61" i="12"/>
  <c r="K61" i="12"/>
  <c r="N61" i="12"/>
  <c r="E62" i="12"/>
  <c r="H62" i="12"/>
  <c r="K62" i="12"/>
  <c r="N62" i="12"/>
  <c r="E63" i="12"/>
  <c r="H63" i="12"/>
  <c r="K63" i="12"/>
  <c r="N63" i="12"/>
  <c r="E64" i="12"/>
  <c r="H64" i="12"/>
  <c r="K64" i="12"/>
  <c r="N64" i="12"/>
  <c r="E65" i="12"/>
  <c r="H65" i="12"/>
  <c r="K65" i="12"/>
  <c r="N65" i="12"/>
  <c r="N66" i="12"/>
  <c r="E67" i="12"/>
  <c r="H67" i="12"/>
  <c r="K67" i="12"/>
  <c r="N67" i="12"/>
  <c r="E68" i="12"/>
  <c r="H68" i="12"/>
  <c r="K68" i="12"/>
  <c r="N68" i="12"/>
  <c r="E69" i="12"/>
  <c r="H69" i="12"/>
  <c r="K69" i="12"/>
  <c r="N69" i="12"/>
  <c r="E70" i="12"/>
  <c r="H70" i="12"/>
  <c r="K70" i="12"/>
  <c r="N70" i="12"/>
  <c r="E71" i="12"/>
  <c r="H71" i="12"/>
  <c r="K71" i="12"/>
  <c r="N71" i="12"/>
  <c r="E72" i="12"/>
  <c r="H72" i="12"/>
  <c r="K72" i="12"/>
  <c r="N72" i="12"/>
  <c r="E73" i="12"/>
  <c r="K73" i="12"/>
  <c r="N73" i="12"/>
  <c r="E74" i="12"/>
  <c r="H74" i="12"/>
  <c r="K74" i="12"/>
  <c r="N74" i="12"/>
  <c r="E75" i="12"/>
  <c r="H75" i="12"/>
  <c r="K75" i="12"/>
  <c r="N75" i="12"/>
  <c r="E76" i="12"/>
  <c r="H76" i="12"/>
  <c r="K76" i="12"/>
  <c r="N76" i="12"/>
  <c r="E77" i="12"/>
  <c r="H77" i="12"/>
  <c r="K77" i="12"/>
  <c r="N77" i="12"/>
  <c r="E78" i="12"/>
  <c r="H78" i="12"/>
  <c r="K78" i="12"/>
  <c r="N78" i="12"/>
  <c r="E79" i="12"/>
  <c r="H79" i="12"/>
  <c r="K79" i="12"/>
  <c r="N79" i="12"/>
  <c r="E80" i="12"/>
  <c r="H80" i="12"/>
  <c r="K80" i="12"/>
  <c r="N80" i="12"/>
  <c r="E81" i="12"/>
  <c r="H81" i="12"/>
  <c r="K81" i="12"/>
  <c r="N81" i="12"/>
  <c r="E82" i="12"/>
  <c r="H82" i="12"/>
  <c r="K82" i="12"/>
  <c r="N82" i="12"/>
  <c r="E83" i="12"/>
  <c r="H83" i="12"/>
  <c r="K83" i="12"/>
  <c r="N83" i="12"/>
  <c r="E84" i="12"/>
  <c r="H84" i="12"/>
  <c r="K84" i="12"/>
  <c r="N84" i="12"/>
  <c r="N85" i="12"/>
  <c r="E86" i="12"/>
  <c r="H86" i="12"/>
  <c r="K86" i="12"/>
  <c r="N86" i="12"/>
  <c r="E87" i="12"/>
  <c r="H87" i="12"/>
  <c r="K87" i="12"/>
  <c r="N87" i="12"/>
  <c r="E88" i="12"/>
  <c r="H88" i="12"/>
  <c r="K88" i="12"/>
  <c r="N88" i="12"/>
  <c r="E89" i="12"/>
  <c r="H89" i="12"/>
  <c r="K89" i="12"/>
  <c r="N89" i="12"/>
  <c r="E90" i="12"/>
  <c r="H90" i="12"/>
  <c r="K90" i="12"/>
  <c r="N90" i="12"/>
  <c r="E91" i="12"/>
  <c r="H91" i="12"/>
  <c r="K91" i="12"/>
  <c r="N91" i="12"/>
  <c r="E92" i="12"/>
  <c r="H92" i="12"/>
  <c r="K92" i="12"/>
  <c r="N92" i="12"/>
  <c r="E93" i="12"/>
  <c r="H93" i="12"/>
  <c r="K93" i="12"/>
  <c r="N93" i="12"/>
  <c r="E94" i="12"/>
  <c r="H94" i="12"/>
  <c r="K94" i="12"/>
  <c r="N94" i="12"/>
  <c r="E95" i="12"/>
  <c r="H95" i="12"/>
  <c r="K95" i="12"/>
  <c r="N95" i="12"/>
  <c r="E97" i="12"/>
  <c r="H97" i="12"/>
  <c r="K97" i="12"/>
  <c r="N97" i="12"/>
  <c r="O97" i="12"/>
  <c r="E98" i="12"/>
  <c r="H98" i="12"/>
  <c r="K98" i="12"/>
  <c r="N98" i="12"/>
  <c r="O98" i="12"/>
  <c r="E99" i="12"/>
  <c r="H99" i="12"/>
  <c r="K99" i="12"/>
  <c r="N99" i="12"/>
  <c r="E100" i="12"/>
  <c r="H100" i="12"/>
  <c r="K100" i="12"/>
  <c r="N100" i="12"/>
  <c r="E101" i="12"/>
  <c r="H101" i="12"/>
  <c r="K101" i="12"/>
  <c r="N101" i="12"/>
  <c r="E102" i="12"/>
  <c r="H102" i="12"/>
  <c r="K102" i="12"/>
  <c r="N102" i="12"/>
  <c r="E103" i="12"/>
  <c r="H103" i="12"/>
  <c r="K103" i="12"/>
  <c r="N103" i="12"/>
  <c r="E104" i="12"/>
  <c r="H104" i="12"/>
  <c r="K104" i="12"/>
  <c r="N104" i="12"/>
  <c r="E105" i="12"/>
  <c r="H105" i="12"/>
  <c r="K105" i="12"/>
  <c r="N105" i="12"/>
  <c r="E106" i="12"/>
  <c r="H106" i="12"/>
  <c r="K106" i="12"/>
  <c r="N106" i="12"/>
  <c r="E107" i="12"/>
  <c r="H107" i="12"/>
  <c r="K107" i="12"/>
  <c r="N107" i="12"/>
  <c r="E108" i="12"/>
  <c r="K108" i="12"/>
  <c r="N108" i="12"/>
  <c r="E109" i="12"/>
  <c r="H109" i="12"/>
  <c r="K109" i="12"/>
  <c r="N109" i="12"/>
  <c r="E110" i="12"/>
  <c r="H110" i="12"/>
  <c r="K110" i="12"/>
  <c r="N110" i="12"/>
  <c r="N111" i="12"/>
  <c r="E112" i="12"/>
  <c r="H112" i="12"/>
  <c r="K112" i="12"/>
  <c r="N112" i="12"/>
  <c r="E113" i="12"/>
  <c r="H113" i="12"/>
  <c r="K113" i="12"/>
  <c r="N113" i="12"/>
  <c r="E114" i="12"/>
  <c r="H114" i="12"/>
  <c r="K114" i="12"/>
  <c r="N114" i="12"/>
  <c r="E115" i="12"/>
  <c r="H115" i="12"/>
  <c r="K115" i="12"/>
  <c r="N115" i="12"/>
  <c r="C117" i="12"/>
  <c r="F117" i="12"/>
  <c r="G117" i="12"/>
  <c r="I117" i="12"/>
  <c r="J117" i="12"/>
  <c r="L117" i="12"/>
  <c r="M117" i="12"/>
  <c r="O99" i="12"/>
  <c r="O21" i="12"/>
  <c r="G23" i="6"/>
  <c r="F23" i="6"/>
  <c r="G25" i="6"/>
  <c r="F25" i="6"/>
  <c r="G21" i="6"/>
  <c r="F21" i="6"/>
  <c r="G19" i="6"/>
  <c r="F19" i="6"/>
  <c r="G15" i="6"/>
  <c r="F15" i="6"/>
  <c r="G11" i="6"/>
  <c r="G6" i="6"/>
  <c r="F11" i="6"/>
  <c r="F6" i="6"/>
  <c r="G9" i="6"/>
  <c r="G5" i="6" s="1"/>
  <c r="F9" i="6"/>
  <c r="F5" i="6" s="1"/>
  <c r="G27" i="6"/>
  <c r="F27" i="6"/>
  <c r="G29" i="6"/>
  <c r="F29" i="6"/>
  <c r="G32" i="6"/>
  <c r="G7" i="6" s="1"/>
  <c r="F32" i="6"/>
  <c r="G34" i="6"/>
  <c r="F34" i="6"/>
  <c r="G36" i="6"/>
  <c r="G8" i="6" s="1"/>
  <c r="F36" i="6"/>
  <c r="F8" i="6"/>
  <c r="G112" i="5"/>
  <c r="F112" i="5"/>
  <c r="F103" i="5"/>
  <c r="F86" i="5"/>
  <c r="F42" i="5"/>
  <c r="G115" i="5"/>
  <c r="F115" i="5"/>
  <c r="G22" i="5"/>
  <c r="F22" i="5"/>
  <c r="G17" i="5"/>
  <c r="G5" i="5" s="1"/>
  <c r="F17" i="5"/>
  <c r="F5" i="5" s="1"/>
  <c r="G86" i="5"/>
  <c r="G110" i="5"/>
  <c r="F110" i="5"/>
  <c r="G108" i="5"/>
  <c r="F108" i="5"/>
  <c r="G106" i="5"/>
  <c r="F106" i="5"/>
  <c r="G103" i="5"/>
  <c r="G101" i="5"/>
  <c r="F101" i="5"/>
  <c r="G98" i="5"/>
  <c r="F98" i="5"/>
  <c r="G94" i="5"/>
  <c r="F94" i="5"/>
  <c r="G92" i="5"/>
  <c r="F92" i="5"/>
  <c r="G90" i="5"/>
  <c r="F90" i="5"/>
  <c r="G82" i="5"/>
  <c r="F82" i="5"/>
  <c r="G79" i="5"/>
  <c r="F79" i="5"/>
  <c r="G74" i="5"/>
  <c r="F74" i="5"/>
  <c r="G71" i="5"/>
  <c r="F71" i="5"/>
  <c r="G68" i="5"/>
  <c r="F68" i="5"/>
  <c r="G66" i="5"/>
  <c r="F66" i="5"/>
  <c r="G62" i="5"/>
  <c r="F62" i="5"/>
  <c r="G59" i="5"/>
  <c r="F59" i="5"/>
  <c r="F55" i="5"/>
  <c r="G57" i="5"/>
  <c r="F57" i="5"/>
  <c r="G55" i="5"/>
  <c r="G53" i="5"/>
  <c r="F53" i="5"/>
  <c r="G50" i="5"/>
  <c r="F50" i="5"/>
  <c r="G42" i="5"/>
  <c r="G36" i="5"/>
  <c r="F36" i="5"/>
  <c r="F32" i="5"/>
  <c r="G32" i="5"/>
  <c r="G29" i="5"/>
  <c r="F29" i="5"/>
  <c r="G27" i="5"/>
  <c r="F27" i="5"/>
  <c r="G25" i="5"/>
  <c r="F25" i="5"/>
  <c r="G19" i="5"/>
  <c r="G6" i="5" s="1"/>
  <c r="F19" i="5"/>
  <c r="G96" i="5"/>
  <c r="F96" i="5"/>
  <c r="G84" i="5"/>
  <c r="F84" i="5"/>
  <c r="G64" i="5"/>
  <c r="F64" i="5"/>
  <c r="G40" i="5"/>
  <c r="F40" i="5"/>
  <c r="G38" i="5"/>
  <c r="F38" i="5"/>
  <c r="G32" i="4"/>
  <c r="F32" i="4"/>
  <c r="G49" i="4"/>
  <c r="F49" i="4"/>
  <c r="G43" i="4"/>
  <c r="F43" i="4"/>
  <c r="G41" i="4"/>
  <c r="F41" i="4"/>
  <c r="G39" i="4"/>
  <c r="F39" i="4"/>
  <c r="G37" i="4"/>
  <c r="F37" i="4"/>
  <c r="G30" i="4"/>
  <c r="F30" i="4"/>
  <c r="G28" i="4"/>
  <c r="F28" i="4"/>
  <c r="G20" i="4"/>
  <c r="F20" i="4"/>
  <c r="G11" i="4"/>
  <c r="F11" i="4"/>
  <c r="G47" i="4"/>
  <c r="F47" i="4"/>
  <c r="G45" i="4"/>
  <c r="G8" i="4" s="1"/>
  <c r="F45" i="4"/>
  <c r="G26" i="4"/>
  <c r="F26" i="4"/>
  <c r="G24" i="4"/>
  <c r="F24" i="4"/>
  <c r="F7" i="4"/>
  <c r="G18" i="4"/>
  <c r="F18" i="4"/>
  <c r="G16" i="4"/>
  <c r="F16" i="4"/>
  <c r="G14" i="4"/>
  <c r="F14" i="4"/>
  <c r="G9" i="4"/>
  <c r="G5" i="4"/>
  <c r="F9" i="4"/>
  <c r="F5" i="4"/>
  <c r="G23" i="3"/>
  <c r="G19" i="3"/>
  <c r="G21" i="3"/>
  <c r="G26" i="3"/>
  <c r="F23" i="3"/>
  <c r="F19" i="3"/>
  <c r="F21" i="3"/>
  <c r="F26" i="3"/>
  <c r="G9" i="3"/>
  <c r="G11" i="3"/>
  <c r="G13" i="3"/>
  <c r="G15" i="3"/>
  <c r="G17" i="3"/>
  <c r="F9" i="3"/>
  <c r="F11" i="3"/>
  <c r="F13" i="3"/>
  <c r="F15" i="3"/>
  <c r="F17" i="3"/>
  <c r="G28" i="3"/>
  <c r="G36" i="3"/>
  <c r="G38" i="3"/>
  <c r="G40" i="3"/>
  <c r="G42" i="3"/>
  <c r="G44" i="3"/>
  <c r="F28" i="3"/>
  <c r="F36" i="3"/>
  <c r="F38" i="3"/>
  <c r="F40" i="3"/>
  <c r="F42" i="3"/>
  <c r="F44" i="3"/>
  <c r="G52" i="3"/>
  <c r="F52" i="3"/>
  <c r="G50" i="3"/>
  <c r="F50" i="3"/>
  <c r="G48" i="3"/>
  <c r="F48" i="3"/>
  <c r="G46" i="3"/>
  <c r="F46" i="3"/>
  <c r="G51" i="2"/>
  <c r="F51" i="2"/>
  <c r="G49" i="2"/>
  <c r="G8" i="2" s="1"/>
  <c r="F49" i="2"/>
  <c r="F8" i="2"/>
  <c r="G47" i="2"/>
  <c r="F47" i="2"/>
  <c r="G45" i="2"/>
  <c r="F45" i="2"/>
  <c r="G43" i="2"/>
  <c r="F43" i="2"/>
  <c r="G41" i="2"/>
  <c r="F41" i="2"/>
  <c r="G37" i="2"/>
  <c r="F37" i="2"/>
  <c r="G34" i="2"/>
  <c r="F34" i="2"/>
  <c r="G32" i="2"/>
  <c r="F32" i="2"/>
  <c r="G30" i="2"/>
  <c r="F30" i="2"/>
  <c r="G27" i="2"/>
  <c r="G7" i="2" s="1"/>
  <c r="F27" i="2"/>
  <c r="G25" i="2"/>
  <c r="F25" i="2"/>
  <c r="G22" i="2"/>
  <c r="F22" i="2"/>
  <c r="G20" i="2"/>
  <c r="G13" i="2"/>
  <c r="G15" i="2"/>
  <c r="G18" i="2"/>
  <c r="F20" i="2"/>
  <c r="F13" i="2"/>
  <c r="F15" i="2"/>
  <c r="F18" i="2"/>
  <c r="G11" i="2"/>
  <c r="F11" i="2"/>
  <c r="G9" i="2"/>
  <c r="G5" i="2" s="1"/>
  <c r="F9" i="2"/>
  <c r="F5" i="2" s="1"/>
  <c r="G117" i="1"/>
  <c r="F117" i="1"/>
  <c r="G115" i="1"/>
  <c r="F115" i="1"/>
  <c r="G113" i="1"/>
  <c r="G102" i="1"/>
  <c r="G105" i="1"/>
  <c r="G107" i="1"/>
  <c r="G109" i="1"/>
  <c r="F113" i="1"/>
  <c r="F102" i="1"/>
  <c r="F105" i="1"/>
  <c r="F107" i="1"/>
  <c r="F109" i="1"/>
  <c r="G100" i="1"/>
  <c r="F100" i="1"/>
  <c r="G98" i="1"/>
  <c r="F98" i="1"/>
  <c r="G95" i="1"/>
  <c r="F95" i="1"/>
  <c r="F37" i="1"/>
  <c r="F71" i="1"/>
  <c r="F73" i="1"/>
  <c r="F75" i="1"/>
  <c r="F81" i="1"/>
  <c r="F83" i="1"/>
  <c r="F86" i="1"/>
  <c r="F89" i="1"/>
  <c r="F91" i="1"/>
  <c r="F93" i="1"/>
  <c r="G93" i="1"/>
  <c r="G91" i="1"/>
  <c r="G89" i="1"/>
  <c r="G37" i="1"/>
  <c r="G71" i="1"/>
  <c r="G73" i="1"/>
  <c r="G75" i="1"/>
  <c r="G81" i="1"/>
  <c r="G83" i="1"/>
  <c r="G86" i="1"/>
  <c r="G35" i="1"/>
  <c r="F35" i="1"/>
  <c r="G33" i="1"/>
  <c r="F33" i="1"/>
  <c r="G31" i="1"/>
  <c r="F31" i="1"/>
  <c r="G29" i="1"/>
  <c r="F29" i="1"/>
  <c r="G26" i="1"/>
  <c r="F26" i="1"/>
  <c r="G23" i="1"/>
  <c r="F23" i="1"/>
  <c r="G19" i="1"/>
  <c r="F19" i="1"/>
  <c r="G17" i="1"/>
  <c r="F17" i="1"/>
  <c r="G15" i="1"/>
  <c r="F15" i="1"/>
  <c r="G12" i="1"/>
  <c r="F12" i="1"/>
  <c r="G9" i="1"/>
  <c r="G5" i="1"/>
  <c r="F9" i="1"/>
  <c r="F6" i="4"/>
  <c r="G6" i="2" l="1"/>
  <c r="O8" i="12"/>
  <c r="F7" i="6"/>
  <c r="F6" i="2"/>
  <c r="H117" i="12"/>
  <c r="F7" i="2"/>
  <c r="F6" i="1"/>
  <c r="F8" i="4"/>
  <c r="F4" i="4" s="1"/>
  <c r="G4" i="6"/>
  <c r="N117" i="12"/>
  <c r="K117" i="12"/>
  <c r="Q6" i="15"/>
  <c r="E117" i="12"/>
  <c r="F5" i="1"/>
  <c r="G7" i="4"/>
  <c r="G6" i="4"/>
  <c r="G4" i="4" s="1"/>
  <c r="Q19" i="15"/>
  <c r="Q97" i="15"/>
  <c r="Q99" i="15" s="1"/>
  <c r="Q8" i="15"/>
  <c r="L49" i="13"/>
  <c r="P49" i="13" s="1"/>
  <c r="L49" i="15"/>
  <c r="P49" i="15" s="1"/>
  <c r="L44" i="13"/>
  <c r="P44" i="13" s="1"/>
  <c r="L44" i="15"/>
  <c r="L50" i="13"/>
  <c r="P50" i="13" s="1"/>
  <c r="L50" i="15"/>
  <c r="P50" i="15" s="1"/>
  <c r="G6" i="1"/>
  <c r="F5" i="3"/>
  <c r="F8" i="3"/>
  <c r="G8" i="3"/>
  <c r="F6" i="3"/>
  <c r="F6" i="5"/>
  <c r="G7" i="5"/>
  <c r="F7" i="5"/>
  <c r="F8" i="5"/>
  <c r="G8" i="5"/>
  <c r="O117" i="15"/>
  <c r="G4" i="2"/>
  <c r="F4" i="6"/>
  <c r="F4" i="2"/>
  <c r="G6" i="3"/>
  <c r="F7" i="1"/>
  <c r="F8" i="1"/>
  <c r="F4" i="1" s="1"/>
  <c r="F119" i="1" s="1"/>
  <c r="G7" i="1"/>
  <c r="G4" i="1" s="1"/>
  <c r="G119" i="1" s="1"/>
  <c r="G8" i="1"/>
  <c r="G7" i="3"/>
  <c r="F7" i="3"/>
  <c r="G5" i="3"/>
  <c r="O117" i="13"/>
  <c r="G117" i="13"/>
  <c r="L456" i="14"/>
  <c r="Q19" i="13"/>
  <c r="Q6" i="13"/>
  <c r="Q97" i="13"/>
  <c r="Q99" i="13" s="1"/>
  <c r="J117" i="13"/>
  <c r="D117" i="13"/>
  <c r="F120" i="5"/>
  <c r="K117" i="13"/>
  <c r="H117" i="13"/>
  <c r="Q21" i="13"/>
  <c r="Q8" i="13"/>
  <c r="E8" i="13"/>
  <c r="E117" i="13" s="1"/>
  <c r="P117" i="13" l="1"/>
  <c r="P44" i="15"/>
  <c r="P117" i="15" s="1"/>
  <c r="Q44" i="15"/>
  <c r="Q46" i="15" s="1"/>
  <c r="L117" i="15"/>
  <c r="Q44" i="13"/>
  <c r="Q46" i="13" s="1"/>
  <c r="L117" i="13"/>
  <c r="G4" i="3"/>
  <c r="G54" i="3" s="1"/>
  <c r="F4" i="3"/>
  <c r="F4" i="5"/>
  <c r="G4" i="5"/>
  <c r="G120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Q46" authorId="0" shapeId="0" xr:uid="{053B1C19-5ACD-48F5-9251-0D801F09FE09}">
      <text>
        <r>
          <rPr>
            <b/>
            <sz val="9"/>
            <color indexed="81"/>
            <rFont val="Tahoma"/>
            <family val="2"/>
          </rPr>
          <t>ยังไม่รวม กก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L43" authorId="0" shapeId="0" xr:uid="{B2A19255-FA75-4267-BA81-029E661E55E2}">
      <text>
        <r>
          <rPr>
            <b/>
            <sz val="9"/>
            <color indexed="81"/>
            <rFont val="Tahoma"/>
            <family val="2"/>
          </rPr>
          <t>แก้ราคาให้ตรงตามมาตรฐาน</t>
        </r>
      </text>
    </comment>
    <comment ref="L44" authorId="0" shapeId="0" xr:uid="{88CB7153-269D-4DB7-AAC7-713712722015}">
      <text>
        <r>
          <rPr>
            <b/>
            <sz val="9"/>
            <color indexed="81"/>
            <rFont val="Tahoma"/>
            <family val="2"/>
          </rPr>
          <t>แก้ราคาให้ตรงตามมาตรฐาน</t>
        </r>
      </text>
    </comment>
    <comment ref="L93" authorId="0" shapeId="0" xr:uid="{957DAC1B-0169-489B-AF65-0033F32EC834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แก้ราคาจาก 8000 เป็น 8600</t>
        </r>
      </text>
    </comment>
    <comment ref="P93" authorId="0" shapeId="0" xr:uid="{8E98C624-B441-47D9-BC2D-0003069D6287}">
      <text>
        <r>
          <rPr>
            <b/>
            <sz val="9"/>
            <color indexed="81"/>
            <rFont val="Tahoma"/>
            <family val="2"/>
          </rPr>
          <t>8000 นอกมาตรฐาน</t>
        </r>
      </text>
    </comment>
    <comment ref="T93" authorId="0" shapeId="0" xr:uid="{29D31C8E-484B-4C1D-9ADB-0EEBC2197B16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8600?</t>
        </r>
      </text>
    </comment>
    <comment ref="G96" authorId="0" shapeId="0" xr:uid="{EAEE1F45-7373-4A8B-938A-F69E873D7DDC}">
      <text>
        <r>
          <rPr>
            <b/>
            <sz val="9"/>
            <color indexed="81"/>
            <rFont val="Tahoma"/>
            <family val="2"/>
          </rPr>
          <t>แก้ชื่อให้ตรงกับราคาที่ขอ</t>
        </r>
      </text>
    </comment>
    <comment ref="T96" authorId="0" shapeId="0" xr:uid="{C971F7C5-53F7-43AF-A1DE-D4BB969E1E5D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25 ลิตร?
</t>
        </r>
      </text>
    </comment>
    <comment ref="P100" authorId="0" shapeId="0" xr:uid="{0741D20D-803D-4775-AD76-CFED30D3A3ED}">
      <text>
        <r>
          <rPr>
            <b/>
            <sz val="9"/>
            <color indexed="81"/>
            <rFont val="Tahoma"/>
            <family val="2"/>
          </rPr>
          <t>13800 นอกมาตรฐาน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07" authorId="0" shapeId="0" xr:uid="{CB5C71B0-F75D-4D7B-AF10-9095662EF334}">
      <text>
        <r>
          <rPr>
            <b/>
            <sz val="9"/>
            <color indexed="81"/>
            <rFont val="Tahoma"/>
            <family val="2"/>
          </rPr>
          <t>63000 นอกมาตรฐาน</t>
        </r>
      </text>
    </comment>
    <comment ref="G120" authorId="0" shapeId="0" xr:uid="{2AE35562-677A-424B-AB72-7BDCDE2F3840}">
      <text>
        <r>
          <rPr>
            <b/>
            <sz val="9"/>
            <color indexed="81"/>
            <rFont val="Tahoma"/>
            <family val="2"/>
          </rPr>
          <t>แก้ชื่อให้ตรงกับราคาที่ขอ</t>
        </r>
      </text>
    </comment>
    <comment ref="G127" authorId="0" shapeId="0" xr:uid="{C8928E8F-9611-410C-B858-A13594C3943C}">
      <text>
        <r>
          <rPr>
            <b/>
            <sz val="9"/>
            <color indexed="81"/>
            <rFont val="Tahoma"/>
            <family val="2"/>
          </rPr>
          <t>แก้ชื่อให้ตรงกับราคาที่ขอ</t>
        </r>
      </text>
    </comment>
    <comment ref="O176" authorId="0" shapeId="0" xr:uid="{734D51DC-5DD5-4B4F-BB3B-4B2A09F9DBA6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ทดแทนหรือเพิ่ม ปสภ.
</t>
        </r>
      </text>
    </comment>
    <comment ref="G178" authorId="0" shapeId="0" xr:uid="{2A97A12D-0325-4057-B04D-3B0A7D73E689}">
      <text>
        <r>
          <rPr>
            <b/>
            <sz val="9"/>
            <color indexed="81"/>
            <rFont val="Tahoma"/>
            <family val="2"/>
          </rPr>
          <t>แก้ชื่อให้ตรงกับราคาที่ขอ</t>
        </r>
      </text>
    </comment>
    <comment ref="G182" authorId="0" shapeId="0" xr:uid="{27C66542-C31A-49CB-8047-15E247B19F37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แบบติดผนัง?
</t>
        </r>
      </text>
    </comment>
    <comment ref="G186" authorId="0" shapeId="0" xr:uid="{771D019F-3388-419D-87C9-03CDCBE9EA2C}">
      <text>
        <r>
          <rPr>
            <b/>
            <sz val="9"/>
            <color indexed="81"/>
            <rFont val="Tahoma"/>
            <family val="2"/>
          </rPr>
          <t>แก้ชื่อให้ตรงกับราคาที่ขอ</t>
        </r>
      </text>
    </comment>
    <comment ref="Q187" authorId="0" shapeId="0" xr:uid="{397089E9-49A0-4825-93AC-1A7FE7DC356D}">
      <text>
        <r>
          <rPr>
            <b/>
            <sz val="9"/>
            <color indexed="81"/>
            <rFont val="Tahoma"/>
            <family val="2"/>
          </rPr>
          <t>ทดแทน 10 เครื่องมั้ย?</t>
        </r>
      </text>
    </comment>
    <comment ref="T187" authorId="0" shapeId="0" xr:uid="{4A026973-FC55-44E3-88EF-7623984FB55B}">
      <text>
        <r>
          <rPr>
            <sz val="9"/>
            <color indexed="81"/>
            <rFont val="Tahoma"/>
            <family val="2"/>
          </rPr>
          <t xml:space="preserve">ไม่มีราคานี้
</t>
        </r>
      </text>
    </comment>
    <comment ref="T190" authorId="0" shapeId="0" xr:uid="{730E963F-7806-4476-99CB-215A37A37BF9}">
      <text>
        <r>
          <rPr>
            <b/>
            <sz val="9"/>
            <color indexed="81"/>
            <rFont val="Tahoma"/>
            <family val="2"/>
          </rPr>
          <t xml:space="preserve">ราคาเท่าไหร่
</t>
        </r>
      </text>
    </comment>
    <comment ref="T191" authorId="0" shapeId="0" xr:uid="{950FEBB5-7A46-4B92-AA90-D8CC2F6C8F80}">
      <text>
        <r>
          <rPr>
            <b/>
            <sz val="9"/>
            <color indexed="81"/>
            <rFont val="Tahoma"/>
            <family val="2"/>
          </rPr>
          <t>ราคาเท่าไหร่</t>
        </r>
      </text>
    </comment>
    <comment ref="Q193" authorId="0" shapeId="0" xr:uid="{83B90684-699F-4CB4-896F-7AC429EC4138}">
      <text>
        <r>
          <rPr>
            <sz val="9"/>
            <color indexed="81"/>
            <rFont val="Tahoma"/>
            <family val="2"/>
          </rPr>
          <t xml:space="preserve">ทดแทนหรือเพิ่ม
</t>
        </r>
      </text>
    </comment>
    <comment ref="R201" authorId="0" shapeId="0" xr:uid="{73531E6F-8634-47FD-A5C7-EB7E263C06E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เพิ่ม ปสภ แต่เหตุผลทดแทน
</t>
        </r>
      </text>
    </comment>
    <comment ref="T201" authorId="0" shapeId="0" xr:uid="{4BAF580B-535C-40F2-8780-8DC0877F58B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ราคาไม่ตรง</t>
        </r>
      </text>
    </comment>
    <comment ref="R202" authorId="0" shapeId="0" xr:uid="{9C35E256-5BF8-4C32-9F63-6584AFCD7372}">
      <text>
        <r>
          <rPr>
            <b/>
            <sz val="9"/>
            <color indexed="81"/>
            <rFont val="Tahoma"/>
            <family val="2"/>
          </rPr>
          <t>เพิ่ม ปสภ แต่มีเลขครุภัณฑ์</t>
        </r>
      </text>
    </comment>
    <comment ref="T202" authorId="0" shapeId="0" xr:uid="{FBDE78FE-29E6-4EE3-AFF1-D81CE0FA8B3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ราคาไม่ตรง</t>
        </r>
      </text>
    </comment>
    <comment ref="G203" authorId="0" shapeId="0" xr:uid="{FE65F2D4-FE00-433A-9638-A557A9A2751C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ซ้ำ 2 เครื่อง</t>
        </r>
      </text>
    </comment>
    <comment ref="O203" authorId="0" shapeId="0" xr:uid="{B16514AB-59B7-4749-8162-914F2B3898CA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
</t>
        </r>
      </text>
    </comment>
    <comment ref="O204" authorId="0" shapeId="0" xr:uid="{51E9B139-B2FE-418D-860E-9B7B8F35005C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นอบมาตรฐาน?</t>
        </r>
      </text>
    </comment>
    <comment ref="G207" authorId="0" shapeId="0" xr:uid="{3F1A1915-14C6-4615-9E80-9ACDD90CE4C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คนละเครื่อง?</t>
        </r>
      </text>
    </comment>
    <comment ref="O219" authorId="0" shapeId="0" xr:uid="{1E8C408F-26B5-4254-B206-DC4350D83E3A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</t>
        </r>
      </text>
    </comment>
    <comment ref="R226" authorId="0" shapeId="0" xr:uid="{43382F80-F3C7-40A4-A678-9AA4A8604712}">
      <text>
        <r>
          <rPr>
            <b/>
            <sz val="9"/>
            <color indexed="81"/>
            <rFont val="Tahoma"/>
            <family val="2"/>
          </rPr>
          <t>ทดแทนหรือเพิ่ม</t>
        </r>
      </text>
    </comment>
    <comment ref="T233" authorId="0" shapeId="0" xr:uid="{A228A896-EA4C-455C-ACA4-4E3660573D6B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43100</t>
        </r>
      </text>
    </comment>
    <comment ref="T234" authorId="0" shapeId="0" xr:uid="{80345E1D-18C4-4B16-A94B-6C7B8ABBE42F}">
      <text>
        <r>
          <rPr>
            <b/>
            <sz val="9"/>
            <color indexed="81"/>
            <rFont val="Tahoma"/>
            <family val="2"/>
          </rPr>
          <t>ราคาไม่ตรงในมาตรฐาน</t>
        </r>
      </text>
    </comment>
    <comment ref="T236" authorId="0" shapeId="0" xr:uid="{2B452F4C-3554-4579-AAD5-D661BE76DC1D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48600</t>
        </r>
      </text>
    </comment>
    <comment ref="P239" authorId="0" shapeId="0" xr:uid="{4CEC3A92-AD62-4437-BA97-283E6679A0FE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ในมาตรฐานมั้ย
</t>
        </r>
      </text>
    </comment>
    <comment ref="G244" authorId="0" shapeId="0" xr:uid="{A275EAAE-FB03-4AC6-B351-7E2CE320DA75}">
      <text>
        <r>
          <rPr>
            <b/>
            <sz val="9"/>
            <color indexed="81"/>
            <rFont val="Tahoma"/>
            <family val="2"/>
          </rPr>
          <t xml:space="preserve">แก้ชื่อให้ตรงกับราคาที่ขอ
</t>
        </r>
      </text>
    </comment>
    <comment ref="G245" authorId="0" shapeId="0" xr:uid="{CC5656C5-9D61-4636-A6CE-FA82400AA614}">
      <text>
        <r>
          <rPr>
            <b/>
            <sz val="9"/>
            <color indexed="81"/>
            <rFont val="Tahoma"/>
            <family val="2"/>
          </rPr>
          <t>แก้ชื่อให้ตรงกับมาตรฐาน</t>
        </r>
      </text>
    </comment>
    <comment ref="R253" authorId="0" shapeId="0" xr:uid="{FE42BF53-013F-4CB4-9681-2DD2E2889126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ทดแทนหรือเพิ่ม</t>
        </r>
      </text>
    </comment>
    <comment ref="S255" authorId="0" shapeId="0" xr:uid="{AF0AE3E3-B125-40EA-BC8E-78153EEA1ED8}">
      <text>
        <r>
          <rPr>
            <b/>
            <sz val="9"/>
            <color indexed="81"/>
            <rFont val="Tahoma"/>
            <family val="2"/>
          </rPr>
          <t xml:space="preserve">ทดแทนหรือเพิ่ม
</t>
        </r>
      </text>
    </comment>
    <comment ref="P260" authorId="0" shapeId="0" xr:uid="{4DC869A7-6B87-427C-9C5A-98A660C2E94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นอกมาตรฐานเหรอ</t>
        </r>
      </text>
    </comment>
    <comment ref="O265" authorId="0" shapeId="0" xr:uid="{957A70EA-6592-476C-B78C-B127589FBB66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นอกมาตรฐานมั้ย</t>
        </r>
      </text>
    </comment>
    <comment ref="O267" authorId="0" shapeId="0" xr:uid="{9CCEA337-AD23-4A07-9632-AB2A83BE6531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</t>
        </r>
      </text>
    </comment>
    <comment ref="O288" authorId="0" shapeId="0" xr:uid="{E717F417-630A-4ECA-AB02-57BCC0C362EF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</t>
        </r>
      </text>
    </comment>
    <comment ref="O289" authorId="0" shapeId="0" xr:uid="{4A9D9A03-9B4B-45B3-9FCF-910819DEEA08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</t>
        </r>
      </text>
    </comment>
    <comment ref="O291" authorId="0" shapeId="0" xr:uid="{9541AA9C-6D66-424B-8CE7-59EAD337470A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</t>
        </r>
      </text>
    </comment>
    <comment ref="O292" authorId="0" shapeId="0" xr:uid="{1155EE7D-AE2E-40B7-BF91-0C64DB4A700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</t>
        </r>
      </text>
    </comment>
    <comment ref="R349" authorId="0" shapeId="0" xr:uid="{3FA229C2-5638-461B-81BB-2F4605EE675A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ทดแทน?
</t>
        </r>
      </text>
    </comment>
    <comment ref="C390" authorId="0" shapeId="0" xr:uid="{56DAF222-3E3A-4123-A3B6-74549FBEFCDB}">
      <text>
        <r>
          <rPr>
            <b/>
            <sz val="9"/>
            <color indexed="81"/>
            <rFont val="Tahoma"/>
            <family val="2"/>
          </rPr>
          <t>แก้แล้วจากงานครัวเป็นเกษตร</t>
        </r>
      </text>
    </comment>
    <comment ref="G391" authorId="0" shapeId="0" xr:uid="{D92DC6B7-63C2-4931-9369-AC80D223358E}">
      <text>
        <r>
          <rPr>
            <b/>
            <sz val="9"/>
            <color indexed="81"/>
            <rFont val="Tahoma"/>
            <family val="2"/>
          </rPr>
          <t>แก้ให้ชื่อตรงในมาตรฐาน</t>
        </r>
      </text>
    </comment>
    <comment ref="L392" authorId="0" shapeId="0" xr:uid="{D253129F-EBA1-4953-8931-452BB335F3E3}">
      <text>
        <r>
          <rPr>
            <b/>
            <sz val="9"/>
            <color indexed="81"/>
            <rFont val="Tahoma"/>
            <family val="2"/>
          </rPr>
          <t>ควรปัดยอดขึ้นมั้ย?</t>
        </r>
      </text>
    </comment>
    <comment ref="P392" authorId="0" shapeId="0" xr:uid="{A4917488-26FC-44B5-A200-1862AF3AFAB9}">
      <text>
        <r>
          <rPr>
            <b/>
            <sz val="9"/>
            <color indexed="81"/>
            <rFont val="Tahoma"/>
            <family val="2"/>
          </rPr>
          <t>แก้แล้วจากในเป็นนอกมาตรฐาน</t>
        </r>
      </text>
    </comment>
    <comment ref="N393" authorId="0" shapeId="0" xr:uid="{7C66BF60-81BC-437E-AA6E-8AA27B2611EA}">
      <text>
        <r>
          <rPr>
            <b/>
            <sz val="9"/>
            <color indexed="81"/>
            <rFont val="Tahoma"/>
            <family val="2"/>
          </rPr>
          <t>แก้จากห้องเป็นชุด</t>
        </r>
      </text>
    </comment>
    <comment ref="R393" authorId="0" shapeId="0" xr:uid="{9EC6E9B1-7286-4612-AAC3-CCEFBD5B9805}">
      <text>
        <r>
          <rPr>
            <b/>
            <sz val="9"/>
            <color indexed="81"/>
            <rFont val="Tahoma"/>
            <family val="2"/>
          </rPr>
          <t xml:space="preserve">ทดแทนหรือเพิ่ม ปสภ?
</t>
        </r>
      </text>
    </comment>
    <comment ref="G402" authorId="0" shapeId="0" xr:uid="{D3C4E1B4-ACC7-4AFD-ADAE-3FFBCF28C4B1}">
      <text>
        <r>
          <rPr>
            <b/>
            <sz val="9"/>
            <color indexed="81"/>
            <rFont val="Tahoma"/>
            <family val="2"/>
          </rPr>
          <t>ชื่อไม่ตรงกับใบเสนอราคา</t>
        </r>
      </text>
    </comment>
    <comment ref="G403" authorId="0" shapeId="0" xr:uid="{456AF3F7-8925-441F-B795-B33C9C45C85B}">
      <text>
        <r>
          <rPr>
            <b/>
            <sz val="9"/>
            <color indexed="81"/>
            <rFont val="Tahoma"/>
            <family val="2"/>
          </rPr>
          <t>แก้ชื่อให้ตรงในมาตรฐาน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16" authorId="0" shapeId="0" xr:uid="{4C6858A9-7312-4426-B772-1712350CCAF0}">
      <text>
        <r>
          <rPr>
            <sz val="9"/>
            <color indexed="81"/>
            <rFont val="Tahoma"/>
            <family val="2"/>
          </rPr>
          <t>แก้แล้ว จากสำนักงานเป็นงานครัว</t>
        </r>
      </text>
    </comment>
    <comment ref="G416" authorId="0" shapeId="0" xr:uid="{4DCAB7FE-BFDC-4F63-8D06-F22B69A76B0D}">
      <text>
        <r>
          <rPr>
            <b/>
            <sz val="9"/>
            <color indexed="81"/>
            <rFont val="Tahoma"/>
            <family val="2"/>
          </rPr>
          <t>แก้ให้ชื่อตรงในมาตรฐาน</t>
        </r>
      </text>
    </comment>
    <comment ref="P417" authorId="0" shapeId="0" xr:uid="{74A6D2C2-2DFA-4828-ACDB-956DB9B4ACC6}">
      <text>
        <r>
          <rPr>
            <b/>
            <sz val="9"/>
            <color indexed="81"/>
            <rFont val="Tahoma"/>
            <family val="2"/>
          </rPr>
          <t>เปลี่ยนจากในเป็นนอกมาตรฐาน</t>
        </r>
      </text>
    </comment>
    <comment ref="G418" authorId="0" shapeId="0" xr:uid="{B7E26909-8A6D-4957-816B-0F125B6564D9}">
      <text>
        <r>
          <rPr>
            <b/>
            <sz val="9"/>
            <color indexed="81"/>
            <rFont val="Tahoma"/>
            <family val="2"/>
          </rPr>
          <t xml:space="preserve">แก้ชื่อให้ตรงตามมาตรฐาน
</t>
        </r>
      </text>
    </comment>
    <comment ref="C419" authorId="0" shapeId="0" xr:uid="{09D83493-8416-418C-8848-8EDCA33B1BCC}">
      <text>
        <r>
          <rPr>
            <b/>
            <sz val="9"/>
            <color indexed="81"/>
            <rFont val="Tahoma"/>
            <family val="2"/>
          </rPr>
          <t>แก้จากเกษตรเป็นงานครัว</t>
        </r>
      </text>
    </comment>
    <comment ref="G419" authorId="0" shapeId="0" xr:uid="{D93FCF3C-748C-4F45-B5E9-4B35B2EF5B94}">
      <text>
        <r>
          <rPr>
            <b/>
            <sz val="9"/>
            <color indexed="81"/>
            <rFont val="Tahoma"/>
            <family val="2"/>
          </rPr>
          <t>แก้ชื่อให้ตรงกับมาตรฐาน</t>
        </r>
      </text>
    </comment>
    <comment ref="C422" authorId="0" shapeId="0" xr:uid="{1E9C6838-292B-4300-B343-B09657923442}">
      <text>
        <r>
          <rPr>
            <b/>
            <sz val="9"/>
            <color indexed="81"/>
            <rFont val="Tahoma"/>
            <family val="2"/>
          </rPr>
          <t>เปลี่ยนจากสำนักงานเป็นงานครัว</t>
        </r>
      </text>
    </comment>
    <comment ref="L423" authorId="0" shapeId="0" xr:uid="{F996A16A-F9DD-4090-88E2-FC11A65D30EA}">
      <text>
        <r>
          <rPr>
            <sz val="9"/>
            <color indexed="81"/>
            <rFont val="Tahoma"/>
            <family val="2"/>
          </rPr>
          <t xml:space="preserve">แก้ให้ตรงกับราคากลาง
</t>
        </r>
      </text>
    </comment>
    <comment ref="P423" authorId="0" shapeId="0" xr:uid="{1F40FC81-AC78-4E40-BB83-EB45DDF40FAB}">
      <text>
        <r>
          <rPr>
            <b/>
            <sz val="9"/>
            <color indexed="81"/>
            <rFont val="Tahoma"/>
            <family val="2"/>
          </rPr>
          <t>แก้จากในเป็นนอกมาตรฐาน</t>
        </r>
      </text>
    </comment>
    <comment ref="T423" authorId="0" shapeId="0" xr:uid="{620C413D-3091-438D-BBFD-8F9CFBA8244B}">
      <text>
        <r>
          <rPr>
            <b/>
            <sz val="9"/>
            <color indexed="81"/>
            <rFont val="Tahoma"/>
            <family val="2"/>
          </rPr>
          <t>1498000</t>
        </r>
      </text>
    </comment>
    <comment ref="L426" authorId="0" shapeId="0" xr:uid="{D7D7482D-BA26-4B1E-BAFA-DEEE3607B76E}">
      <text>
        <r>
          <rPr>
            <b/>
            <sz val="9"/>
            <color indexed="81"/>
            <rFont val="Tahoma"/>
            <family val="2"/>
          </rPr>
          <t>ควรปัดยอดขึ้นมั้ย?</t>
        </r>
      </text>
    </comment>
    <comment ref="C427" authorId="0" shapeId="0" xr:uid="{6F26B6AA-8D68-41D0-A291-3A2B3BED3208}">
      <text>
        <r>
          <rPr>
            <b/>
            <sz val="9"/>
            <color indexed="81"/>
            <rFont val="Tahoma"/>
            <family val="2"/>
          </rPr>
          <t>โฆษณา?</t>
        </r>
      </text>
    </comment>
    <comment ref="C428" authorId="0" shapeId="0" xr:uid="{7E1320AE-B245-441B-964D-2C62B3B3E31C}">
      <text>
        <r>
          <rPr>
            <b/>
            <sz val="9"/>
            <color indexed="81"/>
            <rFont val="Tahoma"/>
            <family val="2"/>
          </rPr>
          <t>โฆษณา?</t>
        </r>
      </text>
    </comment>
    <comment ref="P429" authorId="0" shapeId="0" xr:uid="{E3CFD8B3-34BA-48D9-9BA9-5F77A670D7BC}">
      <text>
        <r>
          <rPr>
            <b/>
            <sz val="9"/>
            <color indexed="81"/>
            <rFont val="Tahoma"/>
            <family val="2"/>
          </rPr>
          <t>เปลี่ยนจากในเป็นนอกมาตรฐาน</t>
        </r>
      </text>
    </comment>
    <comment ref="C430" authorId="0" shapeId="0" xr:uid="{75CCAAF6-A84E-4796-981E-9F665E5DCDC2}">
      <text>
        <r>
          <rPr>
            <b/>
            <sz val="9"/>
            <color indexed="81"/>
            <rFont val="Tahoma"/>
            <family val="2"/>
          </rPr>
          <t>แก้จากสำนักงานเป็นเผยแพร่</t>
        </r>
      </text>
    </comment>
    <comment ref="C431" authorId="0" shapeId="0" xr:uid="{E30B85F0-961C-40EA-8EAE-D4FCC7226F92}">
      <text>
        <r>
          <rPr>
            <b/>
            <sz val="9"/>
            <color indexed="81"/>
            <rFont val="Tahoma"/>
            <family val="2"/>
          </rPr>
          <t>แก้จากสำนักงานเป็นเผยแพร่</t>
        </r>
      </text>
    </comment>
    <comment ref="C432" authorId="0" shapeId="0" xr:uid="{B15172DF-9D88-477E-86A7-11DCB6B91914}">
      <text>
        <r>
          <rPr>
            <sz val="9"/>
            <color indexed="81"/>
            <rFont val="Tahoma"/>
            <family val="2"/>
          </rPr>
          <t>แก้จากสำนักงานเป็นเผยแพร่</t>
        </r>
      </text>
    </comment>
    <comment ref="Q432" authorId="0" shapeId="0" xr:uid="{5F73B9BB-714E-479A-9FC9-D09594E11369}">
      <text>
        <r>
          <rPr>
            <b/>
            <sz val="9"/>
            <color indexed="81"/>
            <rFont val="Tahoma"/>
            <family val="2"/>
          </rPr>
          <t>แก้จากเพิ่ม ปสภ เป็นทดแทน</t>
        </r>
      </text>
    </comment>
    <comment ref="C433" authorId="0" shapeId="0" xr:uid="{3179ABCD-C02D-4DBB-B873-22B2AF2112E3}">
      <text>
        <r>
          <rPr>
            <b/>
            <sz val="9"/>
            <color indexed="81"/>
            <rFont val="Tahoma"/>
            <family val="2"/>
          </rPr>
          <t>โฆษณา?</t>
        </r>
      </text>
    </comment>
    <comment ref="T433" authorId="0" shapeId="0" xr:uid="{69800A09-4B61-4095-852F-F34F8E156A95}">
      <text>
        <r>
          <rPr>
            <b/>
            <sz val="9"/>
            <color indexed="81"/>
            <rFont val="Tahoma"/>
            <family val="2"/>
          </rPr>
          <t>ราคาไม่ตรงกับใบเสนอราคา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Q46" authorId="0" shapeId="0" xr:uid="{61873A5F-ED08-40C8-B1E3-0F96D2BD8D5A}">
      <text>
        <r>
          <rPr>
            <b/>
            <sz val="9"/>
            <color indexed="81"/>
            <rFont val="Tahoma"/>
            <family val="2"/>
          </rPr>
          <t>ยังไม่รวม กก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O46" authorId="0" shapeId="0" xr:uid="{D770A18C-A608-42F7-800F-3B54A8DCEC55}">
      <text>
        <r>
          <rPr>
            <b/>
            <sz val="9"/>
            <color indexed="81"/>
            <rFont val="Tahoma"/>
            <family val="2"/>
          </rPr>
          <t>ยังไม่รวม กก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Acer</author>
  </authors>
  <commentList>
    <comment ref="L42" authorId="0" shapeId="0" xr:uid="{9DA294BF-7E2F-4293-A079-B32E0F4C53FC}">
      <text>
        <r>
          <rPr>
            <b/>
            <sz val="9"/>
            <color indexed="81"/>
            <rFont val="Tahoma"/>
            <family val="2"/>
          </rPr>
          <t>แก้ราคาให้ตรงตามมาตรฐาน</t>
        </r>
      </text>
    </comment>
    <comment ref="L43" authorId="0" shapeId="0" xr:uid="{47F3009A-BCDF-4373-94DE-49DC4DDC290D}">
      <text>
        <r>
          <rPr>
            <b/>
            <sz val="9"/>
            <color indexed="81"/>
            <rFont val="Tahoma"/>
            <family val="2"/>
          </rPr>
          <t>แก้ราคาให้ตรงตามมาตรฐาน</t>
        </r>
      </text>
    </comment>
    <comment ref="L92" authorId="0" shapeId="0" xr:uid="{E82F63BA-3DF7-45AA-8FC6-C4E39555F00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แก้ราคาจาก 8000 เป็น 8600</t>
        </r>
      </text>
    </comment>
    <comment ref="P92" authorId="0" shapeId="0" xr:uid="{665AFBC0-DD26-4360-A835-4894D8CEF849}">
      <text>
        <r>
          <rPr>
            <b/>
            <sz val="9"/>
            <color indexed="81"/>
            <rFont val="Tahoma"/>
            <family val="2"/>
          </rPr>
          <t>8000 นอกมาตรฐาน</t>
        </r>
      </text>
    </comment>
    <comment ref="T92" authorId="0" shapeId="0" xr:uid="{BBBAC540-2177-4FAB-9FB6-353EF9BCB43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8600?</t>
        </r>
      </text>
    </comment>
    <comment ref="G95" authorId="0" shapeId="0" xr:uid="{20068981-952B-4825-B356-CD0F0F2A24E2}">
      <text>
        <r>
          <rPr>
            <b/>
            <sz val="9"/>
            <color indexed="81"/>
            <rFont val="Tahoma"/>
            <family val="2"/>
          </rPr>
          <t>แก้ชื่อให้ตรงกับราคาที่ขอ</t>
        </r>
      </text>
    </comment>
    <comment ref="T95" authorId="0" shapeId="0" xr:uid="{340EA252-AC9A-44F8-95C5-1981831EACCF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25 ลิตร?
</t>
        </r>
      </text>
    </comment>
    <comment ref="P99" authorId="0" shapeId="0" xr:uid="{1E791189-5798-4C7B-9A30-10A98E3ABC61}">
      <text>
        <r>
          <rPr>
            <b/>
            <sz val="9"/>
            <color indexed="81"/>
            <rFont val="Tahoma"/>
            <family val="2"/>
          </rPr>
          <t>13800 นอกมาตรฐาน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06" authorId="0" shapeId="0" xr:uid="{1A90F409-7467-484D-9C9C-6F4B7F5472D4}">
      <text>
        <r>
          <rPr>
            <b/>
            <sz val="9"/>
            <color indexed="81"/>
            <rFont val="Tahoma"/>
            <family val="2"/>
          </rPr>
          <t>63000 นอกมาตรฐาน</t>
        </r>
      </text>
    </comment>
    <comment ref="G119" authorId="0" shapeId="0" xr:uid="{C74BF403-9F10-4D66-A8FE-BC8796C58386}">
      <text>
        <r>
          <rPr>
            <b/>
            <sz val="9"/>
            <color indexed="81"/>
            <rFont val="Tahoma"/>
            <family val="2"/>
          </rPr>
          <t>แก้ชื่อให้ตรงกับราคาที่ขอ</t>
        </r>
      </text>
    </comment>
    <comment ref="G126" authorId="0" shapeId="0" xr:uid="{1C47D854-73D5-4670-BCD0-825F25646A18}">
      <text>
        <r>
          <rPr>
            <b/>
            <sz val="9"/>
            <color indexed="81"/>
            <rFont val="Tahoma"/>
            <family val="2"/>
          </rPr>
          <t>แก้ชื่อให้ตรงกับราคาที่ขอ</t>
        </r>
      </text>
    </comment>
    <comment ref="O175" authorId="0" shapeId="0" xr:uid="{CA292703-2F52-49DA-AEF7-7BBEF32F233C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ทดแทนหรือเพิ่ม ปสภ.
</t>
        </r>
      </text>
    </comment>
    <comment ref="G177" authorId="0" shapeId="0" xr:uid="{EA75076F-087C-49A8-94FB-C9E63BB1386A}">
      <text>
        <r>
          <rPr>
            <b/>
            <sz val="9"/>
            <color indexed="81"/>
            <rFont val="Tahoma"/>
            <family val="2"/>
          </rPr>
          <t>แก้ชื่อให้ตรงกับราคาที่ขอ</t>
        </r>
      </text>
    </comment>
    <comment ref="G181" authorId="0" shapeId="0" xr:uid="{639865A2-BE45-4132-80D2-A206E1187B17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แบบติดผนัง?
</t>
        </r>
      </text>
    </comment>
    <comment ref="G185" authorId="0" shapeId="0" xr:uid="{7AC6C75C-0AF6-45AE-B328-FB744683E663}">
      <text>
        <r>
          <rPr>
            <b/>
            <sz val="9"/>
            <color indexed="81"/>
            <rFont val="Tahoma"/>
            <family val="2"/>
          </rPr>
          <t>แก้ชื่อให้ตรงกับราคาที่ขอ</t>
        </r>
      </text>
    </comment>
    <comment ref="Q186" authorId="0" shapeId="0" xr:uid="{79EAC441-0490-49DC-8A6F-4AF93FBC8B24}">
      <text>
        <r>
          <rPr>
            <b/>
            <sz val="9"/>
            <color indexed="81"/>
            <rFont val="Tahoma"/>
            <family val="2"/>
          </rPr>
          <t>ทดแทน 10 เครื่องมั้ย?</t>
        </r>
      </text>
    </comment>
    <comment ref="T186" authorId="0" shapeId="0" xr:uid="{1859C721-247D-4EE1-A1F5-19538E4B8D61}">
      <text>
        <r>
          <rPr>
            <sz val="9"/>
            <color indexed="81"/>
            <rFont val="Tahoma"/>
            <family val="2"/>
          </rPr>
          <t xml:space="preserve">ไม่มีราคานี้
</t>
        </r>
      </text>
    </comment>
    <comment ref="T189" authorId="0" shapeId="0" xr:uid="{307BD8DC-473D-4D7D-8D58-B7BC1E15960A}">
      <text>
        <r>
          <rPr>
            <b/>
            <sz val="9"/>
            <color indexed="81"/>
            <rFont val="Tahoma"/>
            <family val="2"/>
          </rPr>
          <t xml:space="preserve">ราคาเท่าไหร่
</t>
        </r>
      </text>
    </comment>
    <comment ref="T190" authorId="0" shapeId="0" xr:uid="{D1C3573A-6215-4668-9A62-A09FCE59BC25}">
      <text>
        <r>
          <rPr>
            <b/>
            <sz val="9"/>
            <color indexed="81"/>
            <rFont val="Tahoma"/>
            <family val="2"/>
          </rPr>
          <t>ราคาเท่าไหร่</t>
        </r>
      </text>
    </comment>
    <comment ref="Q192" authorId="0" shapeId="0" xr:uid="{F29123E7-5591-45B0-9EC3-90B80D0BBE9D}">
      <text>
        <r>
          <rPr>
            <sz val="9"/>
            <color indexed="81"/>
            <rFont val="Tahoma"/>
            <family val="2"/>
          </rPr>
          <t xml:space="preserve">ทดแทนหรือเพิ่ม
</t>
        </r>
      </text>
    </comment>
    <comment ref="R200" authorId="0" shapeId="0" xr:uid="{711F4814-08B4-42DB-B1D5-828711B367F9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เพิ่ม ปสภ แต่เหตุผลทดแทน
</t>
        </r>
      </text>
    </comment>
    <comment ref="T200" authorId="0" shapeId="0" xr:uid="{360423F1-2649-4CCB-BD7F-F70C66EFDB8F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ราคาไม่ตรง</t>
        </r>
      </text>
    </comment>
    <comment ref="R201" authorId="0" shapeId="0" xr:uid="{E1F46429-1107-4776-8CC5-9559F1D8737D}">
      <text>
        <r>
          <rPr>
            <b/>
            <sz val="9"/>
            <color indexed="81"/>
            <rFont val="Tahoma"/>
            <family val="2"/>
          </rPr>
          <t>เพิ่ม ปสภ แต่มีเลขครุภัณฑ์</t>
        </r>
      </text>
    </comment>
    <comment ref="T201" authorId="0" shapeId="0" xr:uid="{EF77595B-303A-4380-8708-9878EB672F8A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ราคาไม่ตรง</t>
        </r>
      </text>
    </comment>
    <comment ref="G202" authorId="0" shapeId="0" xr:uid="{11712E06-E115-4ED3-99F0-D863C2385BD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ซ้ำ 2 เครื่อง</t>
        </r>
      </text>
    </comment>
    <comment ref="O202" authorId="0" shapeId="0" xr:uid="{76A1DEF2-BEB3-44A3-AFA6-4CE4FE98F768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
</t>
        </r>
      </text>
    </comment>
    <comment ref="O203" authorId="0" shapeId="0" xr:uid="{80254AC1-E43E-4F21-8BD0-E42CE65E47EE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นอบมาตรฐาน?</t>
        </r>
      </text>
    </comment>
    <comment ref="G206" authorId="0" shapeId="0" xr:uid="{3A311C39-04B7-47B0-89FA-104C15E73FFD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คนละเครื่อง?</t>
        </r>
      </text>
    </comment>
    <comment ref="O218" authorId="0" shapeId="0" xr:uid="{23AC2467-FACA-44B5-BEA6-BF4924B6F8D8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</t>
        </r>
      </text>
    </comment>
    <comment ref="R225" authorId="0" shapeId="0" xr:uid="{38D67BA8-BFF8-4803-BE8F-642FEB896312}">
      <text>
        <r>
          <rPr>
            <b/>
            <sz val="9"/>
            <color indexed="81"/>
            <rFont val="Tahoma"/>
            <family val="2"/>
          </rPr>
          <t>ทดแทนหรือเพิ่ม</t>
        </r>
      </text>
    </comment>
    <comment ref="T232" authorId="0" shapeId="0" xr:uid="{0FA18DF0-97A3-437D-8F73-4DDD8D624E2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43100</t>
        </r>
      </text>
    </comment>
    <comment ref="T233" authorId="0" shapeId="0" xr:uid="{25DC6520-0835-4026-B4C0-97904B48865D}">
      <text>
        <r>
          <rPr>
            <b/>
            <sz val="9"/>
            <color indexed="81"/>
            <rFont val="Tahoma"/>
            <family val="2"/>
          </rPr>
          <t>ราคาไม่ตรงในมาตรฐาน</t>
        </r>
      </text>
    </comment>
    <comment ref="T235" authorId="0" shapeId="0" xr:uid="{6F96A797-BB3D-48AA-A608-BA4EAC44C04F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48600</t>
        </r>
      </text>
    </comment>
    <comment ref="P238" authorId="0" shapeId="0" xr:uid="{0883B181-F74D-4875-BDDA-1942D2EB61A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ในมาตรฐานมั้ย
</t>
        </r>
      </text>
    </comment>
    <comment ref="G243" authorId="0" shapeId="0" xr:uid="{1C59D6B1-19E4-4AAE-99C7-1159FBB4181D}">
      <text>
        <r>
          <rPr>
            <b/>
            <sz val="9"/>
            <color indexed="81"/>
            <rFont val="Tahoma"/>
            <family val="2"/>
          </rPr>
          <t xml:space="preserve">แก้ชื่อให้ตรงกับราคาที่ขอ
</t>
        </r>
      </text>
    </comment>
    <comment ref="G244" authorId="0" shapeId="0" xr:uid="{0DF52C45-FC0A-431F-8832-A2F9BC746CCD}">
      <text>
        <r>
          <rPr>
            <b/>
            <sz val="9"/>
            <color indexed="81"/>
            <rFont val="Tahoma"/>
            <family val="2"/>
          </rPr>
          <t>แก้ชื่อให้ตรงกับมาตรฐาน</t>
        </r>
      </text>
    </comment>
    <comment ref="R252" authorId="0" shapeId="0" xr:uid="{6AC4A189-E724-41E7-81F2-7388298B5DB5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ทดแทนหรือเพิ่ม</t>
        </r>
      </text>
    </comment>
    <comment ref="S254" authorId="0" shapeId="0" xr:uid="{E4EC2E3B-C0BD-4443-89D0-BBB2186EED1F}">
      <text>
        <r>
          <rPr>
            <b/>
            <sz val="9"/>
            <color indexed="81"/>
            <rFont val="Tahoma"/>
            <family val="2"/>
          </rPr>
          <t xml:space="preserve">ทดแทนหรือเพิ่ม
</t>
        </r>
      </text>
    </comment>
    <comment ref="P259" authorId="0" shapeId="0" xr:uid="{8B0917A4-4208-4915-BBFF-C2EB38735946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นอกมาตรฐานเหรอ</t>
        </r>
      </text>
    </comment>
    <comment ref="O264" authorId="0" shapeId="0" xr:uid="{5382263C-5AE3-4A0E-BB27-71516F3A7EE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นอกมาตรฐานมั้ย</t>
        </r>
      </text>
    </comment>
    <comment ref="O266" authorId="0" shapeId="0" xr:uid="{EF8A27A0-FD43-4E82-8B41-1D74346E92A5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</t>
        </r>
      </text>
    </comment>
    <comment ref="O287" authorId="0" shapeId="0" xr:uid="{F27EB81D-BDF2-490D-86F7-C232B1260440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</t>
        </r>
      </text>
    </comment>
    <comment ref="O288" authorId="0" shapeId="0" xr:uid="{DFF62C07-2B89-4AAA-BC6F-0458EC5ECB2F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</t>
        </r>
      </text>
    </comment>
    <comment ref="O290" authorId="0" shapeId="0" xr:uid="{038A42DE-287F-4542-B601-F1079989DBF7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</t>
        </r>
      </text>
    </comment>
    <comment ref="O291" authorId="0" shapeId="0" xr:uid="{9F627AB6-600B-4909-AA68-36B00B148BB2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นอกมาตรฐาน?</t>
        </r>
      </text>
    </comment>
    <comment ref="R348" authorId="0" shapeId="0" xr:uid="{9CF6682E-7328-4B61-961C-6F847182CA53}">
      <text>
        <r>
          <rPr>
            <b/>
            <sz val="9"/>
            <color indexed="81"/>
            <rFont val="Tahoma"/>
            <family val="2"/>
          </rPr>
          <t>Acer:</t>
        </r>
        <r>
          <rPr>
            <sz val="9"/>
            <color indexed="81"/>
            <rFont val="Tahoma"/>
            <family val="2"/>
          </rPr>
          <t xml:space="preserve">
ทดแทน?
</t>
        </r>
      </text>
    </comment>
    <comment ref="C389" authorId="0" shapeId="0" xr:uid="{DB10DA4A-0D81-4607-AC1D-8A8B00BBACC3}">
      <text>
        <r>
          <rPr>
            <b/>
            <sz val="9"/>
            <color indexed="81"/>
            <rFont val="Tahoma"/>
            <family val="2"/>
          </rPr>
          <t>แก้แล้วจากงานครัวเป็นเกษตร</t>
        </r>
      </text>
    </comment>
    <comment ref="G390" authorId="0" shapeId="0" xr:uid="{169ABBDC-1BB0-42FE-B256-9D61B30BE0C2}">
      <text>
        <r>
          <rPr>
            <b/>
            <sz val="9"/>
            <color indexed="81"/>
            <rFont val="Tahoma"/>
            <family val="2"/>
          </rPr>
          <t>แก้ให้ชื่อตรงในมาตรฐาน</t>
        </r>
      </text>
    </comment>
    <comment ref="L391" authorId="0" shapeId="0" xr:uid="{109A2F5B-B888-438C-AF46-54E06B647C52}">
      <text>
        <r>
          <rPr>
            <b/>
            <sz val="9"/>
            <color indexed="81"/>
            <rFont val="Tahoma"/>
            <family val="2"/>
          </rPr>
          <t>ควรปัดยอดขึ้นมั้ย?</t>
        </r>
      </text>
    </comment>
    <comment ref="P391" authorId="0" shapeId="0" xr:uid="{B3689642-946A-4356-BE71-DD9ACA978C8C}">
      <text>
        <r>
          <rPr>
            <b/>
            <sz val="9"/>
            <color indexed="81"/>
            <rFont val="Tahoma"/>
            <family val="2"/>
          </rPr>
          <t>แก้แล้วจากในเป็นนอกมาตรฐาน</t>
        </r>
      </text>
    </comment>
    <comment ref="N392" authorId="0" shapeId="0" xr:uid="{8AE404A3-25C0-483A-9424-7AD6473EF728}">
      <text>
        <r>
          <rPr>
            <b/>
            <sz val="9"/>
            <color indexed="81"/>
            <rFont val="Tahoma"/>
            <family val="2"/>
          </rPr>
          <t>แก้จากห้องเป็นชุด</t>
        </r>
      </text>
    </comment>
    <comment ref="R392" authorId="0" shapeId="0" xr:uid="{FCB90347-9F86-48A5-8D17-B11C466F4465}">
      <text>
        <r>
          <rPr>
            <b/>
            <sz val="9"/>
            <color indexed="81"/>
            <rFont val="Tahoma"/>
            <family val="2"/>
          </rPr>
          <t xml:space="preserve">ทดแทนหรือเพิ่ม ปสภ?
</t>
        </r>
      </text>
    </comment>
    <comment ref="G401" authorId="0" shapeId="0" xr:uid="{9B05709A-05AB-42D5-8D6F-2CB8F7E5E315}">
      <text>
        <r>
          <rPr>
            <b/>
            <sz val="9"/>
            <color indexed="81"/>
            <rFont val="Tahoma"/>
            <family val="2"/>
          </rPr>
          <t>ชื่อไม่ตรงกับใบเสนอราคา</t>
        </r>
      </text>
    </comment>
    <comment ref="G402" authorId="0" shapeId="0" xr:uid="{5EA17113-BF9B-4167-AD59-A2267195FCD2}">
      <text>
        <r>
          <rPr>
            <b/>
            <sz val="9"/>
            <color indexed="81"/>
            <rFont val="Tahoma"/>
            <family val="2"/>
          </rPr>
          <t>แก้ชื่อให้ตรงในมาตรฐาน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415" authorId="0" shapeId="0" xr:uid="{C0F704EA-E572-4298-82AB-E8E6F01ECFAC}">
      <text>
        <r>
          <rPr>
            <sz val="9"/>
            <color indexed="81"/>
            <rFont val="Tahoma"/>
            <family val="2"/>
          </rPr>
          <t>แก้แล้ว จากสำนักงานเป็นงานครัว</t>
        </r>
      </text>
    </comment>
    <comment ref="G415" authorId="0" shapeId="0" xr:uid="{E691E108-C3CF-4E1C-9059-A9D3432C651C}">
      <text>
        <r>
          <rPr>
            <b/>
            <sz val="9"/>
            <color indexed="81"/>
            <rFont val="Tahoma"/>
            <family val="2"/>
          </rPr>
          <t>แก้ให้ชื่อตรงในมาตรฐาน</t>
        </r>
      </text>
    </comment>
    <comment ref="P416" authorId="0" shapeId="0" xr:uid="{26067FA7-9F5B-4953-8623-A380A8DDE7B4}">
      <text>
        <r>
          <rPr>
            <b/>
            <sz val="9"/>
            <color indexed="81"/>
            <rFont val="Tahoma"/>
            <family val="2"/>
          </rPr>
          <t>เปลี่ยนจากในเป็นนอกมาตรฐาน</t>
        </r>
      </text>
    </comment>
    <comment ref="G417" authorId="0" shapeId="0" xr:uid="{1CF18500-0AB1-4EEE-9251-F645A056840E}">
      <text>
        <r>
          <rPr>
            <b/>
            <sz val="9"/>
            <color indexed="81"/>
            <rFont val="Tahoma"/>
            <family val="2"/>
          </rPr>
          <t xml:space="preserve">แก้ชื่อให้ตรงตามมาตรฐาน
</t>
        </r>
      </text>
    </comment>
    <comment ref="C418" authorId="0" shapeId="0" xr:uid="{A764077C-D080-4021-B518-7B997DBA3B6C}">
      <text>
        <r>
          <rPr>
            <b/>
            <sz val="9"/>
            <color indexed="81"/>
            <rFont val="Tahoma"/>
            <family val="2"/>
          </rPr>
          <t>แก้จากเกษตรเป็นงานครัว</t>
        </r>
      </text>
    </comment>
    <comment ref="G418" authorId="0" shapeId="0" xr:uid="{90EB2AF4-C06F-4195-8E60-12F45CADF646}">
      <text>
        <r>
          <rPr>
            <b/>
            <sz val="9"/>
            <color indexed="81"/>
            <rFont val="Tahoma"/>
            <family val="2"/>
          </rPr>
          <t>แก้ชื่อให้ตรงกับมาตรฐาน</t>
        </r>
      </text>
    </comment>
    <comment ref="C421" authorId="0" shapeId="0" xr:uid="{ADEECD12-BFA0-4447-B8D8-5BF529B9528B}">
      <text>
        <r>
          <rPr>
            <b/>
            <sz val="9"/>
            <color indexed="81"/>
            <rFont val="Tahoma"/>
            <family val="2"/>
          </rPr>
          <t>เปลี่ยนจากสำนักงานเป็นงานครัว</t>
        </r>
      </text>
    </comment>
    <comment ref="L422" authorId="0" shapeId="0" xr:uid="{F33E038F-AE7A-4003-83ED-710B8B70C53A}">
      <text>
        <r>
          <rPr>
            <sz val="9"/>
            <color indexed="81"/>
            <rFont val="Tahoma"/>
            <family val="2"/>
          </rPr>
          <t xml:space="preserve">แก้ให้ตรงกับราคากลาง
</t>
        </r>
      </text>
    </comment>
    <comment ref="P422" authorId="0" shapeId="0" xr:uid="{3C75ED78-2C68-4B24-8AB4-5B4C7323D255}">
      <text>
        <r>
          <rPr>
            <b/>
            <sz val="9"/>
            <color indexed="81"/>
            <rFont val="Tahoma"/>
            <family val="2"/>
          </rPr>
          <t>แก้จากในเป็นนอกมาตรฐาน</t>
        </r>
      </text>
    </comment>
    <comment ref="T422" authorId="0" shapeId="0" xr:uid="{A3B6D757-8E6D-4A59-9BF7-E72784BB8E8C}">
      <text>
        <r>
          <rPr>
            <b/>
            <sz val="9"/>
            <color indexed="81"/>
            <rFont val="Tahoma"/>
            <family val="2"/>
          </rPr>
          <t>1498000</t>
        </r>
      </text>
    </comment>
    <comment ref="L425" authorId="0" shapeId="0" xr:uid="{18B4608C-5FD8-48C7-BA05-7C60F7EA7A58}">
      <text>
        <r>
          <rPr>
            <b/>
            <sz val="9"/>
            <color indexed="81"/>
            <rFont val="Tahoma"/>
            <family val="2"/>
          </rPr>
          <t>ควรปัดยอดขึ้นมั้ย?</t>
        </r>
      </text>
    </comment>
    <comment ref="C426" authorId="0" shapeId="0" xr:uid="{489CE584-5362-4D3A-85BB-2C9A011BAA0C}">
      <text>
        <r>
          <rPr>
            <b/>
            <sz val="9"/>
            <color indexed="81"/>
            <rFont val="Tahoma"/>
            <family val="2"/>
          </rPr>
          <t>โฆษณา?</t>
        </r>
      </text>
    </comment>
    <comment ref="C427" authorId="0" shapeId="0" xr:uid="{6A905CAF-C865-4174-90DC-2EDF49EF63DE}">
      <text>
        <r>
          <rPr>
            <b/>
            <sz val="9"/>
            <color indexed="81"/>
            <rFont val="Tahoma"/>
            <family val="2"/>
          </rPr>
          <t>โฆษณา?</t>
        </r>
      </text>
    </comment>
    <comment ref="P428" authorId="0" shapeId="0" xr:uid="{D65B4ADF-7DD6-4E80-B757-601090C2DC60}">
      <text>
        <r>
          <rPr>
            <b/>
            <sz val="9"/>
            <color indexed="81"/>
            <rFont val="Tahoma"/>
            <family val="2"/>
          </rPr>
          <t>เปลี่ยนจากในเป็นนอกมาตรฐาน</t>
        </r>
      </text>
    </comment>
    <comment ref="C429" authorId="0" shapeId="0" xr:uid="{7CB7E9D0-2E8A-4578-91F6-44D7DFF602D5}">
      <text>
        <r>
          <rPr>
            <b/>
            <sz val="9"/>
            <color indexed="81"/>
            <rFont val="Tahoma"/>
            <family val="2"/>
          </rPr>
          <t>แก้จากสำนักงานเป็นเผยแพร่</t>
        </r>
      </text>
    </comment>
    <comment ref="C430" authorId="0" shapeId="0" xr:uid="{4505D91F-7C48-4928-957E-BAFC1DC11DAC}">
      <text>
        <r>
          <rPr>
            <b/>
            <sz val="9"/>
            <color indexed="81"/>
            <rFont val="Tahoma"/>
            <family val="2"/>
          </rPr>
          <t>แก้จากสำนักงานเป็นเผยแพร่</t>
        </r>
      </text>
    </comment>
    <comment ref="C431" authorId="0" shapeId="0" xr:uid="{E5A8A07D-BE5D-4EC1-94C3-3E33E3524D09}">
      <text>
        <r>
          <rPr>
            <sz val="9"/>
            <color indexed="81"/>
            <rFont val="Tahoma"/>
            <family val="2"/>
          </rPr>
          <t>แก้จากสำนักงานเป็นเผยแพร่</t>
        </r>
      </text>
    </comment>
    <comment ref="Q431" authorId="0" shapeId="0" xr:uid="{DEF8C01E-B38B-4B9A-B902-72BB38A749BC}">
      <text>
        <r>
          <rPr>
            <b/>
            <sz val="9"/>
            <color indexed="81"/>
            <rFont val="Tahoma"/>
            <family val="2"/>
          </rPr>
          <t>แก้จากเพิ่ม ปสภ เป็นทดแทน</t>
        </r>
      </text>
    </comment>
    <comment ref="C432" authorId="0" shapeId="0" xr:uid="{01EDADE6-44D5-4179-80F9-D1D0DDDB96A2}">
      <text>
        <r>
          <rPr>
            <b/>
            <sz val="9"/>
            <color indexed="81"/>
            <rFont val="Tahoma"/>
            <family val="2"/>
          </rPr>
          <t>โฆษณา?</t>
        </r>
      </text>
    </comment>
    <comment ref="T432" authorId="0" shapeId="0" xr:uid="{36B69382-9FB0-4764-A9F5-DE0714990513}">
      <text>
        <r>
          <rPr>
            <b/>
            <sz val="9"/>
            <color indexed="81"/>
            <rFont val="Tahoma"/>
            <family val="2"/>
          </rPr>
          <t>ราคาไม่ตรงกับใบเสนอราคา</t>
        </r>
      </text>
    </comment>
  </commentList>
</comments>
</file>

<file path=xl/sharedStrings.xml><?xml version="1.0" encoding="utf-8"?>
<sst xmlns="http://schemas.openxmlformats.org/spreadsheetml/2006/main" count="19483" uniqueCount="1946">
  <si>
    <t>รายการครุภัณฑ์ลงจังหวัด (สป.พม.) ครุภัณฑ์ ประจำปีงบประมาณ พ.ศ. 2569</t>
  </si>
  <si>
    <t>ภาค</t>
  </si>
  <si>
    <t>จังหวัด</t>
  </si>
  <si>
    <t>หมวดครุภัณฑ์</t>
  </si>
  <si>
    <t>รายการ</t>
  </si>
  <si>
    <t>หน่วยงานที่ขอ</t>
  </si>
  <si>
    <t>จำนวน</t>
  </si>
  <si>
    <t>งบประมาณ</t>
  </si>
  <si>
    <t>รวมทั้งสิ้น</t>
  </si>
  <si>
    <t>ภาคเหนือ</t>
  </si>
  <si>
    <t>ภาคตะวันออกเฉียงเหนือ</t>
  </si>
  <si>
    <t>ภาคกลาง (รวมภาคตะวันออกและตะวันตก)</t>
  </si>
  <si>
    <t>ภาคใต้</t>
  </si>
  <si>
    <t>เหนือ</t>
  </si>
  <si>
    <t>เชียงราย</t>
  </si>
  <si>
    <t>รวม</t>
  </si>
  <si>
    <t>สำนักงาน</t>
  </si>
  <si>
    <t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สำนักงานพัฒนาสังคมและความมั่นคงของมนุษย์จังหวัดเชียงราย ตำบลริมกก อำเภอเมืองเชียงราย จังหวัดเชียงราย</t>
  </si>
  <si>
    <t>พมจ.เชียงราย</t>
  </si>
  <si>
    <t>งานบ้านงานครัว</t>
  </si>
  <si>
    <t>ตู้แช่อาหาร ขนาด 20 คิวบิกฟุต สถานคุ้มครองสวัสดิภาพผู้เสียหายจากการค้ามนุษย์จังหวัดเชียงราย ตำบลเวียงเหนือ อำเภอเวียงชัย จังหวัดเชียงราย</t>
  </si>
  <si>
    <t>สคม.เชียงราย</t>
  </si>
  <si>
    <t>เชียงใหม่</t>
  </si>
  <si>
    <t>เครื่องทำลายเอกสาร แบบตัดละเอียด ทำลายครั้งละ 30 แผ่น สำนักงานพัฒนาสังคมและความมั่นคงของมนุษย์จังหวัดเชียงใหม่ ตำบลช้างเผือก อำเภอเมืองเชียงใหม่ จังหวัดเชียงใหม่</t>
  </si>
  <si>
    <t>พมจ.เชียงใหม่</t>
  </si>
  <si>
    <t>เครื่องปรับอากาศ แบบแยกส่วน แบบตั้งพื้นหรือแบบแขวน ขนาด 24,000 บีทียู สำนักงานส่งเสริมและสนับสนุนวิชาการ 9 ตำบลช้างเผือก อำเภอเมืองเชียงใหม่ จังหวัดเชียงใหม่</t>
  </si>
  <si>
    <t>สสว.9</t>
  </si>
  <si>
    <t>น่าน</t>
  </si>
  <si>
    <t>เครื่องทำลายเอกสาร แบบตัดละเอียด ทำลายครั้งละ 30 แผ่น สำนักงานพัฒนาสังคมและความมั่นคงของมนุษย์จังหวัดน่าน ตำบลไชยสถาน อำเภอเมืองน่าน จังหวัดน่าน</t>
  </si>
  <si>
    <t>พมจ.น่าน</t>
  </si>
  <si>
    <t>แม่ฮ่องสอน</t>
  </si>
  <si>
    <t>ยานพาหนะและขนส่ง</t>
  </si>
  <si>
    <t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สำนักงานพัฒนาสังคมและความมั่นคงของมนุษย์จังหวัดแม่ฮ่องสอน ตำบลจองคำ อำเภอเมืองแม่ฮ่องสอน จังหวัดแม่ฮ่องสอน</t>
  </si>
  <si>
    <t>พมจ.แม่ฮ่องสอน</t>
  </si>
  <si>
    <t>อุตรดิตถ์</t>
  </si>
  <si>
    <t>รถบรรทุก (ดีเซล) 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สำนักงานส่งเสริมและสนับสนุนวิชาการ 8 ตำบลผาเลือด อำเภอท่าปลา จังหวัดอุตรดิตถ์</t>
  </si>
  <si>
    <t>สสว.8</t>
  </si>
  <si>
    <t>เครื่องปรับอากาศ แบบแยกส่วน แบบตั้งพื้นหรือแบบแขวน ขนาด 30,000 บีทียู สำนักงานส่งเสริมและสนับสนุนวิชาการ 8 ตำบลผาเลือด อำเภอท่าปลา จังหวัดอุตรดิตถ์</t>
  </si>
  <si>
    <t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สำนักงานพัฒนาสังคมและความมั่นคงของมนุษย์จังหวัดอุตรดิตถ์ ตำบลท่าอิฐ อำเภอเมืองอุตรดิตถ์ จังหวัดอุตรดิตถ์</t>
  </si>
  <si>
    <t>พมจ.อุตรดิตถ์</t>
  </si>
  <si>
    <t>ตะวันออกเฉียงเหนือ</t>
  </si>
  <si>
    <t>กาฬสินธุ์</t>
  </si>
  <si>
    <t>รถโดยสารขนาด 12 ที่นั่ง (ดีเซล) ปริมาตรกระบอกสูบไม่น้อยกว่า 2,400 ซีซี หรือกำลังเครื่องยนต์สูงสุดไม่ต่ำกว่า 90 กิโลวัตต์ สำนักงานส่งเสริมและสนับสนุนวิชาการ 6 ตำบลภูดิน อำเภอเมืองกาฬสินธุ์ จังหวัดกาฬสินธุ์</t>
  </si>
  <si>
    <t>สสว.6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</si>
  <si>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สำนักงานพัฒนาสังคมและความมั่นคงของมนุษย์จังหวัดกาฬสินธุ์ ตำบลกาฬสินธุ์ อำเภอเมืองกาฬสินธุ์ จังหวัดกาฬสินธุ์</t>
  </si>
  <si>
    <t>พมจ.กาฬสินธุ์</t>
  </si>
  <si>
    <t>นครราชสีมา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</si>
  <si>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พร้อมหลังคาไฟเบอ์กลาสหรือเหล็ก สำนักงานส่งเสริมและสนับสนุนวิชาการ 4 ตำบลนิคมสร้างตนเอง อำเภอพิมาย จังหวัดนครราชสีมา</t>
  </si>
  <si>
    <t>สสว.4</t>
  </si>
  <si>
    <t>เครื่องปรับอากาศ แบบแยกส่วน แบบตั้งพื้นหรือแบบแขวน ขนาด 20,000 บีทียู สำนักงานพัฒนาสังคมและความมั่นคงของมนุษย์จังหวัดนครราชสีมา ตำบลในเมือง อำเภอเมืองนครราชสีมา จังหวัดนครราชสีมา</t>
  </si>
  <si>
    <t>พมจ.นครราชสีมา</t>
  </si>
  <si>
    <t>ยโสธร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</si>
  <si>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สำนักงานพัฒนาสังคมและความมั่นคงของมนุษย์จังหวัดยโสธร ตำบลในเมือง อำเภอเมืองยโสธร จังหวัดยโสธร</t>
  </si>
  <si>
    <t>พมจ.ยโสธร</t>
  </si>
  <si>
    <t>เลย</t>
  </si>
  <si>
    <t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สำนักงานพัฒนาสังคมและความมั่นคงของมนุษย์จังหวัดเลย ตำบลกุดป่อง อำเภอเมืองเลย จังหวัดเลย</t>
  </si>
  <si>
    <t>พมจ.เลย</t>
  </si>
  <si>
    <t>อำนาจเจริญ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</si>
  <si>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สำนักงานพัฒนาสังคมและความมั่นคงของมนุษย์จังหวัดอำนาจเจริญ ตำบลโนนหนามแท่ง อำเภอเมืองอำนาจเจริญ จังหวัดอำนาจเจริญ</t>
  </si>
  <si>
    <t>พมจ.อำนาจเจริญ</t>
  </si>
  <si>
    <t>อุบลราชธานี</t>
  </si>
  <si>
    <t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สำนักงานพัฒนาสังคมและความมั่นคงของมนุษย์จังหวัดอุบลราชธานี ตำบลแจระแม อำเภอเมืองอุบลราชธานี จังหวัดอุบลราชธานี</t>
  </si>
  <si>
    <t>พมจ.อุบลราชธานี</t>
  </si>
  <si>
    <t>กลาง</t>
  </si>
  <si>
    <t>กรุงเทพมหานคร</t>
  </si>
  <si>
    <t>รถนั่งส่วนกลาง รถยนต์ไฟฟ้า ประเภทแบตเตอรี่ (BEV) ที่มีขนาดความจุของแบตเตอรี่มากกว่า 60 กิโลวัตต์ชั่วโมง (kWh) และกำลังมอเตอร์ไฟฟ้าสูงสุดไม่เกิน 150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</si>
  <si>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กก.</t>
  </si>
  <si>
    <t>รถนั่งส่วนกลาง รถยนต์ไฟฟ้า ประเภทผสมหรือไฮบริด (HEV) ปริมาตรกระบอกสูบไม่เกิน 2,000 ซีซี หรือกำลังเครื่องยนต์สูงสุดไม่ต่ำกว่า 60 กิโลวัตต์ และกำลังมอเตอร์ไฟฟ้าสูงสุดไม่เกิน 115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</si>
  <si>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สร.</t>
  </si>
  <si>
    <t>กยผ.</t>
  </si>
  <si>
    <t>กคม.</t>
  </si>
  <si>
    <t>เครื่องทำลายเอกสาร แบบตัดตรง ทำลายครั้งละ 30 แผ่น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</si>
  <si>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ระบบควบคุมการเข้า-ออก อาคารที่ทำการกระทรวงการพัฒนาสังคมและความมั่นคงของมนุษย์ พร้อมติดตั้ง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</si>
  <si>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ไฟฟ้าและวิทยุ</t>
  </si>
  <si>
    <t>เครื่องประจุไฟฟ้าแบบติดผนังสำหรับรถยนต์ไฟฟ้า (EV Wall Charger) PTT EV Wall Charger รุ่น 22 kW Smart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</si>
  <si>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คอมพิวเตอร์</t>
  </si>
  <si>
    <t>อุปกรณ์ป้องกันเครือข่าย (Next Generation Firewall)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</si>
  <si>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ศทส.</t>
  </si>
  <si>
    <t>อุปกรณ์ป้องกันเครือข่าย (Next Generation Firewall) แบบที่ 2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</si>
  <si>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อุปกรณ์กระจายสัญญาณ Layer 2 ความเร็วไม่น้อยกว่า 10 Gbps แบบ SFP+ ขนาด 24 ช่อง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</si>
  <si>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อุปกรณ์กระจายสัญญาณไร้สาย (Access Point) แบบที่ 2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</si>
  <si>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อุปกรณ์กระจายสัญญาณ (L2 Switch) ขนาด 24 ช่อง แบบที่ 2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</si>
  <si>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อุปกรณ์สำหรับจัดเก็บข้อมูลแบบ NAS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</si>
  <si>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เครื่องสำรองไฟฟ้า ขนาด 2 kVA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</si>
  <si>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อุปกรณ์บริหารจัดการอุปกรณ์ป้องกันเครือข่าย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</si>
  <si>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ระบบบริหารจัดการบัญชีผู้ใช้งานและตรวจสอบการเข้าถึงระบบเครือข่ายคอมพิวเตอร์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</si>
  <si>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เครื่องคอมพิวเตอร์ สำหรับงานประมวลผลแบบที่ 1 (จอแสดงภาพขนาดไม่น้อยกว่า 19 นิ้ว) พร้อมชุดโปรแกรมระบบปฏิบัติการ และเครื่องสำรองไฟฟ้า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</si>
  <si>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เครื่องคอมพิวเตอร์ สำหรับงานประมวลผลแบบที่ 2 (จอแสดงภาพขนาดไม่น้อยกว่า 19 นิ้ว) พร้อมชุดโปรแกรมระบบปฏิบัติการ และเครื่องสำรองไฟฟ้า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</si>
  <si>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เครื่องคอมพิวเตอร์ All In One สำหรับงานประมวลผล พร้อมชุดโปรแกรมปฏิบัติการ และเครื่องสำรองไฟ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</si>
  <si>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เครื่องคอมพิวเตอร์โน้ตบุ๊ก สำหรับงานประมวลผล พร้อมชุดโปรแกรมระบบปฏิบัติการ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</si>
  <si>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เครื่องพิมพ์ เลเซอร์ หรือ LED ขาวดำ ชนิด Network แบบที่ 1 (28 หน้า/นาที)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</si>
  <si>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เครื่องพิมพ์ เลเซอร์ หรือ LED สี ชนิด Network แบบที่ 1 (20 หน้า/นาที)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</si>
  <si>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เครื่องพิมพ์ Multifunction เลเซอร์ หรือ LED ขาวดำ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</si>
  <si>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เครื่องพิมพ์ Multifunction เลเซอร์ หรือ LED สี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</si>
  <si>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สแกนเนอร์ สำหรับงานเก็บเอกสารระดับศูนย์บริการ แบบที่ 1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</si>
  <si>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ชุดโปรแกรมจัดการสำนักงาน แบบที่ 3 ที่มีลิขสิทธิ์ถูกต้องตามกฎหมาย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</si>
  <si>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ชุดลำโพงพร้อมไมโครโฟนสำหรับการประชุมทางไกลออนไลน์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</si>
  <si>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กล้องวิดีโอแบบ PTZ สำหรับการประชุมทางไกลออนไลน์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</si>
  <si>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ทดแทนเว็บไซต์กระทรวงการพัฒนาสังคมและความมั่นคงของมนุษย์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</si>
  <si>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ยกระดับและพัฒนาระบบการคุ้มครองช่วยเหลือสำหรับผู้เสียหายจากการค้ามนุษย์ ผ่าน Mobile Application “PROTECT-U” (PROTECT-U++)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</si>
  <si>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ยกระดับความมั่นคงปลอดภัยทางไซเบอร์ เพื่อป้องกันการเข้าถึงข้อมูลขนาดใหญ่ของกระทรวงการพัฒนาสังคมและความมั่นคงของมนุษย์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</si>
  <si>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ยกระดับการบูรณาการข้อมูลเพื่อการพัฒนาสังคม 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</si>
  <si>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พัฒนาระบบคำของบประมาณและระบบติดตามผล ของกระทรวงการพัฒนาสังคมและความมั่นคงของมนุษย์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</si>
  <si>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ชลบุรี</t>
  </si>
  <si>
    <t>โฆษณาและเผยแพร่</t>
  </si>
  <si>
    <t>ระบบ Video Conference พร้อมระบบเครื่องเสียงสำหรับห้องประชุม สำนักงานส่งเสริมและสนับสนุนวิชาการ 2 ตำบลบางละมุง อำเภอบางละมุง จังหวัดชลบุรี</t>
  </si>
  <si>
    <t>สสว.2</t>
  </si>
  <si>
    <t>นครนายก</t>
  </si>
  <si>
    <t>เครื่องทำลายเอกสาร แบบตัดละเอียด ทำลายครั้งละ 30 แผ่น สำนักงานพัฒนาสังคมและความมั่นคงของมนุษย์จังหวัดนครนายก ตำบลท่าช้าง อำเภอเมืองนครนายก จังหวัดนครนายก</t>
  </si>
  <si>
    <t>พมจ.นครนายก</t>
  </si>
  <si>
    <t>ปทุมธานี</t>
  </si>
  <si>
    <t>รถโดยสารขนาด 12 ที่นั่ง (ดีเซล) ปริมาตรกระบอกสูบไม่น้อยกว่า 2,400 ซีซี หรือกำลังเครื่องยนต์สูงสุดไม่ต่ำกว่า 90 กิโลวัตต์ สำนักงานส่งเสริมและสนับสนุนวิชาการ 1 ตำบลรังสิต อำเภอธัญบุรี จังหวัดปทุมธานี</t>
  </si>
  <si>
    <t>สสว.1</t>
  </si>
  <si>
    <t>ตู้แช่อาหาร ขนาด 45 คิวบิกฟุต สถานคุ้มครองสวัสดิภาพผู้เสียหายจากการค้ามนุษย์จังหวัดปทุมธานี ตำบลรังสิต อำเภอธัญบุรี จังหวัดปทุมธานี</t>
  </si>
  <si>
    <t>สคม.ปทุมธานี</t>
  </si>
  <si>
    <t>ชุดเครื่องเสียงประชุม พร้อมไมโครโฟนห้องประชุม สถานคุ้มครองสวัสดิภาพผู้เสียหายจากการค้ามนุษย์จังหวัดปทุมธานี ตำบลรังสิต อำเภอธัญบุรี จังหวัดปทุมธานี</t>
  </si>
  <si>
    <t>เครื่องปรับอากาศ แบบแยกส่วน แบบตั้งพื้นหรือแบบแขวน ขนาด 36,000 บีทียู สถาบันพระประชาบดี ตำบลรังสิต อำเภอธัญบุรี จังหวัดปทุมธานี</t>
  </si>
  <si>
    <t>สบพ.</t>
  </si>
  <si>
    <t>เครื่องปรับอากาศ แบบแยกส่วน แบบตั้งพื้นหรือแบบแขวน ขนาด 24,000 บีทียู สถาบันพระประชาบดี ตำบลรังสิต อำเภอธัญบุรี จังหวัดปทุมธานี</t>
  </si>
  <si>
    <t>ปราจีนบุรี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</si>
  <si>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สำนักงานพัฒนาสังคมและความมั่นคงของมนุษย์จังหวัดปราจีนบุรี ตำบลบ้านพระ อำเภอเมืองปราจีนบุรี จังหวัดปราจีนบุรี</t>
  </si>
  <si>
    <t>พมจ.ปราจีนบุรี</t>
  </si>
  <si>
    <t>พระนครศรีอยุธยา</t>
  </si>
  <si>
    <t>เครื่องปรับอากาศ แบบแยกส่วน แบบตั้งพื้นหรือแบบแขวน ขนาด 20,000 บีทียู สำนักงานพัฒนาสังคมและความมั่นคงของมนุษย์จังหวัดพระนครศรีอยุธยา ตำบลคลองสวนพลู อำเภอพระนครศรีอยุธยา จังหวัดพระนครศรีอยุธยา</t>
  </si>
  <si>
    <t>พมจ.พระนครศรีอยุธยา</t>
  </si>
  <si>
    <t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สำนักงานพัฒนาสังคมและความมั่นคงของมนุษย์จังหวัดพระนครศรีอยุธยา ตำบลคลองสวนพลู อำเภอพระนครศรีอยุธยา จังหวัดพระนครศรีอยุธยา</t>
  </si>
  <si>
    <t>พิจิตร</t>
  </si>
  <si>
    <t>เครื่องปรับอากาศ แบบแยกส่วน แบบตั้งพื้นหรือแบบแขวน ขนาด 20,000 บีทียู สำนักงานพัฒนาสังคมและความมั่นคงของมนุษย์จังหวัดพิจิตร ตำบลท่าหลวง อำเภอเมืองพิจิตร จังหวัดพิจิตร</t>
  </si>
  <si>
    <t>พมจ.พิจิตร</t>
  </si>
  <si>
    <t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สำนักงานพัฒนาสังคมและความมั่นคงของมนุษย์จังหวัดพิจิตร ตำบลท่าหลวง อำเภอเมืองพิจิตร จังหวัดพิจิตร</t>
  </si>
  <si>
    <t>พิษณุโลก</t>
  </si>
  <si>
    <t>เครื่องปรับอากาศ แบบแยกส่วน แบบตั้งพื้นหรือแบบแขวน (ระบบ Inverter)  ขนาด 40,000 บีทียู สำนักงานพัฒนาสังคมและความมั่นคงของมนุษย์จังหวัดพิษณุโลก ตำบลในเมือง อำเภอเมืองพิษณุโลก จังหวัดพิษณุโลก</t>
  </si>
  <si>
    <t>พมจ.พิษณุโลก</t>
  </si>
  <si>
    <t>เพชรบุรี</t>
  </si>
  <si>
    <t>เครื่องปรับอากาศ แบบแยกส่วน แบบตั้งพื้นหรือแบบแขวน (ระบบ Inverter)  ขนาด 40,000 บีทียู สำนักงานพัฒนาสังคมและความมั่นคงของมนุษย์จังหวัดเพชรบุรี ตำบลคลองกระแชง อำเภอเมืองเพชรบุรี จังหวัดเพชรบุรี</t>
  </si>
  <si>
    <t>พมจ.เพชรบุรี</t>
  </si>
  <si>
    <t>เพชรบูรณ์</t>
  </si>
  <si>
    <t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สำนักงานพัฒนาสังคมและความมั่นคงของมนุษย์จังหวัดเพชรบูรณ์ ตำบลสะเดียง อำเภอเมืองเพชรบูรณ์ จังหวัดเพชรบูรณ์</t>
  </si>
  <si>
    <t>พมจ.เพชรบูรณ์</t>
  </si>
  <si>
    <t>สมุทรปราการ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</si>
  <si>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สำนักงานพัฒนาสังคมและความมั่นคงของมนุษย์จังหวัดสมุทรปราการ ตำบลปากน้ำ อำเภอเมืองสมุทรปราการ จังหวัดสมุทรปราการ</t>
  </si>
  <si>
    <t>พมจ.สมุทรปราการ</t>
  </si>
  <si>
    <t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สำนักงานพัฒนาสังคมและความมั่นคงของมนุษย์จังหวัดสมุทรปราการ ตำบลปากน้ำ อำเภอเมืองสมุทรปราการ จังหวัดสมุทรปราการ</t>
  </si>
  <si>
    <t>สระแก้ว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</si>
  <si>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สำนักงานพัฒนาสังคมและความมั่นคงของมนุษย์จังหวัดสระแก้ว ตำบลท่าเกษม อำเภอเมืองสระแก้ว จังหวัดสระแก้ว</t>
  </si>
  <si>
    <t>พมจ.สระแก้ว</t>
  </si>
  <si>
    <t>อ่างทอง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</si>
  <si>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สำนักงานพัฒนาสังคมและความมั่นคงของมนุษย์จังหวัดอ่างทอง ตำบลบางแก้ว อำเภอเมืองอ่างทอง จังหวัดอ่างทอง</t>
  </si>
  <si>
    <t>พมจ.อ่างทอง</t>
  </si>
  <si>
    <t>ใต้</t>
  </si>
  <si>
    <t>กระบี่</t>
  </si>
  <si>
    <t>รถโดยสารขนาด 12 ที่นั่ง (ดีเซล) ปริมาตรกระบอกสูบไม่ต่ำกว่า 2400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สำนักงานพัฒนาสังคมและความมั่นคงของมนุษย์จังหวัดกระบี่ ตำบลไสไทย อำเภอเมืองกระบี่ จังหวัดกระบี่</t>
  </si>
  <si>
    <t>พมจ.กระบี่</t>
  </si>
  <si>
    <t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สำนักงานพัฒนาสังคมและความมั่นคงของมนุษย์จังหวัดกระบี่ ตำบลไสไทย อำเภอเมืองกระบี่ จังหวัดกระบี่</t>
  </si>
  <si>
    <t>นราธิวาส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</si>
  <si>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สำนักงานพัฒนาสังคมและความมั่นคงของมนุษย์จังหวัดนราธิวาส ตำบลลำภู อำเภอเมืองนราธิวาส จังหวัดนราธิวาส</t>
  </si>
  <si>
    <t>พมจ.นราธิวาส</t>
  </si>
  <si>
    <t>ภูเก็ต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</si>
  <si>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สำนักงานพัฒนาสังคมและความมั่นคงของมนุษย์จังหวัดภูเก็ต ตำบลตลาดใหญ่ อำเภอเมืองภูเก็ต จังหวัดภูเก็ต</t>
  </si>
  <si>
    <t>พมจ.ภูเก็ต</t>
  </si>
  <si>
    <t>ระนอง</t>
  </si>
  <si>
    <t>เครื่องปรับอากาศ แบบแยกส่วน แบบตั้งพื้นหรือแบบแขวน ขนาด 24,000 บีทียู สถานคุ้มครองสวัสดิภาพผู้เสียหายจากการค้ามนุษย์จังหวัดระนอง ตำบลบางริ้น อำเภอเมืองระนอง จังหวัดระนอง</t>
  </si>
  <si>
    <t>สคม.ระนอง</t>
  </si>
  <si>
    <t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สำนักงานพัฒนาสังคมและความมั่นคงของมนุษย์จังหวัดระนอง ตำบลบางริ้น อำเภอเมืองระนอง จังหวัดระนอง</t>
  </si>
  <si>
    <t>พมจ.ระนอง</t>
  </si>
  <si>
    <t>เครื่องปรับอากาศ แบบแยกส่วน แบบตั้งพื้นหรือแบบแขวน (ระบบ Inverter)  ขนาด 30,000 บีทียู สำนักงานพัฒนาสังคมและความมั่นคงของมนุษย์จังหวัดระนอง ตำบลบางริ้น อำเภอเมืองระนอง จังหวัดระนอง</t>
  </si>
  <si>
    <t>สงขลา</t>
  </si>
  <si>
    <t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สำนักงานพัฒนาสังคมและความมั่นคงของมนุษย์จังหวัดสงขลา ตำบลบ่อยาง อำเภอเมืองสงขลา จังหวัดสงขลา</t>
  </si>
  <si>
    <t>พมจ.สงขลา</t>
  </si>
  <si>
    <t>สตูล</t>
  </si>
  <si>
    <t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สำนักงานพัฒนาสังคมและความมั่นคงของมนุษย์จังหวัดสตูล ตำบลพิมาน อำเภอเมืองสตูล จังหวัดสตูล</t>
  </si>
  <si>
    <t>พมจ.สตูล</t>
  </si>
  <si>
    <t>สุราษฎร์ธานี</t>
  </si>
  <si>
    <t>เครื่องปรับอากาศ แบบแยกส่วน แบบตั้งพื้นหรือแบบแขวน (ระบบ Inverter)  ขนาด 36,000 บีทียู สำนักงานส่งเสริมและสนับสนุนวิชาการ 10 ตำบลขุนทะเล อำเภอเมืองสุราษฎร์ธานี จังหวัดสุราษฎร์ธานี</t>
  </si>
  <si>
    <t>สสว.10</t>
  </si>
  <si>
    <t>รายการครุภัณฑ์ลงจังหวัด (สป.พม.) ที่ดินสิ่งก่อสร้าง ประจำปีงบประมาณ พ.ศ. 2569</t>
  </si>
  <si>
    <t>แพร่</t>
  </si>
  <si>
    <t>ปรับปรุงสิ่งก่อสร้าง</t>
  </si>
  <si>
    <t>ปรับปรุงห้องสำนักงาน พมจ. สำนักงานพัฒนาสังคมและความมั่นคงของมนุษย์จังหวัดแพร่ ตำบลในเวียง อำเภอเมืองแพร่ จังหวัดแพร่</t>
  </si>
  <si>
    <t>พมจ.แพร่</t>
  </si>
  <si>
    <t>ปรับปรุงอาคารสำนักงาน พมจ. สำนักงานพัฒนาสังคมและความมั่นคงของมนุษย์จังหวัดแม่ฮ่องสอน ตำบลจองคำ อำเภอเมืองแม่ฮ่องสอน จังหวัดแม่ฮ่องสอน</t>
  </si>
  <si>
    <t>ขยายเขตพาดสายดับไฟส่องสว่างภายในบริเวณ สำนักงานส่งเสริมและสนับสนุนวิชาการ 6 ตำบลภูดิน อำเภอเมืองกาฬสินธุ์ จังหวัดกาฬสินธุ์</t>
  </si>
  <si>
    <t>นครพนม</t>
  </si>
  <si>
    <t>ก่อสร้าง</t>
  </si>
  <si>
    <t>ก่อสร้างบ้านพักอาศัยและสิ่งปลูกสร้างประกอบ ข้าราชการระดับ 9 /ผอ.ระดับสูง สำนักงานพัฒนาสังคมและความมั่นคงของมนุษย์จังหวัดนครพนม ตำบลในเมือง อำเภอเมืองนครพนม จังหวัดนครพนม</t>
  </si>
  <si>
    <t>พมจ.นครพนม</t>
  </si>
  <si>
    <t>ก่อสร้างบ้านพักอาศัยและสิ่งปลูกสร้างประกอบ ข้าราชการระดับชำนาญการพิเศษ /ผอ.ระดับต้น สำนักงานพัฒนาสังคมและความมั่นคงของมนุษย์จังหวัดนครพนม ตำบลในเมือง อำเภอเมืองนครพนม จังหวัดนครพนม</t>
  </si>
  <si>
    <t>ก่อสร้างอาคารพักอาศัยของข้าราชการ สำนักงานพัฒนาสังคมและความมั่นคงของมนุษย์จังหวัดยโสธร และสิ่งปลูกสร้างประกอบ สำนักงานพัฒนาสังคมและความมั่นคงของมนุษย์จังหวัดยโสธร ตำบลในเมือง อำเภอเมืองยโสธร จังหวัดยโสธร</t>
  </si>
  <si>
    <t>ร้อยเอ็ด</t>
  </si>
  <si>
    <t>ก่อสร้างอาคารบ้านพักข้าราชการ พร้อมสิ่งปลูกสร้างประกอบ  สำนักงานพัฒนาสังคมและความมั่นคงของมนุษย์จังหวัดร้อยเอ็ด ตำบลรอบเมือง อำเภอเมืองร้อยเอ็ด จังหวัดร้อยเอ็ด</t>
  </si>
  <si>
    <t>พมจ.ร้อยเอ็ด</t>
  </si>
  <si>
    <t>ปรับปรุงบ้านพักข้าราชการ ระดับ 1-2 บ้านแฝด 2 ครอบครัว สำนักงานพัฒนาสังคมและความมั่นคงของมนุษย์จังหวัดเลย ตำบลกุดป่อง อำเภอเมืองเลย จังหวัดเลย</t>
  </si>
  <si>
    <t>ปรับปรุงบ้านพักข้าราชการ ระดับ 3-4 สำนักงานพัฒนาสังคมและความมั่นคงของมนุษย์จังหวัดเลย ตำบลกุดป่อง อำเภอเมืองเลย จังหวัดเลย</t>
  </si>
  <si>
    <t>ศรีสะเกษ</t>
  </si>
  <si>
    <t xml:space="preserve">ปรับปรุงซ่อมแซมถนนทางออกสำนักงาน สำนักงานพัฒนาสังคมและความมั่นคงของมนุษย์จังหวัดศรีสะเกษ ตำบลโพธิ์ อำเภอเมืองศรีสะเกษ จังหวัดศรีสะเกษ </t>
  </si>
  <si>
    <t>พมจ.ศรีสะเกษ</t>
  </si>
  <si>
    <t>ปรับปรุงห้องประชุม ห้องรับรอง (ชั้น 9 ) พร้อมติดตั้งระบบ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</si>
  <si>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ปรับปรุงห้องปฏิบัติการด้านประชาสัมพันธ์และสื่อสารองค์กร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</si>
  <si>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กปส.</t>
  </si>
  <si>
    <t>จันทบุรี</t>
  </si>
  <si>
    <t>ก่อสร้างอาคารสำนักงาน พมจ. พร้อมสิ่งก่อสร้างประกอบ  สำนักงานพัฒนาสังคมและความมั่นคงของมนุษย์จังหวัดจันทบุรี  ตำบลท่าช้าง อำเภอเมืองจันทบุรี จังหวัดจันทบุรี</t>
  </si>
  <si>
    <t>พมจ.จันทบุรี</t>
  </si>
  <si>
    <t>นครสวรรค์</t>
  </si>
  <si>
    <t>ปรับปรุงอาคารสำนักงาน พมจ. สำนักงานพัฒนาสังคมและความมั่นคงของมนุษย์จังหวัดนครสวรรค์ ตำบลนครสวรรค์ตก อำเภอเมืองนครสวรรค์ จังหวัดนครสวรรค์</t>
  </si>
  <si>
    <t>พมจ.นครสวรรค์</t>
  </si>
  <si>
    <t>นนทบุรี</t>
  </si>
  <si>
    <t>ปรับปรุงอาคารอเนกประสงค์ (อาคาร ค.ส.ล.2 ชั้น) สถานคุ้มครองสวัสดิภาพผู้เสียหายจากการค้ามนุษย์ (บ้านเกร็ดตระการ) ตำบลเกาะเกร็ด อำเภอปากเกร็ด จังหวัดนนทบุรี</t>
  </si>
  <si>
    <t>สคม.บ้านเกร็ดตระการ</t>
  </si>
  <si>
    <t>ปรับปรุงอาคารพักอาศัยเรือนนอนพารุ่งเรือง สถานคุ้มครองสวัสดิภาพผู้เสียหายจากการค้ามนุษย์ (บ้านเกร็ดตระการ) ตำบลเกาะเกร็ด อำเภอปากเกร็ด จังหวัดนนทบุรี</t>
  </si>
  <si>
    <t>ก่อสร้างอาคารผู้เข้ารับการอบรม 8 ชั้น  สถาบันพระประชาบดี  ตำบลรังสิต อำเภอธัญบุรี จังหวัดปทุมธานี</t>
  </si>
  <si>
    <t>ปรับปรุงพื้นที่ ขุดลอกสระน้ำ และปรับพื้นที่ภายในบริเวณสถาบันพระประชาบดี สถาบันพระประชาบดี ตำบลรังสิต อำเภอธัญบุรี จังหวัดปทุมธานี</t>
  </si>
  <si>
    <t>ปรับปรุงซ่อมแซมอาคารที่ทำการ ห้องประชุม ห้องน้ำชาย - หญิง สำนักงานส่งเสริมและสนับสนุนวิชาการ 1 ตำบลรังสิต อำเภอธัญบุรี จังหวัดปทุมธานี</t>
  </si>
  <si>
    <t>ปรับปรุงซ่อมแซมอาคารโรงครัว สถานคุ้มครองสวัสดิภาพผู้เสียหายจากการค้ามนุษย์ (บ้านสองแคว) ตำบลหนองกุลา อำเภอบางระกำ จังหวัดพิษณุโลก</t>
  </si>
  <si>
    <t>สคม.บ้านสองแคว</t>
  </si>
  <si>
    <t>ราชบุรี</t>
  </si>
  <si>
    <t>ปรับปรุงบ้านพักข้าราชการ สำนักงานพัฒนาสังคมและความมั่นคงของมนุษย์จังหวัดราชบุรี ตำบลหน้าเมือง อำเภอเมืองราชบุรี จังหวัดราชบุรี</t>
  </si>
  <si>
    <t>พมจ.ราชบุรี</t>
  </si>
  <si>
    <t>สมุทรสาคร</t>
  </si>
  <si>
    <t>ปรับปรุงอาคารสำนักงาน พมจ. พร้อมสิ่งปลูกสร้างประกอบ สำนักงานพัฒนาสังคมและความมั่นคงของมนุษย์จังหวัดสมุทรสาคร ตำบลมหาชัย อำเภอเมืองสมุทรสาคร จังหวัดสมุทรสาคร</t>
  </si>
  <si>
    <t>พมจ.สมุทรสาคร</t>
  </si>
  <si>
    <t xml:space="preserve">สร้างโรงเก็บพัสดุ สำนักงานพัฒนาสังคมและความมั่นคงของมนุษย์จังหวัดสระแก้ว ตำบลท่าเกษม อำเภอเมืองสระแก้ว จังหวัดสระแก้ว </t>
  </si>
  <si>
    <t>ชุมพร</t>
  </si>
  <si>
    <t>ปรับปรุงอาคารสำนักงาน พมจ. พร้อมสิ่งปลูกสร้างประกอบ สำนักงานพัฒนาสังคมและความมั่นคงของมนุษย์จังหวัดชุมพร ตำบลนาชะอัง อำเภอเมืองชุมพร จังหวัดชุมพร</t>
  </si>
  <si>
    <t>พมจ.ชุมพร</t>
  </si>
  <si>
    <t>ปรับปรุงซ่อมแซมหลังคาอาคารที่ทำการ อาคารพยาบาล และอาคารอเนกประสงค์ สถานคุ้มครองสวัสดิภาพผู้เสียหายจากการค้ามนุษย์จังหวัดระนอง ตำบลบางริ้น อำเภอเมืองระนอง จังหวัดระนอง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</si>
  <si>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สำนักงานพัฒนาสังคมและความมั่นคงของมนุษย์จังหวัดเชียงใหม่ ตำบลช้างเผือก อำเภอเมืองเชียงใหม่ จังหวัดเชียงใหม่</t>
  </si>
  <si>
    <t>พมจ. เชียงใหม่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</si>
  <si>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สำนักงานพัฒนาสังคมและความมั่นคงของมนุษย์จังหวัดแพร่ ตำบลในเวียง อำเภอเมืองแพร่ จังหวัดแพร่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</si>
  <si>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สำนักงานพัฒนาสังคมและความมั่นคงของมนุษย์จังหวัดแม่ฮ่องสอน ตำบลจองคำ อำเภอเมืองแม่ฮ่องสอน จังหวัดแม่ฮ่องสอน</t>
  </si>
  <si>
    <t>รายการครุภัณฑ์ลงจังหวัด (สป.พม.) ครุภัณฑ์ ประจำปีงบประมาณ พ.ศ. 2568</t>
  </si>
  <si>
    <t>ลำปาง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</si>
  <si>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สำนักงานพัฒนาสังคมและความมั่นคงของมนุษย์จังหวัดลำปาง ตำบลพระบาท อำเภอเมืองลำปาง จังหวัดลำปาง</t>
  </si>
  <si>
    <t>พมจ.ลำปาง</t>
  </si>
  <si>
    <t>อุตรดิษถ์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</si>
  <si>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สำนักงานพัฒนาสังคมและความมั่นคงของมนุษย์จังหวัดอุตรดิษถ์ ตำบลท่าอิฐ อำเภอเมืองอุตรดิษถ์ จังหวัดอุตรดิษถ์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</si>
  <si>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สำนักงานพัฒนาสังคมและความมั่นคงของมนุษย์จังหวัดร้อยเอ็ด ตำบลในเมือง อำเภอเมืองร้อยเอ็ด จังหวัดร้อยเอ็ด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</si>
  <si>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สำนักงานพัฒนาสังคมและความมั่นคงของมนุษย์จังหวัดศรีสะเกษ ตำบลโพธิ์ อำเภอเมืองศรีสะเกษ
จังหวัดศรีสะเกษ</t>
  </si>
  <si>
    <t>หนองคาย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</si>
  <si>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สำนักงานพัฒนาสังคมและความมั่นคงของมนุษย์จังหวัดหนองคาย ตำบลหนองกอมเกาะ อำเภอเมืองหนองคาย จังหวัดหนองคาย</t>
  </si>
  <si>
    <t>พมจ.หนองคาย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</si>
  <si>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สำนักงานพัฒนาสังคมและความมั่นคงของมนุษย์จังหวัดหนองคาย ตำบลหนองกอมเกาะ อำเภอเมืองหนองคาย จังหวัดหนองคาย</t>
  </si>
  <si>
    <t>หนองบัวลำภู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</si>
  <si>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สำนักงานพัฒนาสังคมและความมั่นคงของมนุษย์จังหวัดหนองบัวลำภู ตำบลลำภู อำเภอเมืองหนองบัวลำภู จังหวัดหนองบัวลำภู</t>
  </si>
  <si>
    <t>พมจ.หนองบัวลำภู</t>
  </si>
  <si>
    <t xml:space="preserve"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t>
  </si>
  <si>
    <t>กมพ.</t>
  </si>
  <si>
    <t xml:space="preserve">รถยนต์ตรวจการณ์ ปริมาตรกระบอกสูบไม่ต่ำกว่า 2,000 ซีซี หรือกำลังเครื่องยนต์สูงสุดไม่ต่ำกว่า 110 กิโลวัตต์ เครื่องยนต์ดีเซล แบบขับเคลื่อน 4 ล้อ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t>
  </si>
  <si>
    <t>ศรส.</t>
  </si>
  <si>
    <t xml:space="preserve">โครงการจ้างจัดทำระบบออกบัตรประจำตัวพนักงานเจ้าหน้าที่ที่ออกด้วยระบบคอมพิวเตอร์ ออกตามความในพระราชบัญญัติป้องกันและปราบปรามการค้ามนุษย์ พ.ศ. 2551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t>
  </si>
  <si>
    <t xml:space="preserve">โครงการพัฒนาระบบสารสนเทศเพื่อให้การบริการประชาชน โดยใช้เทคโนโลยีปัญญาประดิษฐ์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t>
  </si>
  <si>
    <t>ศชส.</t>
  </si>
  <si>
    <t xml:space="preserve">เครื่องคอมพิวเตอร์ สำหรับงานประมวลผล แบบที่ 1 *(จอแสดงภาพขนาดไม่น้อยกว่า 19 นิ้ว) พร้อมชุดโปรแกรมระบบปฏิบัติการ และเครื่องสำรองไฟฟ้า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t>
  </si>
  <si>
    <t xml:space="preserve">ชุดโปรแกรมจัดการสำนักงาน แบบที่ 3 ที่มีลิขสิทธิ์ถูกต้องตามกฎหมาย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t>
  </si>
  <si>
    <t>ตราด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</si>
  <si>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สำนักงานพัฒนาสังคมและความมั่นคงของมนุษย์จังหวัดตราด ตำบลบางพระ อำเภอเมืองตราด จังหวัดตราด</t>
  </si>
  <si>
    <t>พมจ.ตราด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</si>
  <si>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สำนักงานพัฒนาสังคมและความมั่นคงของมนุษย์จังหวัดพิจิตร ตำบลในท่าหลวง อำเภอเมืองพิจิตร จังหวัดพิจิตร</t>
  </si>
  <si>
    <t>สระบุรี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</si>
  <si>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สำนักงานพัฒนาสังคมและความมั่นคงของมนุษย์จังหวัดสระบุรี ตำบลตะกุด อำเภอเมืองสระบุรี จังหวัดสระบุรี</t>
  </si>
  <si>
    <t>พมจ.สระบุรี</t>
  </si>
  <si>
    <t>สิงห์บุรี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</si>
  <si>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สำนักงานพัฒนาสังคมและความมั่นคงของมนุษย์จังหวัดสิงห์บุรี ตำบลบางมัญ อำเภอเมืองสิงห์บุรี จังหวัดสิงห์บุรี</t>
  </si>
  <si>
    <t>พมจ.สิงห์บุรี</t>
  </si>
  <si>
    <t>สุพรรณบุรี</t>
  </si>
  <si>
    <t>รถบรรทุก (ดีเซล) ขนาด 3 ตัน 6 ล้อ ปริมาตรกระบอกสูบไม่ต่ำกว่า 3,000 ซีซี หรือกำลังเครื่องยนต์สูงสุดไม่ต่ำกว่า 80 กิโลวัตต์ สำนักงานพัฒนาสังคมและความมั่นคงของมนุษย์จังหวัดสุพรรณบุรี ตำบลาสนามชัย อำเภอเมืองสุพรรณบุรี จังหวัดสุพรรณบุรี</t>
  </si>
  <si>
    <t>พมจ.สุพรรณบุรี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</si>
  <si>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สำนักงานพัฒนาสังคมและความมั่นคงของมนุษย์จังหวัดชุมพร ตำบลชะอัง อำเภอเมืองชุมพร จังหวัดชุมพร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</si>
  <si>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สำนักงานพัฒนาสังคมและความมั่นคงของมนุษย์จังหวัดนราธิวาส ตำบลช้างลำภู อำเภอเมืองนราธิวาส จังหวัดนราธิวาส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</si>
  <si>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สำนักงานพัฒนาสังคมและความมั่นคงของมนุษย์จังหวัดสตูล ตำบลพิมาน อำเภอเมืองสตูล จังหวัดสตูล</t>
  </si>
  <si>
    <t xml:space="preserve"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สำนักงานพัฒนาสังคมและความมั่นคงของมนุษย์จังหวัดสุราษฎร์ธานี ตำบลขุนทะเล อำเภอเมืองสุราษฎร์ธานี จังหวัดสุราษฎร์ธานี </t>
  </si>
  <si>
    <t>พมจ.สุราษฎร์ธานี</t>
  </si>
  <si>
    <t>ปรับปรุงซ่อมแซมบ้านพักข้าราชการระดับ 5-6 สำนักงานส่งเสริมและสนับสนุนวิชาการ 8 ตำบลผาเลือด อำเภอท่าปลา จังหวัดอุตรดิษถ์</t>
  </si>
  <si>
    <t>สสว. 8</t>
  </si>
  <si>
    <t>ก่อสร้างอาคารบ้านพักข้าราชการ พร้อมสิ่งปลูกสร้างประกอบ สำนักงานพัฒนาสังคมและความมั่นคงของมนุษย์จังหวัดร้อยเอ็ด ตำบลรอบเมือง อำเภอเมืองร้อยเอ็ด จังหวัดร้อยเอ็ด</t>
  </si>
  <si>
    <t>ปรับปรุงอาคารนอน (อาคารเฟื่องฟ้า) สถานคุ้มครองสวัสดิภาพผู้เสียหายจากการค้ามนุษย์ (บ้านนารีสวัสดิ์) ตำบลในเมือง อำเภอเมืองนครราชสีมา จังหวัดนครราชสีมา</t>
  </si>
  <si>
    <t>สคม. บ้านนารีสวัสดิ์</t>
  </si>
  <si>
    <t>ปรับปรุงอาคารนอน (อาคารราชาวดี) สถานคุ้มครองสวัสดิภาพผู้เสียหายจากการค้ามนุษย์ (บ้านนารีสวัสดิ์) ตำบลในเมือง อำเภอเมืองนครราชสีมา จังหวัดนครราชสีมา</t>
  </si>
  <si>
    <t>ค่าปรับปรุงอาคารที่ทำการและสิ่งก่อสร้างประกอบ สำนักงานพัฒนาสังคมและความมั่นคงของมนุษย์จังหวัดเลย ตำบลกุดป่อง อำเภอเมืองเลย จังหวัดเลย</t>
  </si>
  <si>
    <t>สกลนคร</t>
  </si>
  <si>
    <t>งานปรับปรุงทาวน์เฮาส์พักข้าราชการ 2 ชั้น 8 หน่วยแบบฐานรากมีเสาเข็ม สำนักงานพัฒนาสังคมและความมั่นคงของมนุษย์จังหวัดสกลนคร ตำบลธาตุเชิงชุม อำเภอเมืองสกลนคร จังหวัดสกลนคร</t>
  </si>
  <si>
    <t>พมจ.สกลนคร</t>
  </si>
  <si>
    <t xml:space="preserve">ปรับปรุงห้องปฏิบัติการศุนย์เร่งรัดจัดการสวัสดิภาพประชาชน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t>
  </si>
  <si>
    <t xml:space="preserve">ปรับปรุงชั้น 20 อาคารที่ทำการกระทรวงการพัฒนาสังคมและความมั่นคงของมนุษย์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t>
  </si>
  <si>
    <t xml:space="preserve">ปรับปรุงอาคารที่ทำการกระทรวงการพัฒนาสังคมและความมั่นคงของมนุษย์ ชั้น 18 Zone A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t>
  </si>
  <si>
    <t>ก่อสร้างอาคารสำนักงาน พมจ. พร้อมสิ่งปลูกสร้างประกอบ สำนักงานพัฒนาสังคมและความมั่นคงของมนุษย์จังหวัดจันทบุรี ตำบลท่าช้าง อำเภอเมืองจันทบุรี จังหวัดจันทบุรี</t>
  </si>
  <si>
    <t>ฉะเชิงเทรา</t>
  </si>
  <si>
    <t>ปรับปรุงบ้านพักข้าราชการ ระดับ 1-2 สำนักงานพัฒนาสังคมและความมั่นคงของมนุษย์จังหวัดฉะเชิงเทรา ตำบลหน้าเมือง อำเภอเมืองฉะเชิงเทรา จังหวัดฉะเชิงเทรา</t>
  </si>
  <si>
    <t>พมจ.ฉะเชิงเทรา</t>
  </si>
  <si>
    <t>ปรับปรุงซ่อมแซมห้องอำนวยการ สำนักงานส่งเสริมและสนับสนุนวิชาการ 2 ตำบลบางละมุง อำเภอบางละมุง จังหวัดชลบุรี</t>
  </si>
  <si>
    <t>สสว. 2</t>
  </si>
  <si>
    <t>ปรับปรุงโรงครัวพร้อมสิ่งก่อสร้างประกอบ สถานคุ้มครองสวัสดิภาพผู้เสียหายจากการค้ามนุษย์ (บ้านเกร็ดตระการ) ตำบลเกาะเกร็ด อำเภอปากเกร็ด จังหวัดนนทบุรี</t>
  </si>
  <si>
    <t>สคม. บ้านเกร็ดตระการ</t>
  </si>
  <si>
    <t>ปรับปรุงบ้านพักข้าราชการ ระดับ 5-6 สำนักงานพัฒนาสังคมและความมั่นคงของมนุษย์จังหวัดพิจิตร ตำบลในท่าหลวง อำเภอเมืองพิจิตร จังหวัดพิจิตร</t>
  </si>
  <si>
    <t>ปรับปรุงซ่อมแซมอาคารนอน สถานคุ้มครองสวัสดิภาพผู้เสียหายจากการค้ามนุษย์ (บ้านสองแคว) ตำบลหนองกุลา อำเภอบางระกำ จังหวัดพิษณุโลก</t>
  </si>
  <si>
    <t>สคม. บ้านสองแคว</t>
  </si>
  <si>
    <t>ปรับปรุงอาคารสำนักงานและอาคารบ้านพักข้าราชการ สำนักงานพัฒนาสังคมและความมั่นคงของมนุษย์จังหวัดเพชรบุรี ตำบลบางครก อำเภอบ้านแหลม จังหวัดเพชรบุรี</t>
  </si>
  <si>
    <t>ปรับปรุงบ้านพักข้าราชการ สำนักงานพัฒนาสังคมและความมั่นคงของมนุษย์จังหวัดสระแก้ว ตำบลท่าเกษม อำเภอเมืองสระแก้ว จังหวัดสระแก้ว</t>
  </si>
  <si>
    <t>ปรับปรุงอาคารสำนักงาน สำนักงานพัฒนาสังคมและความมั่นคงของมนุษย์จังหวัดภูเก็ต ตำบลตลาดใหญ่ อำเภอเมืองภูเก็ต จังหวัดภูเก็ต</t>
  </si>
  <si>
    <t>ยะลา</t>
  </si>
  <si>
    <t>งานปรับปรุงซ่อมสำนักงานพัฒนาสังคมและความมั่นคงของมนุษย์จังหวัดยะลา สำนักงานพัฒนาสังคมและความมั่นคงของมนุษย์จังหวัดยะลา ตำบลสะเตง อำเภอเมืองยะลา จังหวัดยะลา</t>
  </si>
  <si>
    <t>พมจ.ยะลา</t>
  </si>
  <si>
    <t>ปรับปรุงซ่อมแซมอาคารอำนวยการ สถานคุ้มครองสวัสดิภาพผู้เสียหายจากการค้ามนุษย์ (บ้านศรีสุราษฎร์) ตำบลขุนทะเล อำเภอเมืองสุราษฎร์ธานี จังหวัดสุราษฎร์ธานี</t>
  </si>
  <si>
    <t>ปรับปรุงอาคารโรงฝึกงาน 1 สถานคุ้มครองสวัสดิภาพผู้เสียหายจากการค้ามนุษย์ (บ้านศรีสุราษฎร์) ตำบลขุนทะเล อำเภอเมืองสุราษฎร์ธานี จังหวัดสุราษฎร์ธานี</t>
  </si>
  <si>
    <t>ปรับปรุงซ่อมแซมบ้านพักผู้อำนวยการ สำนักงานส่งเสริมและสนับสนุนวิชาการ 10 ตำบลขุนทะเล อำเภอเมืองสุราษฎร์ธานี จังหวัดสุราษฎร์ธานี</t>
  </si>
  <si>
    <t>สคม. บ้านศรีสุราษฎร์</t>
  </si>
  <si>
    <t>สสว. 10</t>
  </si>
  <si>
    <t>ปรับปรุงอาคารอำนวยการ สถาบันพระประชาบดี ตำบลรังสิต อำเภอธัญบุรี จังหวัดปทุมธานี</t>
  </si>
  <si>
    <t>ปรับปรุงอาคารธัญรีย์ สถาบันพระประชาบดี ตำบลรังสิต อำเภอธัญบุรี จังหวัดปทุมธานี</t>
  </si>
  <si>
    <t>ปรับปรุงอาคารธัญญารมย์ สถาบันพระประชาบดี ตำบลรังสิต อำเภอธัญบุรี จังหวัดปทุมธานี</t>
  </si>
  <si>
    <t>ก่อสร้างอาคารผู้เข้ารับการอบรม 8 ชั้น สถาบันพระประชาบดี ตำบลรังสิต อำเภอธัญบุรี จังหวัดปทุมธานี</t>
  </si>
  <si>
    <t>รายการครุภัณฑ์ลงจังหวัด (สป.พม.) ที่ดินสิ่งก่อสร้าง ประจำปีงบประมาณ พ.ศ. 2568</t>
  </si>
  <si>
    <t>รายการครุภัณฑ์ลงจังหวัด (สป.พม.) ครุภัณฑ์ ประจำปีงบประมาณ พ.ศ. 2567</t>
  </si>
  <si>
    <t xml:space="preserve"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สำนักงานพัฒนาสังคมและความมั่นคงของมนุษย์จังหวัดน่าน  ตำบลไชยสถาน อำเภอเมืองน่าน จังหวัดน่าน </t>
  </si>
  <si>
    <t>เครื่องถ่ายเอกสาร ระบบดิจิตอล (ขาว-ดำ) ความเร็ว 40 แผ่นต่อนาที สำนักงานพัฒนาสังคมและความมั่นคงของมนุษย์จังหวัดน่าน  ตำบลไชยสถาน อำเภอเมืองน่าน จังหวัดน่าน</t>
  </si>
  <si>
    <t>เครื่องถ่ายเอกสาร ระบบดิจิตอล (ขาว-ดำ) ความเร็ว 50 แผ่นต่อนาที สำนักงานพัฒนาสังคมและความมั่นคงของมนุษย์จังหวัดแพร่  ตำบลในเวียง อำเภอเมืองแพร่ จังหวัดแพร่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</si>
  <si>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สำนักงานพัฒนาสังคมและความมั่นคงของมนุษย์จังหวัดกาฬสินธุ์  ตำบลกาฬสินธุ์ อำเภอเมืองกาฬสินธุ์ จังหวัดกาฬสินธุ์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</si>
  <si>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สำนักงานพัฒนาสังคมและความมั่นคงของมนุษย์จังหวัดกาฬสินธุ์  ตำบลกาฬสินธุ์ อำเภอเมืองกาฬสินธุ์ จังหวัดกาฬสินธุ์</t>
  </si>
  <si>
    <t>ขอนแก่น</t>
  </si>
  <si>
    <t>เครื่องถ่ายเอกสาร ระบบดิจิตอล (ขาว-ดำ) ความเร็ว 50 แผ่นต่อนาที สำนักงานพัฒนาสังคมและความมั่นคงของมนุษย์จังหวัดขอนแก่น  ตำบลในเมือง อำเภอเมืองขอนแก่น จังหวัดขอนแก่น</t>
  </si>
  <si>
    <t>พมจ.ขอนแก่น</t>
  </si>
  <si>
    <t>ชัยภูมิ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</si>
  <si>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สำนักงานพัฒนาสังคมและความมั่นคงของมนุษย์จังหวัดชัยภูมิ  ตำบลในเมือง อำเภอเมืองชัยภูมิ จังหวัดชัยภูมิ</t>
  </si>
  <si>
    <t>พมจ.ชัยภูมิ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</si>
  <si>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สำนักงานพัฒนาสังคมและความมั่นคงของมนุษย์จังหวัดนครพนม  ตำบลในเมือง อำเภอเมืองนครพนม จังหวัดนครพนม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</si>
  <si>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สำนักงานพัฒนาสังคมและความมั่นคงของมนุษย์จังหวัดนครราชสีมา  ตำบลในเมือง อำเภอเมืองนครราชสีมา จังหวัดนครราชสีมา</t>
  </si>
  <si>
    <t>เครื่องตัดหญ้า แบบข้ออ่อน สำนักงานพัฒนาสังคมและความมั่นคงของมนุษย์จังหวัดนครราชสีมา ตำบลในเมือง อำเภอเมืองนครราชสีมา จังหวัดนครราชสีมา</t>
  </si>
  <si>
    <t>บุรีรัมย์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</si>
  <si>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สำนักงานพัฒนาสังคมและความมั่นคงของมนุษย์จังหวัดบุรีรัมย์  ตำบลเสม็ด อำเภอเมืองบุรีรัมย์ จังหวัดบุรีรัมย์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</si>
  <si>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สำนักงานพัฒนาสังคมและความมั่นคงของมนุษย์จังหวัดบุรีรัมย์  ตำบลเสม็ด อำเภอเมืองบุรีรัมย์ จังหวัดบุรีรัมย์</t>
  </si>
  <si>
    <t>พมจ.บุรีรัมย์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</si>
  <si>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สำนักงานพัฒนาสังคมและความมั่นคงของมนุษย์จังหวัดร้อยเอ็ด  ตำบลในเมือง อำเภอเมืองร้อยเอ็ด จังหวัดร้อยเอ็ด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</si>
  <si>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สำนักงานพัฒนาสังคมและความมั่นคงของมนุษย์จังหวัดศรีสะเกษ  ตำบลโพธิ์ อำเภอเมืองศรีสะเกษ จังหวัดศรีสะเกษ</t>
  </si>
  <si>
    <t>เครื่องถ่ายเอกสาร ระบบดิจิตอล (ขาว-ดำ) ความเร็ว 40 แผ่นต่อนาที สำนักงานพัฒนาสังคมและความมั่นคงของมนุษย์จังหวัดอำนาจเจริญ  ตำบลโนนหนามแท่ง อำเภอเมืองอำนาจเจริญ จังหวัดอำนาจเจริญ</t>
  </si>
  <si>
    <t>รถนั่งประจำตำแหน่ง ระดับปลัดกระทรวง หรือผู้ดํารงตำแหน่งอื่นที่มีฐานะเทียบเท่า ปริมาตรกระบอกสูบไม่เกิน 2,500 ซีซี หรือกำลังเครื่องยนต์สูงสุดไมเกิน 160 กิโลวัตต์ หรอกำลังมอเตอร์ไฟฟ้าสูงสุดไมเกิน 150 กิโลวัตต์ สํานักงานปลัดกระทรวงการพัฒนาสังคมและความมั่นคงของมนุษย์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</si>
  <si>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สำนักงานปลัดกระทรวงการพัฒนาสังคมและความมั่นคงของมนุษย์  แขวงคลองมหานาค เขตป้อมปราบศัตรูพ่าย กรุงเทพมหานคร</t>
  </si>
  <si>
    <t>รถบรรทุก (ดีเซล) 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สำนักงานปลัดกระทรวงการพัฒนาสังคมและความมั่นคงของมนุษย์  แขวงคลองมหานาค เขตป้อมปราบศัตรูพ่าย กรุงเทพมหานคร</t>
  </si>
  <si>
    <t>รถยนต์ตรวจการณ์ ปริมาตรกระบอกสูบไม่ต่ำกว่า 2,000 ซีซี หรือกำลังเครื่องยนต์สูงสุดไม่ต่ำกว่า 110 กิโลวัตต์ เครื่องยนต์ดีเซล แบบขับเคลื่อน 4 ล้อ สำนักงานปลัดกระทรวงการพัฒนาสังคมและความมั่นคงของมนุษย์  แขวงคลองมหานาค เขตป้อมปราบศัตรูพ่าย กรุงเทพมหานคร</t>
  </si>
  <si>
    <t>โครงการพัฒนาส่วนเชื่อมโยงข้อมูลการคัดแยกผู้เสียหายจากการค้ามนุษย์ และข้อมูลการคุ้มครองพยานในคดีค้ามนุษย์ เพื่อเพิ่มประสิทธิภาพการคุ้มครองผู้เสียหายจากการค้ามนุษย์ สํานักงานปลัดกระทรวงการพัฒนาสังคมและความมั่นคงของมนุษย์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t>
  </si>
  <si>
    <t>โครงการบูรณาการฐานข้อมูลขนาดใหญ่ (Big Data) เพื่อบริหารสวัสดิการสังคม สำนักงานปลัดกระทรวงการพัฒนาสังคมและความมั่นคงของมนุษย์แขวงคลองมหานาค เขตป้อมปราบศัตรูพ่าย กรุงเทพมหานคร</t>
  </si>
  <si>
    <t>โครงการปรับปรุงโครงสร้างพื้นฐานด้านเครือข่ายสำนักงานพัฒนาสังคมและความมั่นคงของมนุษย์จังหวัดและสถาบันพระประชาบดี เพื่อทดแทนเครื่องคอมพิวเตอร์แม่ข่าย อุปกรณ์เครือข่ายที่มีอายุการใช้งานเกิน 7 ปี สำนักงานปลัดกระทรวงการพัฒนาสังคมและความมั่นคงของมนุษย์  แขวงคลองมหานาค เขตป้อมปราบศัตรูพ่าย กรุงเทพมหานคร</t>
  </si>
  <si>
    <t>กาญจนบุรี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</si>
  <si>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สำนักงานพัฒนาสังคมและความมั่นคงของมนุษย์จังหวัดกาญจนบุรี  ตำบลปากแพรก อำเภอเมืองกาญจนบุรี จังหวัดกาญจนบุรี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</si>
  <si>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สำนักงานพัฒนาสังคมและความมั่นคงของมนุษย์จังหวัดกาญจนบุรี  ตำบลปากแพรก อำเภอเมืองกาญจนบุรี จังหวัดกาญจนบุรี</t>
  </si>
  <si>
    <t>พมจ.กาญจนบุรี</t>
  </si>
  <si>
    <t>กำแพงเพชร</t>
  </si>
  <si>
    <t>เครื่องตัดหญ้า แบบข้ออ่อน สำนักงานพัฒนาสังคมและความมั่นคงของมนุษย์จังหวัดกำแพงเพชร ตำบลหนองปลิง อำเภอเมืองกำแพงเพชร จังหวัดกำแพงเพชร</t>
  </si>
  <si>
    <t>พมจ.กำแพงเพชร</t>
  </si>
  <si>
    <t>เครื่องถ่ายเอกสาร ระบบดิจิตอล (ขาว-ดำ) ความเร็ว 40 แผ่นต่อนาที สำนักงานพัฒนาสังคมและความมั่นคงของมนุษย์จังหวัดจันทบุรี  ตำบลตลาด อำเภอเมืองจันทบุรี จังหวัดจันทบุรี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</si>
  <si>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สำนักงานพัฒนาสังคมและความมั่นคงของมนุษย์จังหวัดฉะเชิงเทรา  ตำบลหน้าเมือง อำเภอเมืองฉะเชิงเทรา จังหวัดฉะเชิงเทรา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</si>
  <si>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สำนักงานพัฒนาสังคมและความมั่นคงของมนุษย์จังหวัดชลบุรี  ตำบลบางปลาสร้อย อำเภอเมืองชลบุรี จังหวัดชลบุรี</t>
  </si>
  <si>
    <t>พมจ.ชลบุรี</t>
  </si>
  <si>
    <t>เครื่องตัดหญ้า แบบข้ออ่อน สำนักงานพัฒนาสังคมและความมั่นคงของมนุษย์จังหวัดชลบุรี ตำบลบางปลาสร้อย อำเภอเมืองชลบุรี จังหวัดชลบุรี</t>
  </si>
  <si>
    <t>ชัยนาท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</si>
  <si>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สำนักงานพัฒนาสังคมและความมั่นคงของมนุษย์จังหวัดชัยนาท  ตำบลในเมือง อำเภอเมืองชัยนาท จังหวัดชัยนาท</t>
  </si>
  <si>
    <t>พมจ.ชัยนาท</t>
  </si>
  <si>
    <t>เครื่องตัดหญ้า แบบข้ออ่อน สำนักงานพัฒนาสังคมและความมั่นคงของมนุษย์จังหวัดตาก ตำบลน้ำรึม อำเภอเมืองตาก จังหวัดตาก</t>
  </si>
  <si>
    <t>พมจ.ตาก</t>
  </si>
  <si>
    <t>ตาก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</si>
  <si>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สำนักงานพัฒนาสังคมและความมั่นคงของมนุษย์จังหวัดนครนายก  ตำบลท่าช้าง อำเภอเมืองนครนายก จังหวัดนครนายก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</si>
  <si>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สำนักงานพัฒนาสังคมและความมั่นคงของมนุษย์จังหวัดนครสวรรค์  ตำบลนครสวรรค์ตก อำเภอเมืองนครสวรรค์ จังหวัดนครสวรรค์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</si>
  <si>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สำนักงานพัฒนาสังคมและความมั่นคงของมนุษย์จังหวัดนครสวรรค์  ตำบลนครสวรรค์ตก อำเภอเมืองนครสวรรค์ จังหวัดนครสวรรค์</t>
  </si>
  <si>
    <t>เครื่องถ่ายเอกสาร ระบบดิจิตอล (ขาว-ดำ) ความเร็ว 40 แผ่นต่อนาที สำนักงานพัฒนาสังคมและความมั่นคงของมนุษย์จังหวัดนนทบุรี  ตำบลบางกระสอ อำเภอเมืองนนทบุรี จังหวัดนนทบุรี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</si>
  <si>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สำนักงานพัฒนาสังคมและความมั่นคงของมนุษย์จังหวัดนนทบุรี  ตำบลบางกระสอ อำเภอเมืองนนทบุรี จังหวัดนนทบุรี</t>
  </si>
  <si>
    <t>พมจ.นนทบุรี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</si>
  <si>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สำนักงานพัฒนาสังคมและความมั่นคงของมนุษย์จังหวัดปทุมธานี  ตำบลบางปรอก อำเภอเมืองปทุมธานี จังหวัดปทุมธานี</t>
  </si>
  <si>
    <t>พมจ.ปทุมธานี</t>
  </si>
  <si>
    <t>เครื่องถ่ายเอกสาร ระบบดิจิตอล (ขาว-ดำ) ความเร็ว 50 แผ่นต่อนาที สำนักงานพัฒนาสังคมและความมั่นคงของมนุษย์จังหวัดปทุมธานี  ตำบลบางปรอก อำเภอเมืองปทุมธานี จังหวัดปทุมธานี</t>
  </si>
  <si>
    <t>เครื่องตัดหญ้า แบบข้อแข็ง สถานคุ้มครองสวัสดิภาพผู้เสียหายจากการค้ามนุษย์จังหวัดปทุมธานี ตำบลรังสิต อำเภอธัญบุรี จังหวัดปทุมธานี</t>
  </si>
  <si>
    <t>เครื่องตัดหญ้า แบบเข็น สถานคุ้มครองสวัสดิภาพผู้เสียหายจากการค้ามนุษย์จังหวัดปทุมธานี ตำบลรังสิต อำเภอธัญบุรี จังหวัดปทุมธานี</t>
  </si>
  <si>
    <t>เครื่องถ่ายเอกสาร ระบบดิจิตอล (ขาว-ดำ) ความเร็ว 50 แผ่นต่อนาที สำนักงานพัฒนาสังคมและความมั่นคงของมนุษย์จังหวัดปราจีนบุรี ตำบลไม้เค็ด อำเภอเมืองปราจีนบุรี จังหวัดปราจีนบุรี</t>
  </si>
  <si>
    <t>เครื่องตัดหญ้า แบบเข็น สำนักงานพัฒนาสังคมและความมั่นคงของมนุษย์จังหวัดปราจีนบุรี ตำบลไม้เค็ด อำเภอเมืองปราจีนบุรี จังหวัดปราจีนบุรี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</si>
  <si>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สำนักงานพัฒนาสังคมและความมั่นคงของมนุษย์จังหวัดพระนครศรีอยุธยา  ตำบลคลองสวนพลู อำเภอพระนครศรีอยุธยา จังหวัดพระนครศรีอยุธยา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</si>
  <si>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สำนักงานพัฒนาสังคมและความมั่นคงของมนุษย์จังหวัดพิจิตร ตำบลท่าหลวง อำเภอเมืองพิจิตร จังหวัดพิจิตร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</si>
  <si>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สำนักงานพัฒนาสังคมและความมั่นคงของมนุษย์จังหวัดพิษณุโลก  ตำบลในเมือง อำเภอเมืองพิษณุโลก จังหวัดพิษณุโลก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</si>
  <si>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สำนักงานพัฒนาสังคมและความมั่นคงของมนุษย์จังหวัดพิษณุโลก  ตำบลในเมือง อำเภอเมืองพิษณุโลก จังหวัดพิษณุโลก</t>
  </si>
  <si>
    <t>ระยอง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</si>
  <si>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สำนักงานพัฒนาสังคมและความมั่นคงของมนุษย์จังหวัดระยอง  ตำบลเนินพระ อำเภอเมืองระยอง จังหวัดระยอง</t>
  </si>
  <si>
    <t>พมจ.ระยอง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</si>
  <si>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สำนักงานพัฒนาสังคมและความมั่นคงของมนุษย์จังหวัดราชบุรี  ตำบลหน้าเมือง อำเภอเมืองราชบุรี จังหวัดราชบุรี</t>
  </si>
  <si>
    <t>ลพบุรี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</si>
  <si>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สำนักงานพัฒนาสังคมและความมั่นคงของมนุษย์จังหวัดลพบุรี  ตำบลทะเลชุบศร อำเภอเมืองลพบุรี จังหวัดลพบุรี</t>
  </si>
  <si>
    <t>พมจ.ลพบุรี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</si>
  <si>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สำนักงานพัฒนาสังคมและความมั่นคงของมนุษย์จังหวัดชุมพร  ตำบลนาชะอัง อำเภอเมืองชุมพร จังหวัดชุมพร</t>
  </si>
  <si>
    <t>ตรัง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</si>
  <si>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สำนักงานพัฒนาสังคมและความมั่นคงของมนุษย์จังหวัดตรัง  ตำบลทับเที่ยง อำเภอเมืองตรัง จังหวัดตรัง</t>
  </si>
  <si>
    <t>พมจ.ตรัง</t>
  </si>
  <si>
    <t>เครื่องถ่ายเอกสาร ระบบดิจิตอล (ขาว-ดำ) ความเร็ว 40 แผ่นต่อนาที สำนักงานพัฒนาสังคมและความมั่นคงของมนุษย์จังหวัดตรัง  ตำบลทับเที่ยง อำเภอเมืองตรัง จังหวัดตรัง</t>
  </si>
  <si>
    <t>นครศรีธรรมราช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</si>
  <si>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สำนักงานพัฒนาสังคมและความมั่นคงของมนุษย์จังหวัดนครศรีธรรมราช  ตำบลในเมือง อำเภอเมืองนครศรีธรรมราช จังหวัดนครศรีธรรมราช</t>
  </si>
  <si>
    <t>พมจ.นครศรีธรรมราช</t>
  </si>
  <si>
    <t>ปัตตานี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</si>
  <si>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สำนักงานพัฒนาสังคมและความมั่นคงของมนุษย์จังหวัดปัตตานี  ตำบลสะบารัง อำเภอเมืองปัตตานี จังหวัดปัตตานี</t>
  </si>
  <si>
    <t>พมจ.ปัตตานี</t>
  </si>
  <si>
    <t>เครื่องถ่ายเอกสาร ระบบดิจิตอล (ขาว-ดำ) ความเร็ว 50 แผ่นต่อนาที สำนักงานพัฒนาสังคมและความมั่นคงของมนุษย์จังหวัดปัตตานี  ตำบลสะบารัง อำเภอเมืองปัตตานี จังหวัดปัตตานี</t>
  </si>
  <si>
    <t>พังงา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</si>
  <si>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สำนักงานพัฒนาสังคมและความมั่นคงของมนุษย์จังหวัดพังงา  ตำบลถ้ำน้ำผุด อำเภอเมืองพังงา จังหวัดพังงา</t>
  </si>
  <si>
    <t>พมจ.พังงา</t>
  </si>
  <si>
    <t>พัทลุง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</si>
  <si>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สำนักงานพัฒนาสังคมและความมั่นคงของมนุษย์จังหวัดพัทลุง  ตำบลคูหาสวรรค์ อำเภอเมืองพัทลุง จังหวัดพัทลุง</t>
  </si>
  <si>
    <t>พมจ.พัทลุง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</si>
  <si>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สำนักงานพัฒนาสังคมและความมั่นคงของมนุษย์จังหวัดยะลา  ตำบลสะเตง อำเภอเมืองยะลา จังหวัดยะลา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</si>
  <si>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สำนักงานพัฒนาสังคมและความมั่นคงของมนุษย์จังหวัดสงขลา  ตำบลบ่อยาง อำเภอเมืองสงขลา จังหวัดสงขลา</t>
  </si>
  <si>
    <t>เครื่องตัดหญ้า แบบข้อแข็ง สถานคุ้มครองสวัสดิภาพผู้เสียหายจากการค้ามนุษย์ (บ้านศรีสุราษฎร์) ตำบลขุนทะเล อำเภอเมืองสุราษฎร์ธานี จังหวัดสุราษฎร์ธานี</t>
  </si>
  <si>
    <t>เครื่องตัดหญ้า แบบข้ออ่อน สำนักงานพัฒนาสังคมและความมั่นคงของมนุษย์จังหวัดสุราษฎร์ธานี ตำบลขุนทะเล อำเภอเมืองสุราษฎร์ธานี จังหวัดสุราษฎร์ธานี</t>
  </si>
  <si>
    <t>เครื่องตัดแต่งพุ่มไม้ ขนาด 29.5 นิ้ว สำนักงานพัฒนาสังคมและความมั่นคงของมนุษย์จังหวัดสุราษฎร์ธานี ตำบลขุนทะเล อำเภอเมืองสุราษฎร์ธานี จังหวัดสุราษฎร์ธานี</t>
  </si>
  <si>
    <t>สคม.บ้านศรีสุราษฎร์</t>
  </si>
  <si>
    <t>เครื่องตัดแต่งพุ่มไม้ ขนาด 22 นิ้ว สถานคุ้มครองสวัสดิภาพผู้เสียหายจากการค้ามนุษย์ (บ้านสองแคว)  ตำบลหนองกุลา อำเภอบางระกำ จังหวัดพิษณุโลก</t>
  </si>
  <si>
    <t>เครื่องตัดหญ้า แบบข้อแข็ง สถานคุ้มครองสวัสดิภาพผู้เสียหายจากการค้ามนุษย์จังหวัดสงขลา ตำบลกำแพงเพชร อำเภอรัตภูมิ จังหวัดสงขลา</t>
  </si>
  <si>
    <t>สคม.สงขลา</t>
  </si>
  <si>
    <t xml:space="preserve">รถบรรทุก (ดีเซล) 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 สำนักงานส่งเสริมและสนับสนุนวิชาการ 8  ตำบลผาเลือด อำเภอท่าปลา จังหวัดอุตรดิตถ์ 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</si>
  <si>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สำนักงานส่งเสริมและสนับสนุนวิชาการ 5 ตำบลโคกสูง อำเภออุบลรัตน์ จังหวัดขอนแก่น</t>
  </si>
  <si>
    <t>สสว.5</t>
  </si>
  <si>
    <t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สำนักงานส่งเสริมและสนับสนุนวิชาการ 9  ตำบลช้างเผือก อำเภอเมืองเชียงใหม่ จังหวัดเชียงใหม่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</si>
  <si>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สำนักงานส่งเสริมและสนับสนุนวิชาการ 9  ตำบลช้างเผือก อำเภอเมืองเชียงใหม่ จังหวัดเชียงใหม่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</si>
  <si>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สำนักงานส่งเสริมและสนับสนุนวิชาการ 10  ตำบลขุนทะเล อำเภอเมืองสุราษฎร์ธานี จังหวัดสุราษฎร์ธานี</t>
  </si>
  <si>
    <t>รายการครุภัณฑ์ลงจังหวัด (สป.พม.) ที่ดินสิ่งก่อสร้าง ประจำปีงบประมาณ พ.ศ. 2567</t>
  </si>
  <si>
    <t>ปรับปรุงซ่อมแซมอาคาร สำนักงานส่งเสริมและสนับสนุนวิชาการ 8  ตำบลผาเลือด อำเภอท่าปลา จังหวัดอุตรดิตถ์</t>
  </si>
  <si>
    <t>สร้างโรงเก็บรถยนต์ สำนักงานพัฒนาสังคมและความมั่นคงของมนุษย์จังหวัดกาฬสินธุ์  ตำบลกาฬสินธุ์ อำเภอเมืองกาฬสินธุ์ จังหวัดกาฬสินธุ์</t>
  </si>
  <si>
    <t>ขยายเขตระบบจำหน่ายไฟฟ้าและติดตั้งหม้อแปลงไฟฟ้า สำนักงานพัฒนาสังคมและความมั่นคงของมนุษย์จังหวัดกาฬสินธุ์  ตำบลกาฬสินธุ์ อำเภอเมืองกาฬสินธุ์ จังหวัดกาฬสินธุ์</t>
  </si>
  <si>
    <t>ติดตั้งระบบประปา สำนักงานพัฒนาสังคมและความมั่นคงของมนุษย์จังหวัดกาฬสินธุ์  ตำบลกาฬสินธุ์ อำเภอเมืองกาฬสินธุ์ จังหวัดกาฬสินธุ์</t>
  </si>
  <si>
    <t>ซ่อมแซมห้องน้ำแฟลต 4 ชั้น สำนักงานส่งเสริมและสนับสนุนวิชาการ 5  ตำบลโคกสูง อำเภออุบลรัตน์ จังหวัดขอนแก่น</t>
  </si>
  <si>
    <t>ปรับปรุงซ่อมแซมป้อมยาม สำนักงานส่งเสริมและสนับสนุนวิชาการ 5  ตำบลโคกสูง อำเภออุบลรัตน์ จังหวัดขอนแก่น</t>
  </si>
  <si>
    <t>ซ่อมแซมอาคารที่ทำการ สำนักงานส่งเสริมและสนับสนุนวิชาการ 5  ตำบลโคกสูง อำเภออุบลรัตน์ จังหวัดขอนแก่น</t>
  </si>
  <si>
    <t>ก่อสร้างอาคาร 3 ชั้น จำนวน 12 ครอบครัว สำนักงานพัฒนาสังคมและความมั่นคงของมนุษย์จังหวัดนครราชสีมา ตำบลในเมือง อำเภอเมืองนครราชสีมา จังหวัดนครราชสีมา</t>
  </si>
  <si>
    <t>มุกดาหาร</t>
  </si>
  <si>
    <t>อาคาร 2 ชั้น จำนวน 4 ยูนิต  สำนักงานพัฒนาสังคมและความมั่นคงของมนุษย์จังหวัดมุกดาหาร  ตำบลมุกดาหาร อำเภอเมืองมุกดาหาร จังหวัดมุกดาหาร</t>
  </si>
  <si>
    <t>พมจ.มุกดาหาร</t>
  </si>
  <si>
    <t>ปรับปรุงทาวน์เฮ้าส์ 2 ชั้น 8 หน่วย สำนักงานพัฒนาสังคมและความมั่นคงของมนุษย์จังหวัดสกลนคร  ตำบลธาตุเชิงชุม อำเภอเมืองสกลนคร จังหวัดสกลนคร</t>
  </si>
  <si>
    <t>สมุทรสงคราม</t>
  </si>
  <si>
    <t>ปรับปรุงบ้านพักข้าราชการ ระดับ 1-2 สำนักงานพัฒนาสังคมและความมั่นคงของมนุษย์จังหวัดพิจิตร ตำบลคลองคะเชนทร์ อำเภอเมืองพิจิตร จังหวัดพิจิตร</t>
  </si>
  <si>
    <t>ปรับปรุงบ้านพักข้าราชการ ระดับ 3-4  สำนักงานพัฒนาสังคมและความมั่นคงของมนุษย์จังหวัดพิจิตร ตำบลคลองคะเชนทร์ อำเภอเมืองพิจิตร จังหวัดพิจิตร</t>
  </si>
  <si>
    <t>ปรับปรุงซ่อมแซมป้ายชื่อหน่วยงาน สถานคุ้มครองสวัสดิภาพผู้เสียหายจากการค้ามนุษย์ (บ้านสองแคว) ตำบลหนองกุลา อำเภอบางระกำ จังหวัดพิษณุโลก</t>
  </si>
  <si>
    <t>ปรับปรุงบ้านพักข้าราชการและบริเวณโดยรอบ สำนักงานพัฒนาสังคมและความมั่นคงของมนุษย์จังหวัดสมุทรสงคราม  ตำบลแม่กลอง อำเภอเมืองสมุทรสงคราม จังหวัดสมุทรสงคราม</t>
  </si>
  <si>
    <t>พมจ.สมุทรสงคราม</t>
  </si>
  <si>
    <t>ปรับปรุงและซ่อมแซมบ้านพักข้าราชการ ระดับ 3-4 สำนักงานส่งเสริมและสนับสนุนวิชาการ 10  ตำบลขุนทะเล อำเภอเมืองสุราษฎร์ธานี จังหวัดสุราษฎร์ธานี</t>
  </si>
  <si>
    <t>อาคารบ้านพักข้าราชการ พร้อมสิ่งปลูกสร้างประกอบ  สำนักงานพัฒนาสังคมและความมั่นคงของมนุษย์จังหวัดร้อยเอ็ด ตำบลรอบเมือง อำเภอเมืองร้อยเอ็ด จังหวัดร้อยเอ็ด</t>
  </si>
  <si>
    <t>อุทัยธานี</t>
  </si>
  <si>
    <t>สุโขทัย</t>
  </si>
  <si>
    <t>ประจวบคีรีขันธ์</t>
  </si>
  <si>
    <t>นครปฐม</t>
  </si>
  <si>
    <t>อุดรธานี</t>
  </si>
  <si>
    <t>สุรินทร์</t>
  </si>
  <si>
    <t>มหาสารคาม</t>
  </si>
  <si>
    <t>บึงกาฬ</t>
  </si>
  <si>
    <t>ลำพูน</t>
  </si>
  <si>
    <t>พะเยา</t>
  </si>
  <si>
    <t>ที่ดินสิ่งก่อสร้าง</t>
  </si>
  <si>
    <t>ครุภัณฑ์</t>
  </si>
  <si>
    <t>กตร.</t>
  </si>
  <si>
    <t>คำขอ 70</t>
  </si>
  <si>
    <t>พมจ.พะเยา</t>
  </si>
  <si>
    <t>พมจ.ลำพูน</t>
  </si>
  <si>
    <t>พรบ. 67</t>
  </si>
  <si>
    <t>พรบ. 68</t>
  </si>
  <si>
    <t>พรบ. 69</t>
  </si>
  <si>
    <t>พมจ.บึงกาฬ</t>
  </si>
  <si>
    <t>พมจ.มหาสารคาม</t>
  </si>
  <si>
    <t>พมจ.สุรินทร์</t>
  </si>
  <si>
    <t>พมจ.อุดรธานี</t>
  </si>
  <si>
    <t>สสว.7</t>
  </si>
  <si>
    <t>กตภ.</t>
  </si>
  <si>
    <t>พมจ.นครปฐม</t>
  </si>
  <si>
    <t>สสว.3</t>
  </si>
  <si>
    <t>พมจ.ประจวบคีรีขันธ์</t>
  </si>
  <si>
    <t>พมจ.สุโขทัย</t>
  </si>
  <si>
    <t>พมจ.อุทัยธานี</t>
  </si>
  <si>
    <t>สสว.11</t>
  </si>
  <si>
    <t>สถิติงบลงทุน 3 ปีย้อนหลัง (2567-2569) รวมคำของบประมาณ 2570</t>
  </si>
  <si>
    <t>-</t>
  </si>
  <si>
    <t>รวมคำขอ</t>
  </si>
  <si>
    <t>เพื่อทดแทนครุภัณฑ์เดิม ซึ่งมีอายุการใช้งาน 22 ปี ไม่มีอะไหล่ในการซ่อมบำรุง</t>
  </si>
  <si>
    <t>สป/สสว-11/07-02-11/01/2546</t>
  </si>
  <si>
    <t>P</t>
  </si>
  <si>
    <t>เครื่องมัลติมีเดียโปรเจคเตอร์ระดับ XGA ขนาด 5,000 ANSI Lumens</t>
  </si>
  <si>
    <t>จัดทำข้อเสนอและพัฒนานโยบายและแผนด้านการพัฒนาสังคมและความมั่นคงของมนุษย์</t>
  </si>
  <si>
    <t>ขับเคลื่อนนโยบาย มาตรการ ด้านการพัฒนาสังคมและความมั่นคงของมนุษย์</t>
  </si>
  <si>
    <t>ยุทธศาสตร์มาตรการแบบเจาะจงกลุ่มเป้าหมายเพื่อแก้ปัญหาเฉพาะกลุ่ม</t>
  </si>
  <si>
    <t>ครุภัณฑ์โฆษณาและเผยแพร่</t>
  </si>
  <si>
    <t>USB Hub 10 in 1</t>
  </si>
  <si>
    <t>ครุภัณฑ์คอมพิวเตอร์</t>
  </si>
  <si>
    <t>กล้องวิดีโอ Conference</t>
  </si>
  <si>
    <t>อุปกรณ์กระจายสัญญาณ HDMI เข้า-ออก 1 input ออก 16 จอ</t>
  </si>
  <si>
    <t>ชั้นวางจอมอนิเตอร์</t>
  </si>
  <si>
    <t>จอมอนิเตอร์ ขนาด 21.5 นิ้ว</t>
  </si>
  <si>
    <t>คอมพิวเตอร์ Notebook / ACER พร้อม Window 11 pro</t>
  </si>
  <si>
    <t>ขาแขวนทีวีแบบล้อเลื่อน</t>
  </si>
  <si>
    <t>LED TV ขนาด 55 นิ้ว</t>
  </si>
  <si>
    <t>สายสัญญาณระบบภาพ HDMI 15 เมตร</t>
  </si>
  <si>
    <t>ครุภัณฑ์ไฟฟ้าและวิทยุ</t>
  </si>
  <si>
    <t>สายสัญญาณระบบภาพ HDMI 20 เมตร</t>
  </si>
  <si>
    <t>สายลำโพง สายสัญญาณเข้าระบบ</t>
  </si>
  <si>
    <t>เครื่องควบคุมชุดประชุม ยี่ห้อ BOSCH รุ่น CCSD-CURD</t>
  </si>
  <si>
    <t>ไมค์ประชุมสำหรับผู้ร่วมประชุม ยี่ห้อ BOSCH รุ่น CCSD-DL</t>
  </si>
  <si>
    <t>ไมค์ประชุมสำหรับประธาน ยี่ห้อ BOSCH รุ่น CCSD-DL</t>
  </si>
  <si>
    <t>ถาดเก็บไมค์ลอย</t>
  </si>
  <si>
    <t>ไมค์ลอยคู่ ชนิดถือ ย่ห้อ SHURE รุ่น SVX288TH/PG58-M19</t>
  </si>
  <si>
    <t>ปลั๊กกันไฟกระชากตู้แร็ค</t>
  </si>
  <si>
    <t>ตู้เร็คเก็บอุปกรณ์ มีล้อ ยี่ห้อ SUPERLUX รุ่น RS-921</t>
  </si>
  <si>
    <t>ลำโพงติดผนัง ยี่ห้อ TOA รุ่น BS-1030W</t>
  </si>
  <si>
    <t>ลำโพงเพดาน ยี่ห้อ TOA รุ่น PC-668RC</t>
  </si>
  <si>
    <t>เครื่องขยายเสียง 120 วัตต์ ยี่ห้อ TOA รุ่น A-2120H</t>
  </si>
  <si>
    <t>เพื่อใช้สำหรับเป็นห้องประชุมระบบ Video Conference ปรับปรุงห้องประชุมให้การสื่อสารมีประสิมธิภาพมากขึ้น ลดค่าใช้จ่ายและเวลาในการเดินทางไปราชการ รองรับการจัดประชุม การอบรม ให้สามารถบรรจุผู้เข้าร่วมประชุมได้มากขึ้น</t>
  </si>
  <si>
    <t>มิกเซอร์ 16 ช่อง ยี่ห้อ YAMAHA รุ่น MG16XU</t>
  </si>
  <si>
    <t>ทดแทนครุภัณฑ์เดิม เนื่องมีการใช้งานเกิน 10 ปี ทำให้มีการชำรุด ไม่สามารถใช้งานได้</t>
  </si>
  <si>
    <t>พส/สสว7/06-02-03/3/2546</t>
  </si>
  <si>
    <t>ชุดเครื่องเสียงห้องประชุม
(1) เครื่องจ่ายกระสไฟฟ้าและควบคุมการประชุมระบบดิจิตอล แบบมีเครื่องบันทึกเสียงในตัว
(2) ชุดผู้เข้าร่วมประชุม พร้อมไมโครโฟนและลำโพง
(3) ชุดประธาน พร้อมไมโครโฟนและลำโพง</t>
  </si>
  <si>
    <t>ทดแทนเนื่องจากสำนักงานส่งเสริมและสลับสนุนวิชาการ 5 ไม่มีโปรเจกเตอร์ใช้ เนื่องจากเครื่องเก่าชำรุดเสียหาย และจำหน่ายไปแล้ว</t>
  </si>
  <si>
    <t>พส.สสว.6-07-02-11-01/2546</t>
  </si>
  <si>
    <t>เครื่องมัลติมีเดียโปรเจคเตอร์ระดับ XGA ขนาด 4,500 ANSI Lumens</t>
  </si>
  <si>
    <t>เพื่อประชาสัมพันธ์บทบาทหรือภารกิจหน่วยงานของกระทรวง พม.</t>
  </si>
  <si>
    <t>พส.สสว.6-07-01-01-04/2551</t>
  </si>
  <si>
    <t>กล้องดิจิตอล Cannon EOS R10 Camera Kit 18-150mm เซนเซอร์ CMOS APS-C ความละเอียดภาพ 24.2 ล้านพิกเซล+ขาตั้งกล้อง-SD card 256 GB</t>
  </si>
  <si>
    <t>พส.สสว.6-06-02-03-02/2547</t>
  </si>
  <si>
    <t>ชุดลำโพงเคลื่อนที่ พร้อมไมค์ลอย</t>
  </si>
  <si>
    <t>เพื่อใช้ในการนำเสนอผลงานในห้องประชุม</t>
  </si>
  <si>
    <t>โทรทัศน์ LED Smart TV ขนาด 75 นิ้ว พร้อมขาตั้ง LED มีล้อเลื่อน</t>
  </si>
  <si>
    <t>ทดแทนไมค์ประชุมชุดเดิมที่ไม่สามารถใช้งานได้</t>
  </si>
  <si>
    <t>100000019492</t>
  </si>
  <si>
    <t>ไมค์ประชุมไร้สาย</t>
  </si>
  <si>
    <t>ทดแทนเครื่องเสียงชุดเดิมที่ไม่สามารถใช้งานได้</t>
  </si>
  <si>
    <t>100000018096</t>
  </si>
  <si>
    <t>ชุดเครื่องเสียง</t>
  </si>
  <si>
    <t>เพื่อเพิ่มประสิทธิภาพในการปฏิบัติงาน</t>
  </si>
  <si>
    <t>ชุดจอระบบสัมผัส (Touch screen) 65 นิ้ว วาด เขียน แชร์ มาพร้อมชุดขาตั้ง "หมุนได้" เสียบปลั๊กพร้อมใช้งานทันที</t>
  </si>
  <si>
    <t>ทดแทนครุภัณฑ์เดิมที่เสื่อมสภาพและหมดอายุการใช้งานเป็นระยะเวลากว่า 18 ปี มีค่าใช้จ่ายในการบำรุงรักษาที่อาจสุง จนส่งผลกระทบต่อการใช้งาน</t>
  </si>
  <si>
    <t>พม/สสว11/05-01-03/05/2550
นข-3608 สงขลา</t>
  </si>
  <si>
    <t xml:space="preserve"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</t>
  </si>
  <si>
    <t>ครุภัณฑ์ยานพาหนะและขนส่ง</t>
  </si>
  <si>
    <t xml:space="preserve">ทดแทนคันเดิมที่มีอายุการใช้งานมานาน 18 ปี ซึ่งหมดสภาพการใช้งาน ไม่คุ้มค่ากับการซ่อมแซม </t>
  </si>
  <si>
    <t>สป/สสว11/05-01-04/04/2550
กฉ-3769 สุราษฎร์ธานี</t>
  </si>
  <si>
    <t>รถบรรทุก (ดีเซล) ขนาด 1 ตัน ปริมาตรกระบอกสูบไม่ต่ากว่า 2,400 ซีซี หรือกำลังเครื่องยนต์สูงสุดไม่ต่ำกว่า 110 กิโลวัตต์ขับเคลื่อน 2 ล้อ แบบดับเบิ้ลแค็บ พร้อมหลังคาไฟเบอร์กลาสหรือเหล็ก</t>
  </si>
  <si>
    <t>ทดแทนคันเดิมที่มีอายุการใช้งานมานาน 18 ปี มีค่าใช้จ่ายในอัตราสูงมาก ไม่คุ้มค่ากับการซ่อมแซม รวมทั้งมีรถไม่เพียงพอต่อการใช้งานเพื่อลงพื้นที่ใน 8 จังหวัดที่รับผิดชอบ</t>
  </si>
  <si>
    <t>GFMIS100000017912/สป/สสว4/05-01-03/003/2550
นค 2651 นครปฐม</t>
  </si>
  <si>
    <t>คัน</t>
  </si>
  <si>
    <t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(ระบบเกียร์อัตโนมัติ)</t>
  </si>
  <si>
    <t>ทดแทนครุภัณฑ์เดิมที่เสื่อมสภาพและหมดอายุการใช้งานเป็นเวลา 14 ปี ซึ่งใช้สำหรับซักผ้าห่ม ผ้าปูเตียง ปลอกหมอน จำนวน 60 ชุด ของอาคารเรือนนอน และผ้าปูโต๊ะ ห้องประชุม และผ้าอื่นๆที่เกี่ยวข้องกับการปฏิบัติงาน เนื่องจาก สสว.11 มีบริการอาคารห้องประชุม อาคารเรือนนอน และสถานที่สำหรับจัดกิจกรรมต่างๆ ซึ่งมีหน่วยงานรัฐ เอกชน โรงเรียน ภาคีเครือข่ายต่างๆ รวมทั้งหน่วยงาน OneHome เข้ามาใช้บริการ</t>
  </si>
  <si>
    <t>พม/สสว11/15-01-08/01/2554</t>
  </si>
  <si>
    <t>เครื่องซักผ้า แบบธรรมดา ขนาด 15 กิโลกรัม</t>
  </si>
  <si>
    <t>ครุภัณฑ์งานบ้านงานครัว</t>
  </si>
  <si>
    <t>เนื่องจาก สนง.มีพื้นที่ จำนวน 7 ไร่ และมีต้นไม้ภายในบริเวณสำนักงานจำนวนมาก ซึ่งยังไม่มีอุปกรณ์ในการตัดแต่งต้นไม้ เพื่ออำนวยการความสะดวกแก่บุคลากร</t>
  </si>
  <si>
    <t>เครื่องตัดแต่งพุ่มไม้ ขนาด 29.5 นิ้ว</t>
  </si>
  <si>
    <t>เพื่อใช้ในการปรับปรุงภูมิทัศน์ ตัดแต่งกิ่งไม้ ดอกไม้ประดับ บริเวณโดยรอบสำนักงาน ให้มีความสวยงาม</t>
  </si>
  <si>
    <t>เนื่องจากต้นไม้ ไม้ดอกไม้ประดับในสำนักงานมีมาก พื้นที่ประมาณ 20 ไร่ เพื่อความสวยงามเป้นระเบียบเรียบร้อยและปรับภูมิทัศน์ให้ดูสวยงาม</t>
  </si>
  <si>
    <t>ทดแทนเครื่องตัดหญ้าเครื่องเดิม</t>
  </si>
  <si>
    <t>100000023457</t>
  </si>
  <si>
    <t>เครื่องตัดหญ้า แบบข้อแข็ง</t>
  </si>
  <si>
    <t>เนื่องจากเครื่องทำน้ำร้อน-น้ำเย็นเสื่อมสภาพและมีอายุการใช้งานมากกว่า 10 ปี และไม่คุ้มค่ากับการซ่อมแซม</t>
  </si>
  <si>
    <t>พส/สสว5/15-02-08/10/2546</t>
  </si>
  <si>
    <t>เครื่องทำน้ำร้อน-น้ำเย็น</t>
  </si>
  <si>
    <t>ทดแทนครุภัณฑ์ซึ่งมีอายุการใช้งานมากกว่า 15 ปี ของเดิมจำนวน 7 เครื่องไม่สามารถใช้งานได้ และ 3 เครื่องขัดข้องและซ่อมแซมบ่อย ขึงทำให้ไม่เพียงพอในการใช้งาน และสิ้นเปลืองงบประมาณในการซ่อมบำรุงรักษา</t>
  </si>
  <si>
    <t>พส/สสว1/08-01-09/01/2551
พส/สสว1/08-01-09/02/2551
พส/สสว1/08-01-09/03/2551
พส/สสว1/08-01-09/01/2553
พส/สสว1/08-01-09/02/2553</t>
  </si>
  <si>
    <t>เพื่อทดแทนครุภัณฑ์เดิมที่ชำรุด อันเกิดจากการใช้งานมาเป็นเวลานาน 21 ปี เนื่องจากโต๊ะทำงานเกิดการชำรุดในส่วนของลิ้นชัก และขาโต๊ะทำงาน</t>
  </si>
  <si>
    <t>พม/สสว11/04-02-03/02/2547</t>
  </si>
  <si>
    <t>ตัว</t>
  </si>
  <si>
    <t>โต๊ะทำงานสำหรับผู้อำนวยการ</t>
  </si>
  <si>
    <t>ครุภัณฑ์สำนักงาน</t>
  </si>
  <si>
    <t>เนื่องจากใช้งานมาเป้นเวลา 17 ปี และเสื่อมสภาพตามการใช้งาน มีค่าใช้จ่ายในการซ่อมแซมมีราคาสูง ไม่คุ้มค่าซ่อมแซม ไม่มีอะไหล่ในการซ่อมแซม และไม่มีงบประมาณเพียงพอต่อการบำรุงรักษา ซ่อมแซม และมีผู้ขอใช้บริการในห้องประชุมอย่างต่อเนื่องทั้งปี</t>
  </si>
  <si>
    <t>พส/สสว11/04-07-01/29/2551
พส/สสว11/04-07-01/30/2551
พส/สสว11/04-07-01/31/2551
พส/สสว11/04-07-01/32/2553
พส/สสว11/04-07-01/33/2553</t>
  </si>
  <si>
    <t>เครื่อง</t>
  </si>
  <si>
    <t xml:space="preserve">เครื่องปรับอากาศ แบบแยกส่วน แบบตั้งพื้นหรือแบบแขวน ขนาด 50,000 บีทียู </t>
  </si>
  <si>
    <t>ตามระเบียบการเก็บรักษาเงิน พ.ศ. 2521</t>
  </si>
  <si>
    <t>ตู้</t>
  </si>
  <si>
    <t>ตู้เซฟนิรภัย 51 KG ขนาด 34.5x51.2 ซม.</t>
  </si>
  <si>
    <t>เนื่องจาก สนง. มีหอประชุมใหญ่ สำหรับใช้ในการประชุมโครงการต่างๆ ของสำนักงานและบริการภาคีเครือข่าย ซึ่งยังไม่มีครุภัณฑ์</t>
  </si>
  <si>
    <t xml:space="preserve">เครื่องปรับอากาศ แบบแยกส่วน แบบตั้งพื้นหรือแบบแขวน (ระบบ Inverter) ขนาด 30,000 บีทียู </t>
  </si>
  <si>
    <t>เก้าอี้รับรอง ขนาด 56*58*64 ซม.</t>
  </si>
  <si>
    <t>เก้าอี้ประชุม ขนาด 55*52*89-101 ซม.</t>
  </si>
  <si>
    <t>เก้าอี้ผู้บริหาร ขนาด 64*68*112-120 ซม.</t>
  </si>
  <si>
    <t>โต๊ะเข้ามุม 65*65*75 ซม.</t>
  </si>
  <si>
    <t>โต๊ะประชุมขนาด 150*60*75 ซม.</t>
  </si>
  <si>
    <t>โต๊ะประชุมขนาด 180*60*75 ซม.</t>
  </si>
  <si>
    <t>เนื่องจากโต๊ะ เก้าอี้หมดสภาพการใช้งาน ไม่คุ้มค่าต่อการซ่อมแซม</t>
  </si>
  <si>
    <t>สสว09/04-02-12/01/49
สสว09/04-02-12/05/50
สสว09/04-02-12/06/50
สสว09/04-02-12/02/49
สสว09/04-02-12/04/49</t>
  </si>
  <si>
    <t>โต๊ะวางคอมพิวเตอร์ มีลิ้นชักพร้อมที่วางคีย์บอร์ด ขนาด 120X54X76 ซม. พร้อมเก้าอี้พนักพิงกลาง พนักพิงตาข่าย มีล้อเลื่อน มีโช๊คปรับขึ้นสูง-ต่ำได้</t>
  </si>
  <si>
    <t>เนื่องจากโต๊ะ เก้าอี้ที่มีอยู่เริ่มชำรุด ทรุดโทรม ไม่อยู่ในสภาพพร้อมใช้งาน</t>
  </si>
  <si>
    <t>พส/สสว9/04-02-08/50</t>
  </si>
  <si>
    <t>ชุดสำหรับห้องประชุม โต๊ะประชุมขาเหล็ก ขนาด 20 ที่นั่ง พร้อมเก้าอี้ปรับระดับได้ 1 ชุด</t>
  </si>
  <si>
    <t xml:space="preserve">ทดแทนเครื่องปรับอากาศเดิม ซึ่งมีอายุการใช้งาน 21 ปี และ 16 ปี ซึ่งหมดสภาพในการใช้งาน ไม่คุ้มค่ากับการซ่อมแซม </t>
  </si>
  <si>
    <t>พส.สสว9/04-07-01/14/47
พส.สสว09/04-07-01/21/52</t>
  </si>
  <si>
    <t>เครื่องปรับอากาศ แบบแยกส่วน แบบตั้งพื้นหรือแบบแขวน (ระบบ Inverter) ขนาด 36,000 บีทียู</t>
  </si>
  <si>
    <t>เนื่องจากเก้าอี้เดิมหมดสภาพการใช้งาน ไม่คุ้มค่ากับการซ่อมแซม</t>
  </si>
  <si>
    <t>สสว09/04-03-10/60/54
สสว09/04-03-10/61/54
สสว09/04-03-10/62/54
สสว09/04-03-10/63/54
สสว09/04/03-03/64/54
สสว09/04-03-10/66/54
สสว09/04-03-10/69/54
สสว09/04-03-10/07/54
สสว09/04-03-10/70/54
สสว09/04-03-17/71/54</t>
  </si>
  <si>
    <t>เก้าอี้สำนักงานขนาดกว้าง 60xลึก 58xสูง 90 ซม. โครงสร้าง:ที่นั่งและที่พิงเป็นโครงเหล็กดัดขึ้นรูปชิ้นเดียวปิดทับด้วยฟองน้ำเป็นไฟมฉีดขึ้นรูป คุณสมบัติโฟมไม่ยุบตัว (P.U.) บุด้วยหนังเทียมปรับระดับได้</t>
  </si>
  <si>
    <t>เนื่องจาก สสว.7 มีเนื้อที่ทั้งหมด 361 ไร่ กล้องวงจรปิดจะเป็นเครื่องมือในการรักษาความปลอดภัย เฝ้าระวังและตรวจสอบเหตุการณ์หรือสถานการณ์ความปลอดภัยในชีวิตและทรัพย์ของทางราชการ ประชาชนและเจ้าหน้าที่ โดยเฉพาะกล้องวงจรปิดในสำนักงาน บ้านพักเจ้าหน้าที่ ซึ่งยังไม่มีรั้วที่มั่นคงแข็งแรง รวมทั้งทดแทนดล้องวงจรปิดในบริเวณสำนักงานที่ใช้มาเป้นเวลานานและเป็นระบบที่เก่า ไม่ทันสมัย การปรับปรุง Software ของระบบทำได้ยากและมีค่าใช้จ่ายสูง จึงต้องมีการจัดหากล้องวงจรปิดของสำนักงานใหม่</t>
  </si>
  <si>
    <t>ระบบ</t>
  </si>
  <si>
    <t>กล้องวงจรปิด</t>
  </si>
  <si>
    <t>ทดแทนครุภัณฑ์เดิม เนื่องจากซ่อมแซมบ่อย และเพิ่มประสิทธิภาพเนื่องจากไม่เพียงพอในการใช้งาน ไม่คุ้มค่ากับค่าซ่อมแซม</t>
  </si>
  <si>
    <t>พส/สสว8/4-07-01/8/2547
พส/สสว8/4-07-01/9/2547
พส/สสว8/4-07-01/10/2549
พส/สสว8/4-07-01/11/2551
พส/สสว8/4-07-01/12/2551
พส/สสว8/4-07-01/13/2551
พส/สสว8/04-07-02/007/2561</t>
  </si>
  <si>
    <t xml:space="preserve">เครื่องปรับอากาศ แบบแยกส่วน แบบตั้งพื้นหรือแบบแขวน (ระบบ inverter) ขนาด 24,000 บีทียู </t>
  </si>
  <si>
    <t>ทดแทนครุภัณฑ์เดิม</t>
  </si>
  <si>
    <t>พส/สสว7/04-03-10/16/2555</t>
  </si>
  <si>
    <t>เก้าอี้ประธาน</t>
  </si>
  <si>
    <t>พส/สสว7/04-03-10/4/2554
พส/สสว7/04-03-10/8/2554
พส/สสว7/04-03-10/10/2554
พส/สสว7/04-03-10/14/2554
พส/สสว7/04-03-10/21/2554
พส/สสว7/04-03-10/24/2554
พส/สสว7/04-03-10/31/2554
พส/สสว7/04-03-10/33/2554
พส/สสว7/04-03-10/34/2554
พส/สสว7/04-03-10/40/2554
พส/สสว7/04-03-10/43/2554
พส/สสว7/04-03-10/48/2554
พส/สสว7/04-03-10/49/2554
พส/สสว7/04-03-10/51/2554
พส/สสว7/04-03-10/53/2554
พส/สสว7/04-03-10/55/2554
พส/สสว7/04-03-10/57/2554
พส/สสว7/04-03-10/59/2554
พส/สสว7/04-03-10/60/2554
พส/สสว7/04-03-10/68/2554
พส/สสว7/04-03-10/69/2554
พส/สสว7/04-03-10/72/2554
พส/สสว7/04-03-10/77/2554
พส/สสว7/04-03-10/81/2554
พส/สสว7/04-03-10/82/2554
พส/สสว7/04-03-10/3/2555
พส/สสว7/04-03-10/5/2555
พส/สสว7/04-03-10/6/2555
พส/สสว7/04-03-10/13/2555</t>
  </si>
  <si>
    <t>เก้าอี้นั่งประชุม</t>
  </si>
  <si>
    <t xml:space="preserve">ทดแทนครุภัณฑ์เดิม เนื่องจากโต๊ะประชุมที่มีอายุการใช้งานกว่า 23 ปี </t>
  </si>
  <si>
    <t>พส/สสว7/04-02-06/2/2546</t>
  </si>
  <si>
    <t>ชุด</t>
  </si>
  <si>
    <t>โต๊ะประชุม 30 ที่นั่ง</t>
  </si>
  <si>
    <t>ทดแทน และไม่เพียงพอต่อบุคลากร</t>
  </si>
  <si>
    <t>พส.สสว.6-4-02-06-03/2547</t>
  </si>
  <si>
    <t>โต๊ะประชุมรูปตัว U แบบ 10 ที่นั่ง</t>
  </si>
  <si>
    <t>เนื่องจากเครื่องเดิม ได้จัดจำหน่ายเมื่อปี พ.ศ. 2567 และมีอายุการใช้งาน 14 ปี หมดสภาพการใช้งาน ไม้คุ้มค่ากับการซ่อม โดยใช้ประโยชน์เพื่อทำลายเอการลับและเอกสารสำคัญ</t>
  </si>
  <si>
    <t>สป/สสว4/04-09-25/001/2553</t>
  </si>
  <si>
    <t>เครื่องทำลายเอกสาร แบบตัดละเอียด ทำลายครั้งละ 30 แผ่น</t>
  </si>
  <si>
    <t>เพื่อใช้ในการเสริมจำนวนผู้เข้าร่วมให้มีพื้นที่นั่งและสามารถบันทึกการประชุมได้ และอุปกรณ์สำนักงานมีอายุการใช้งานเป็นเวลานานเกิน 8 ปี จึงมีความเสื่อมสภาพตามกาลเวลา และลดการใช้เก้าอี้พลาสติกสีฟ้า</t>
  </si>
  <si>
    <t>เก้าอี้ห้องประชุม</t>
  </si>
  <si>
    <t>ทดแทนผ้าม่านเดิม ซึ่งขาดชำรุดหมดสภาพการใช้งาน เพื่อลดแสงสว่างจากภายนอกที่ส่องเข้ามาภายในตัวอาคาร ทำให้บรรยากาศในสำนักงานมีความเหมาะสมในการปฏิบัติงานของเจ้าหน้าที่</t>
  </si>
  <si>
    <t>ผ้าม่าน</t>
  </si>
  <si>
    <t>เพื่อเพิ่มประสิทธิภาพ เนื่องจากไม่เพียงพอต่อการใช้งาน ของเดิมใช้งานได้แต่ไม่เต็มประสิทธิภาพ</t>
  </si>
  <si>
    <t>กระดานฟลิปชาร์ท ขนาด 80x100 ซม.</t>
  </si>
  <si>
    <t>ทดแทนครุภัณฑ์เดิม ที่มีอายุการใช้งานกว่า 12 ปี ของเดิมใช้งานได้แต่ขัดข้อง และซ่อมแซมบ่อย สิ้นเปลืองงบประมาณในการซ่อมบำรุงรักษา</t>
  </si>
  <si>
    <t>พส/สสว1/4-07-01/20/2556</t>
  </si>
  <si>
    <t xml:space="preserve">เครื่องปรับอากาศ แบบแยกส่วน (ราคารวมติดตั้ง) แบบตั้งพื้นหรือแบบแขวน ขนาด 36,000 บีทียู </t>
  </si>
  <si>
    <t>เพื่อเพิ่มประสิทธิภาพ เนื่องจากไม่เพียงพอต่อการใช้งาน</t>
  </si>
  <si>
    <t>เครื่องสูบน้ำ มอเตอร์ไฟฟ้า สูบน้ำได้ 1,130 ลิตรต่อนาที</t>
  </si>
  <si>
    <t>ครุภัณฑ์การเกษตร</t>
  </si>
  <si>
    <t>ทดแทนของเดิมที่มีสภาพเก่าและชำรุด และจัดหาใหม่เพื่อใช้สำหรับอาคารผูเข้ารับการอบรม 8 ชั้น ที่จะก่อสร้างเสร็จในปี 2570</t>
  </si>
  <si>
    <t>จอ</t>
  </si>
  <si>
    <t>จอรับภาพ ชนิดมอเตอร์ไฟฟ้า ขนาดเส้นทแยงมุม 180 นิ้ว (พร้อมขาตั้ง)</t>
  </si>
  <si>
    <t>พัฒนาบุคลากร</t>
  </si>
  <si>
    <t>ยกระดับองค์กรให้มีผลสัมฤทธิ์สูงสู่การเป็นองค์กรดิจิทัล</t>
  </si>
  <si>
    <t>ยุทธศาสตร์พัฒนาบริการประชาชนและพัฒนาประสิทธิภาพภาครัฐ</t>
  </si>
  <si>
    <t>จอรับภาพ ชนิดมอเตอร์ไฟฟ้า ขนาดเส้นทแยงมุม 200 นิ้ว</t>
  </si>
  <si>
    <t>โทรทัศน์ แอล อี ดี (LED TV)แบบ Smart TV</t>
  </si>
  <si>
    <t>เครื่องมัลติมีเดียโปรเจคเตอร์ ระดับ XGA ขนาด 5,000 ANSL Lumens</t>
  </si>
  <si>
    <t>ทดแทนของเดิมที่มีสภาพเก่าและชำรุด และจัดหาใหม่เพื่อใช้สำหรับอาคารผูเข้ารับการอบรม 8 ชั้น ที่จะก่อสร้างเสร็จในปี 2571</t>
  </si>
  <si>
    <t>ตู้เย็น ขนาด  16 คิวบิกฟุต</t>
  </si>
  <si>
    <t>เครื่องทำน้ำร้อน-น้ำเย็น แบบต่อ ขนาด 2 ก๊อก</t>
  </si>
  <si>
    <t>ใช้สำหรับอาคารผู้เข้าอบรม 8 ชั้น ที่จะก่อสร้างเสร็จในปี 2570</t>
  </si>
  <si>
    <t>หลัง</t>
  </si>
  <si>
    <t>ตู้เสื้อผ้าแบบบานเลื่อน ขนาดกว้าง 120 cm x ลึก 60 cm x 200 cm</t>
  </si>
  <si>
    <t>หมอนหนุน ขนาด 19 x 29 นิ้ว</t>
  </si>
  <si>
    <t xml:space="preserve">ชุดผ้าปูที่นอนพร้อมปลอกหมอน ขนาด 3.5 ฟุต </t>
  </si>
  <si>
    <t>ที่นอน ขนาด 3.5 ฟุต</t>
  </si>
  <si>
    <t>เตียงนอน ขนาด 3.5 ฟุต</t>
  </si>
  <si>
    <t>ชุดโต๊ะเขียนหนังสือพร้อมเก้าอี้</t>
  </si>
  <si>
    <t>ทดแทนของเดิมที่มีสภาพเก่าและชำรุด</t>
  </si>
  <si>
    <t>โต๊ะ (สำหรับห้องอาหาร)</t>
  </si>
  <si>
    <t>เก้าอี้พลาสติก (สำหรับห้องอาหาร)</t>
  </si>
  <si>
    <t>เคาน์เตอร์ประชาสัมพันธ์</t>
  </si>
  <si>
    <t>ชุดโต๊ะประชุม ขนาด 60 ที่นั่ง</t>
  </si>
  <si>
    <t>ชุดโต๊ะทำงานพร้อมเก้าอี้ ระดับเจ้าหน้าที่</t>
  </si>
  <si>
    <t>ชุดโต๊ะทำงานพร้อมเก้าอี้ ระดับหัวหน้ากลุ่ม/ฝ่าย</t>
  </si>
  <si>
    <t>ชุดโต๊ะทำงานพร้อมเก้าอี้ ระดับผู้อำนวยการกอง</t>
  </si>
  <si>
    <t>สิขสิทธิ์</t>
  </si>
  <si>
    <t>จัดหาลิขสิทธิ์โปรแกรมบริหารจัดการเครื่องคอมพิวเตอร์แม่ข่าย</t>
  </si>
  <si>
    <t xml:space="preserve"> อุปกรณ์กระจายสัญญาณไร้สาย (Access Point) แบบที่ 2</t>
  </si>
  <si>
    <t>อุปกรณ์เครือข่าย SAN switch</t>
  </si>
  <si>
    <t>อุปกรณ์กระจายสัญญาณ (L2 Switch) ขนาด 24 ช่อง แบบที่ 2</t>
  </si>
  <si>
    <t>อุปกรณ์สําหรับจัดเก็บข้อมูลแบบ SAN</t>
  </si>
  <si>
    <t>เพื่อปรับปรุงโครงสร้างพื้นฐานด้านเทคโนโลยีสารสนเทศภายในสำนักงานส่งเสริมและสนับสนุนวิชาการ 1 - 11 และสถานคุ้มครองสวัสดิภาพผู้เสียหายจากการค้ามนุษย์ 8 แห่ง ให้มีความมั่นคง ปลอดภัย สำหรับทดแทนเครื่องคอมพิวเตอร์แม่ข่าย อุปกรณ์เครือข่าย และอุปกรณ์ป้องกันการบุกรุกเครือข่ายเดิมที่หมดอายุการใช้งาน ให้ทันสมัย สอดคล้องกับเทคโนโลยีในปัจจุบัน และเป็นมาตรฐานเดียวกัน  ช่วยเพิ่มความต่อเนื่องในการทำงานของระบบสารสนเทศ และสามารถเชื่อมโยงข้อมูล กับหน่วยงานภาครัฐในการให้บริการประชาชนได้อย่างมีประสิทธิภาพ</t>
  </si>
  <si>
    <t>เอกสารแนบ</t>
  </si>
  <si>
    <t>เครื่องคอมพิวเตอร์แม่ข่ายแบบที่ 2</t>
  </si>
  <si>
    <t>ชุดโปรแกรมจัดการสํานักงาน แบบที่ 3 ที่มีลิขสิทธิ์ถูกต้องตามกฎหมาย</t>
  </si>
  <si>
    <t xml:space="preserve">กล้องวิดีโอแบบ PTZ สำหรับการประชุมทางไกลออนไลน์ </t>
  </si>
  <si>
    <t>ชุดลำโพงพร้อมไมโครโฟนสำหรับการประชุมทางไกลออนไลน์</t>
  </si>
  <si>
    <t>เครื่องสแกนเนอร์ สำหรับงานเก็บเอกสารระดับศูนย์บริการแบบที่ 1</t>
  </si>
  <si>
    <t xml:space="preserve">เครื่องพิมพ์แบบฉีดหมึกพร้อมติดตั้งถังหมึกพิมพ์ (Ink Tank Printer) </t>
  </si>
  <si>
    <t>เครื่องพิมพ์เลเซอร์ หรือ LED สี ชนิด Network แบบที่ 1</t>
  </si>
  <si>
    <t>เครื่องพิมพ์เลเซอร์ หรือ LED ขาวดำ ชนิด Network แบบที่ 1 (28หน้า/นาที)</t>
  </si>
  <si>
    <t>เครื่องคอมพิวเตอร์โน้ตบุ๊ก สำหรับงานประมวลผล พร้อมชุดโปรแกรมระบบปฏิบัติการ</t>
  </si>
  <si>
    <t xml:space="preserve">1. เพื่อจัดหาเครื่องคอมพิวเตอร์และอุปกรณ์เพื่อทดแทนของเดิมที่หมดอายุการใช้ ซึ่งใช้งานมานาน เครื่องที่ชำรุดเสื่อมสภาพ และบริษัทผู้ผลิตได้ยกเลิกสายการผลิตให้แก่สำนักงานรัฐมนตรี หน่วยงาน สป.พม.ส่วนกลาง สำนักงานพัฒนาสังคมและความมั่นคงของมนุษย์จังหวัด สำนักงานส่งเสริมและสนับสนุนวิชาการ 11 แห่ง และสถานคุ้มครองสวัสดิภาพผู้เสียหายจากการค้ามนุษย์ 8 แห่ง เพื่อใช้ในการปฏิบัติงานตามภารกิจของหน่วยงาน
2.เครื่องเดิมที่ใช้งานมานานทำให้การอัปเดตโปรมแกรมใหม่ๆ บางโปรแกรมไม่สารมารถอัปเดตได้ </t>
  </si>
  <si>
    <t xml:space="preserve"> เครื่องคอมพิวเตอร์ สำหรับงานประมวลผลแบบที่ 1 (จอแสดงภาพขนาด   ไม่น้อยกว่า 19 นิ้ว) พร้อมชุดโปรแกรมระบบปฏิบัติการ และเครื่องสำรองไฟฟ้า </t>
  </si>
  <si>
    <t>ทดพแทนของเดิมที่ชำรุด ไม่คุ่มกับการซ๋อมบำรุง เพื่อใช้สำหรับจัดส่งเอกสารกับหน่วยงานในพื้นที่จังหวัด ทดแทน ทะเบียน กขค 845</t>
  </si>
  <si>
    <t>กขค 845</t>
  </si>
  <si>
    <t xml:space="preserve">รถจักรยานยนต์ ขนาด 120 ซีซี </t>
  </si>
  <si>
    <t>ส่งเสริม ประสาน และดำเนินการช่วยเหลือผู้ประสบปัญหาทางสังคม</t>
  </si>
  <si>
    <t>ช่วยเหลือผู้ประสบปัญหาทางสังคม</t>
  </si>
  <si>
    <t>ทดพแทนของเดิมที่ชำรุด ไม่คุ่มกับการซ๋อมบำรุง เพื่อใช้สำหรับจัดส่งเอกสารกับหน่วยงานในพื้นที่จังหวัด ทดแทน ทะเบียน  คยพ 333</t>
  </si>
  <si>
    <t>คยพ 333</t>
  </si>
  <si>
    <t>ทดพแทนของเดิมที่ชำรุด ไม่คุ่มกับการซ๋อมบำรุง เพื่อใช้สำหรับจัดส่งเอกสารกับหน่วยงานในพื้นที่จังหวัด ทดแทน พม/พมจ-มส/05-01-07/002/2535</t>
  </si>
  <si>
    <t xml:space="preserve"> พม/พมจ-มส/05-01-07/002/2535</t>
  </si>
  <si>
    <t xml:space="preserve">แม่ฮ่องสอน </t>
  </si>
  <si>
    <t>เพื่อใช้สำหรับจัดส่งเอกสารกับหน่วยงานใกล้งเคียงซึ่ง สนง.พมจ.ไม่ได้ตั้งอยู่ที่ ศาลากลางจังหวัด ทดแทน พม/พมจ/-ยส/05-01-15-001/2550</t>
  </si>
  <si>
    <t>พม/พมจ/-ยส/05-01-15-001/2550</t>
  </si>
  <si>
    <t>รถจักรยานยนต์ ขนาด 110 ซีซี แบบเกียร์อัตโนมัติ</t>
  </si>
  <si>
    <t>เพื่อเพิ่มประสิทธิภาพในการปฏิบัติภารกิจของสำนักงานฯ ในการออกปฏิบัติงานในพื้นที่เนื่องจากในพื้นที่เป็นพื้นที่หุบเขาและถนนขรุขระ</t>
  </si>
  <si>
    <t xml:space="preserve">รถยนต์ตรวจการณ์ ปริมาตรกระบอกสูบไม่ต่ำกว่า 2,000 ซีซี หรือกำลังเครื่องยนต์ สูงสุดไม่ต่ำกว่า 110 กิโลวัตต์ เครื่องยนต์ดิเซล แบบขับเคลื่อน 4 ล้อ </t>
  </si>
  <si>
    <t>เพื่อเพิ่มประสิทธิภาพในการปฏิบัติภารกิจของสำนักงานฯ ในการออกปฏิบัติงานในพื้นที่เนื่องจากในพื้นที่เป็นพื้นที่</t>
  </si>
  <si>
    <t xml:space="preserve">นครราชสีมา </t>
  </si>
  <si>
    <t xml:space="preserve">รถยนต์ตรวจการณ์ ปริมาตรกระบอกสูบไม่ต่ำกว่า 2,000 ซีซี หรือกำลังเครื่องยนต์ สูงสุดไม่ต่ำกว่า 100 กิโลวัตต์ เครื่องยนต์เบนซิน แบบขับเคลื่อน 2 ล้อ </t>
  </si>
  <si>
    <t xml:space="preserve"> - ทดแทนหมายเลขทะเบียน กง 5126 ยะลาซึ่งมีอายุการใช้งาน  15 ปี ไม่คุ้มค่ากับการซ่อมบำรุงรักษาที่มีราคาสูง</t>
  </si>
  <si>
    <t>กง 5126 ยะลา</t>
  </si>
  <si>
    <t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t>
  </si>
  <si>
    <t xml:space="preserve"> - ทดแทนหมายเลขทะเบียน  กก 5997 บึงกาฬ ซึ่งมีอายุการใช้งาน  16 ปี ไม่คุ้มค่ากับการซ่อมบำรุงรักษาที่มีราคาสูง</t>
  </si>
  <si>
    <t>กก 5997 บึงกาฬ</t>
  </si>
  <si>
    <t xml:space="preserve"> - ทดแทนหมายเลขทะเบียน  กข 1776 แม่ฮ่องสอน ซึ่งมีอายุการใช้งาน  16 ปี ไม่คุ้มค่ากับการซ่อมบำรุงรักษาที่มีราคาสูง</t>
  </si>
  <si>
    <t>กข 1776 แม่ฮ่องสอน</t>
  </si>
  <si>
    <t>ทดแทนหมายเลขทะเบียน กท 8497 พิษณุโลก ซึ่งมีอายุการใช้งาน 16 ปี ไม่คุ้มค่า กับการซ่อมบำรุงรักษาที่มีราคาสูง</t>
  </si>
  <si>
    <t>กท 8497 พิษณุโลก</t>
  </si>
  <si>
    <t>ทดแทนหมายเลขทะเบียน  กค 9575 พัทลุง ซึ่งมีอายุการใช้งาน  16 ปี ไม่คุ้มค่ากับการซ่อมบำรุงรักษาที่มีราคาสูง</t>
  </si>
  <si>
    <t>กค 9575 พัทลุง</t>
  </si>
  <si>
    <t>ทดแทนหมายเลขทะเบียน กง 5891 ตรัง ซึ่งมีอายุการใช้งาน 17 ปี ไม่คุ้มค่า กับการซ่อมบำรุงรักษาที่มีราคาสูง</t>
  </si>
  <si>
    <t>กง 5891 ตรัง</t>
  </si>
  <si>
    <t>ทดแทนหมายเลขทะเบียน กฉ 9969 อยุธยา ซึ่งมีอายุการใช้งาน 17 ปี ไม่คุ้มค่า กับการซ่อมบำรุงรักษาที่มีราคาสูง</t>
  </si>
  <si>
    <t>กฉ 9969 อยุธยา</t>
  </si>
  <si>
    <t>ทดแทนหมายเลขทะเบียน  นข 1894 ชัยภูมิ ซึ่งมีอายุการใช้งาน 18 ปี ไม่คุ้มค่า กับการซ่อมบำรุงรักษาที่มีราคาสูง</t>
  </si>
  <si>
    <t>นข 1894 ชัยภูมิ</t>
  </si>
  <si>
    <t>ทดแทนหมายเลขทะเบียน  กจ 9576 ซึ่งมีอายุการใช้งาน 19 ปี ไม่คุ้มค่า กับการซ่อมบำรุงรักษาที่มีราคาสูง</t>
  </si>
  <si>
    <t>กจ 9576 ลพบุรี</t>
  </si>
  <si>
    <t>ทดแทนหมายเลขทะเบียน กค 3410ซึ่งมีอายุการใช้งาน 19 ปี ไม่คุ้มค่า กับการซ่อมบำรุงรักษาที่มีราคาสูง</t>
  </si>
  <si>
    <t>กค 3410 ลำพูน</t>
  </si>
  <si>
    <t>ทดแทนหมายเลขทะเบียน กข 9898 อุทัยธานี ซึ่งมีอายุการใช้งาน 19 ปี ไม่คุ้มค่า กับการซ่อมบำรุงรักษาที่มีราคาสูง</t>
  </si>
  <si>
    <t>กข 9898 อุทัยธานี</t>
  </si>
  <si>
    <t>ทดแทนหมายเลขทะเบียน กง 4146  สุพรรณบุรี ซึ่งมีอายุการใช้งาน 19 ปี ไม่คุ้มค่ากับการซ่อมบำรุงรักษาที่มีราคาสูง</t>
  </si>
  <si>
    <t>กง 4146 สุพรรณบุรี</t>
  </si>
  <si>
    <t xml:space="preserve"> - ทดแทนหมายเลขทะเบียน  กค  6067 สกลนคร ซึ่งมีอายุการใช้งาน  19 ปี ไม่คุ้มค่ากับการซ่อมบำรุงรักษาที่มีราคาสูง
</t>
  </si>
  <si>
    <t>กค 6067 สกลนคร</t>
  </si>
  <si>
    <t>ทดแทนหมายเลขทะเบียน กข. 9395 ซึ่งมีอายุการใช้งาน 19 ปี ไม่คุ้มค่ากับการซ่อมบำรุงรักษาที่มีราคาสูง</t>
  </si>
  <si>
    <t>กข 9395 น่าน</t>
  </si>
  <si>
    <t>ทดแทนหมายเลขทะเบียน  กค 44 เชียงราย ซึ่งมีอายุการใช้งาน  19 ปี ไม่คุ้มค่ากับการซ่อมบำรุงรักษาที่มีราคาสูง</t>
  </si>
  <si>
    <t>กค 44 เชียงราย</t>
  </si>
  <si>
    <t>ทดแทนหมายเลขทะเบียน กจ 2674 จันทบุรี ซึ่งมีอายุการใช้งาน 19 ปี ไม่คุ้มค่ากัการซ่อมบำรุงรักษาที่มีราคาสูง</t>
  </si>
  <si>
    <t>กจ 2674 จันทบุรี</t>
  </si>
  <si>
    <t>ทดแทนหมายเลขทะเบียน กพ 5973 สตูล ซึ่งมีอายุการใช้งาน 19 ปี ไม่คุ้มค่า กับการซ่อมบำรุงรักษาที่มีราคาสูง</t>
  </si>
  <si>
    <t>กพ 5973 สตูล</t>
  </si>
  <si>
    <t>ทดแทนหมายเลขทะเบียน กพ 5972 สตูล ซึ่งมีอายุการใช้งาน 19 ปี ไม่คุ้มค่า กับการซ่อมบำรุงรักษาที่มีราคาสูง</t>
  </si>
  <si>
    <t>กพ 5972 สตูล</t>
  </si>
  <si>
    <t>ทดแทนหมายเลขทะเบียน กข 7127สระแก้ว ซึ่งมีอายุการใช้งาน20ปี ไม่คุ้มค่า กับการซ่อมบำรุงรักษาที่มีราคาสูง</t>
  </si>
  <si>
    <t>กข 7127สระแก้ว</t>
  </si>
  <si>
    <t>ทดแทนหมายเลขทะเบียน นง 3656 เชียงใหม่ ซึ่งมีอายุการใช้งาน 20 ปี ไม่คุ้มค่ากับการซ่อมบำรุงรักษาที่มีราคาสูง</t>
  </si>
  <si>
    <t xml:space="preserve">นง 3656 เชียงใหม่ </t>
  </si>
  <si>
    <t>ทดแทนหมายเลขทะเบียน  กค 1683 ชัยภูมิ ซึ่งมีอายุการใช้งาน 20 ปี ไม่คุ้มค่ากับการซ่อมบำรุงรักษาที่มีราคาสูง</t>
  </si>
  <si>
    <t>กค 1683 ชัยภูมิ</t>
  </si>
  <si>
    <t>ทดแทนหมายเลขทะเบียน  กข 4310 พังงา ซึ่งมีอายุการใช้งาน  21 ปี ไม่คุ้มค่ากับการซ่อมบำรุงรักษาที่มีราคาสูง</t>
  </si>
  <si>
    <t>กข 4310 พังงา</t>
  </si>
  <si>
    <t xml:space="preserve">พังงา </t>
  </si>
  <si>
    <t>ทดแทนหมายเลขทะเบียน  ชข 4325 กทม ซึ่งมีอายุการใช้งาน  21 ปี ไม่คุ้มค่ากับการซ่อมบำรุงรักษาที่มีราคาสูง</t>
  </si>
  <si>
    <t>ชข 4325 กรุงเทพมหานคร</t>
  </si>
  <si>
    <t>ทดแทนหมายเลขทะเบียน กค 2688 กาฬสินธุ์ ซึ่งมีอายุการใช้งาน 17 ปี ไม่คุ้มค่า กับการซ่อมบำรุงรักษาที่มีราคาสูง</t>
  </si>
  <si>
    <t>กฉ 6269 สระบุรี</t>
  </si>
  <si>
    <t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t>
  </si>
  <si>
    <t>ทดแทนหมายเลขทะเบียน กฉ 1352 สป ซึ่งมีอายุการใช้งาน 17 ปี ไม่คุ้มค่า กับการซ่อมบำรุงรักษาที่มีราคาสูง</t>
  </si>
  <si>
    <t>กฉ 1352สมุทราปราการ</t>
  </si>
  <si>
    <t>ทดแทนหมายเลขทะเบียน กจ 8512 ปทุมธานี ซึ่งมีอายุการใช้งาน 18 ปี ไม่คุ้มค่า กับการซ่อมบำรุงรักษาที่มีราคาสูง</t>
  </si>
  <si>
    <t>กจ 8512 ปทุมธานี</t>
  </si>
  <si>
    <t>ทดแทนหมายเลขทะเบียน กพ 5964 สตูล ซึ่งมีอายุการใช้งาน  19 ปี ไม่คุ้มค่า กับการซ่อมบำรุงรักษาที่มีราคาสูง</t>
  </si>
  <si>
    <t>กพ5964
 สตูล</t>
  </si>
  <si>
    <t>ทดแทนหมายเลขทะเบียน กพ 5970 สตูล ซึ่งมีอายุการใช้งาน  19 ปี ไม่คุ้มค่า กับการซ่อมบำรุงรักษาที่มีราคาสูง</t>
  </si>
  <si>
    <t>กพ5970
 สตูล</t>
  </si>
  <si>
    <t>ทดแทนหมายเลขทะเบียน กพ 5966 สตูล ซึ่งมีอายุการใช้งาน  19 ปี ไม่คุ้มค่า กับการซ่อมบำรุงรักษาที่มีราคาสูง</t>
  </si>
  <si>
    <t>กพ5966
 สตูล</t>
  </si>
  <si>
    <t>ทดแทนหมายเลขทะเบียน กพ 5965 สตูล ซึ่งมีอายุการใช้งาน  19 ปี ไม่คุ้มค่า กับการซ่อมบำรุงรักษาที่มีราคาสูง</t>
  </si>
  <si>
    <t>กพ5965
 สตูล</t>
  </si>
  <si>
    <t>ทดแทนหมายเลขทะเบียน กว 1248 ซึ่งมีอายุการใช้งาน  19 ปี ไม่คุ้มค่า กับการซ่อมบำรุงรักษาที่มีราคาสูง</t>
  </si>
  <si>
    <t>กว 1248 ชลบุรี</t>
  </si>
  <si>
    <t>ทดแทนหมายเลขทะเบียน กค 4214 สุโขทัย ซึ่งมีอายุการใช้งาน  19 ปี ไม่คุ้มค่า กับการซ่อมบำรุงรักษาที่มีราคาสูง</t>
  </si>
  <si>
    <t>กค 4214 สุโขทัย</t>
  </si>
  <si>
    <t>ทดแทนหมายเลขทะเบียน กข 3959 สมุทรสงคราม ซึ่งมีอายุการใช้งาน  19 ปี ไม่คุ้มค่า กับการซ่อมบำรุงรักษาที่มีราคาสูง</t>
  </si>
  <si>
    <t>กข 3959 สมุทรสงครม</t>
  </si>
  <si>
    <t>ทดแทนหมายเลขทะเบียน กต 8581 อุดรธานี ซึ่งมีอายุการใช้งาน  19 ปี ไม่คุ้มค่า กับการซ่อมบำรุงรักษาที่มีราคาสูง</t>
  </si>
  <si>
    <t>กต 8581 อุดรธานี</t>
  </si>
  <si>
    <t>ทดแทนหมายเลขทะเบียน กค 5894 ยะลา  ซึ่งมีอายุการใช้งาน 19 ปี ไม่คุ้มค่า กับการซ่อมบำรุงรักษาที่มีราคาสูง</t>
  </si>
  <si>
    <t>กค 5894 ยะลา</t>
  </si>
  <si>
    <t>ทดแทนหมายเลขทะเบียน กฉ 801 ลำปาง ซึ่งมีอายุการใช้งาน 20 ปี ไม่คุ้มค่า กับการซ่อมบำรุงรักษาที่มีราคาสูง</t>
  </si>
  <si>
    <t>กจ 801นราธิวาส</t>
  </si>
  <si>
    <t>ทดแทนหมายเลขทะเบียน กข 5783 นราธิวาส ซึ่งมีอายุการใช้งาน 23 ปี ไม่คุ้มค่า กับการซ่อมบำรุงรักษาที่มีราคาสูง</t>
  </si>
  <si>
    <t>กข 5783 นราธิวาส</t>
  </si>
  <si>
    <t>ทดแทนหมายเลขทะเบียน  นข 5284 อุบลราชธานี มาซึ่งมีอายุการใช้งานมากว่า 15 ปี ไม่คุ้มค่ากับการซ่อมบำรุงรักษาที่มีราคาสูง</t>
  </si>
  <si>
    <t>นข 5284 อบุลราชธานี</t>
  </si>
  <si>
    <t xml:space="preserve">อุบลราชธานี </t>
  </si>
  <si>
    <t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t>
  </si>
  <si>
    <t>ทดแทนหมายเลขทะเบียน นค 7437 นครราชสนีมาซึ่งมีอายุการใช้งานมากว่า 17 ปี ไม่คุ้มค่ากัการซ่อมบำรุงรักษาที่มีราคาสูง</t>
  </si>
  <si>
    <t>นค 7437 นครราชสีมา</t>
  </si>
  <si>
    <t>รถโดยสารขนาด 12 ที่นั่ง  (ดีเซล)  ปริมาตรกระบอกสูบไม่ต่ำกว่า 2,400 ซีซี หรือกำลังเครื่องยนต์สูงสุดไม่ต่ำกว่า 90 กิโลวัตต์</t>
  </si>
  <si>
    <t>ทดแทนหมายเลขทะเบียน นข 4008  ซึ่งมีอายุการใช้งานมากว่า 16 ปี ไม่คุ้มค่ากัการซ่อมบำรุงรักษาที่มีราคาสูง</t>
  </si>
  <si>
    <t>นข 4008 กาฬสินธ์</t>
  </si>
  <si>
    <t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</t>
  </si>
  <si>
    <t>ทดแทนหมายเลขทะเบียน นข  936 ซึ่งมีอายุการใช้งานมากว่า 19 ปี ไม่คุ้มค่ากัการซ่อมบำรุงรักษาที่มีราคาสูง</t>
  </si>
  <si>
    <t>นข 936 ชุมพร</t>
  </si>
  <si>
    <t>ทดแทนหมายเลขทะเบียน นข 608ซึ่งมีอายุการใช้งานมากว่า 19 ปี ไม่คุ้มค่ากัการซ่อมบำรุงรักษาที่มีราคาสูง</t>
  </si>
  <si>
    <t>นข 608 หนองบัวลำภู</t>
  </si>
  <si>
    <t>ทดแทนหมายเลขทะเบียน นข 2558  ซึ่งมีอายุการใช้งานมากว่า 19 ปี ไม่คุ้มค่ากัการซ่อมบำรุงรักษาที่มีราคาสูง</t>
  </si>
  <si>
    <t>นข 2558 ลำพูน</t>
  </si>
  <si>
    <t>ทดแทนหมายเลขทะเบียน นข 2682 สระบุรี ซึ่งมีอายุการใช้งานมากว่า 19 ปี ไม่คุ้มค่ากัการซ่อมบำรุงรักษาที่มีราคาสูง</t>
  </si>
  <si>
    <t>นข 2682 สระบุรี</t>
  </si>
  <si>
    <t>ทดแทนหมายเลขทะเบียน นก 5454 ปราจีนบุรี  ซึ่งมีอายุการใช้งานมากว่า 20 ปี ไม่คุ้มค่ากัการซ่อมบำรุงรักษาที่มีราคาสูง</t>
  </si>
  <si>
    <t xml:space="preserve">นก 5454 ปราจีนบุรี </t>
  </si>
  <si>
    <t>ทดแทนหมายเลขทะเบียน นข 1311 อุตรดิตถ์ ซึ่งมีอายุการใช้งานมากว่า 20 ปี ไม่คุ้มค่ากับการซ่อมบำรุงรักษาที่มีราคาสูง</t>
  </si>
  <si>
    <t>นข - 1311 อุตรดิตถ์</t>
  </si>
  <si>
    <t>ทดแทนหมายเลขทะเบียน  นข 1991 สุรินทร์  ซึ่งมีอายุการใช้งานมากว่า 20 ปี ไม่คุ้มค่ากัการซ่อมบำรุงรักษาที่มีราคาสูง</t>
  </si>
  <si>
    <t xml:space="preserve">นข 1991 สุรินทร์ </t>
  </si>
  <si>
    <t>ทดแทนหมายเลขทะเบียน นข 939 สิงห์บุรี ซึ่งมีอายุการใช้งานมากว่า 20 ปี ไม่คุ้มค่ากัการซ่อมบำรุงรักษาที่มีราคาสูง</t>
  </si>
  <si>
    <t>นข 939 สิงห์บุรี</t>
  </si>
  <si>
    <t>ทดแทนหมายเลขทะเบียน นข 23059 สระแก้ว ซึ่งมีอายุการใช้งานมากว่า 20 ปี ไม่คุ้มค่ากัการซ่อมบำรุงรักษาที่มีราคาสูง</t>
  </si>
  <si>
    <t>นข 3059สระแก้ว</t>
  </si>
  <si>
    <t>ทดแทนหมายเลขทะเบียน นข 1024 พัทลุง ซึ่งมีอายุการใช้งานมากว่า 20 ปี ไม่คุ้มค่ากัการซ่อมบำรุงรักษาที่มีราคาสูง</t>
  </si>
  <si>
    <t>นข 1024 พัทลุง</t>
  </si>
  <si>
    <t>ทดแทนหมายเลขทะเบียน นข 811 ปัตตานี ซึ่งมีอายุการใช้งานมากว่า 20 ปี ไม่คุ้มค่ากัการซ่อมบำรุงรักษาที่มีราคาสูง</t>
  </si>
  <si>
    <t>นข 811 ปัตตานี</t>
  </si>
  <si>
    <t>รถโดยสารขนาด 12 ที่นัjง  (ดีเซล)  ปริมาตรกระบอกสูบไม่ต่ำกว่า 2,400 ซีซี หรือกำลังเครื่องยนต์สูงสุดไม่ต่ำกว่า 90 กิโลวัตต์</t>
  </si>
  <si>
    <t>ทดแทนหมายเลขทะเบียน ฮจ-362 กทม ซึ่งมีอายุการใช้งาน 20 ปี ไม่คุ้มค่ากัการซ่อมบำรุงรักษาที่มีราคาสูง</t>
  </si>
  <si>
    <t>ฮจ - 362 กทม</t>
  </si>
  <si>
    <t>ทดแทนหมายเลขทะเบียน ฮข 9431 กทม ซึ่งมีอายุการใช้งาน 21 ปี ไม่คุ้มค่ากัการซ่อมบำรุงรักษาที่มีราคาสูง</t>
  </si>
  <si>
    <t>ฮข 9431 กทม</t>
  </si>
  <si>
    <t>ทดแทนหมายเลขทะเบียน นข 1720 จันทบุรี ซึ่งมีอายุการใช้งาน 21 ปี ไม่คุ้มค่ากัการซ่อมบำรุงรักษาที่มีราคาสูง</t>
  </si>
  <si>
    <t>ฮค 3640 กทม</t>
  </si>
  <si>
    <t>จัดซื้อใหม่ ใช้เป็นอุปกรณ์สื่อสารในการปฏิบัติงานของเจ้าหน้าที่ภายในหน่วยงาน</t>
  </si>
  <si>
    <t>เครื่องงรับ - ส่งวิทยุ ระบบ VHF/FM ชนิดมือถือ 5 วัตต์</t>
  </si>
  <si>
    <t>ทดแทนหมายเลข 06-02-22/001/2557 ซึ่งมีอายุการใช้งาน 12 ปี  ไม่คุ้มกับค่าซ่อมแซม และทดแทนเครื่องที่ชำรุด</t>
  </si>
  <si>
    <t>06-02-22/001/2557</t>
  </si>
  <si>
    <t>ชุดไมโครโฟนห้องประชุม</t>
  </si>
  <si>
    <t>จัดซื้อใหม่ ไม่มีใช้ในห้องประชุมสำนักงาน</t>
  </si>
  <si>
    <t>ทดแทน ไม่เพียงพอใช้ในห้องประชุมสำนักงาน</t>
  </si>
  <si>
    <t>เพื่อใช้ในกิจกรรมต่างๆ ของสนง.พมจ. ในการออกหน่วยบริการประชาชน ในพื้นที่ต่างๆ</t>
  </si>
  <si>
    <t>ชุดไมโครโฟนไร้สาย</t>
  </si>
  <si>
    <t>เครื่องเสียงจัดกิจกรรมเคลื่อนที่</t>
  </si>
  <si>
    <t>เครื่องเสียงจัดกิจกรรมเคลื่อนที่ พร้อมอุปกรณ์</t>
  </si>
  <si>
    <t xml:space="preserve">จัดซื้อชุดไม่โครโฟน และไมค์ลอยที่ใช้ในการประชุมข้าราชการและเจ้าหน้าที่ในสำนักงานและจัดการประชุมต่างๆ </t>
  </si>
  <si>
    <t>ของเดิมไฟฟ้าลัดวงจรทำให้เครื่องเสียงชำรุด(ไหม้)</t>
  </si>
  <si>
    <t>พม/พมจ-พย/06-02-03/001/2556</t>
  </si>
  <si>
    <t>เครื่องเสียงสำหรับห้องประชุม ไมโครโฟน พร้อมอุปกรณ์ประกอบ</t>
  </si>
  <si>
    <t>เพื่อใช้ในการจัดงาน/โครงการ/จัดประชุม/ให้บริการประชาชน</t>
  </si>
  <si>
    <t xml:space="preserve">จัดซื้อใหม่เพื่อใช้ในการประชุมต่างๆ </t>
  </si>
  <si>
    <t xml:space="preserve">จัดซื้อใหม่เพื่อใช้ในการประชุมข้าราชการและเจ้าหน้าที่ในสำนักงานและจัดการประชุมต่างๆ </t>
  </si>
  <si>
    <t xml:space="preserve">ทดแทนของเดิม ซึ่งชำรุดใช้งานไม่ได้ เพื่อใช้ในการประชุมข้าราชการและเจ้าหน้าที่ในสำนักงานและจัดการประชุมต่างๆ </t>
  </si>
  <si>
    <t>พม/สป-ศทส/06-02-22/013/2556</t>
  </si>
  <si>
    <t>พม/พมจ/อบ06/02/22/001/2553</t>
  </si>
  <si>
    <t>ของเดิมชำรุด</t>
  </si>
  <si>
    <t>ผ้าม่านพร้อมติดตั้ง</t>
  </si>
  <si>
    <t>เพื่อใช้ในภารกิจงานบ้านงานครัว</t>
  </si>
  <si>
    <t>เตา</t>
  </si>
  <si>
    <t>เตาอบไมโครเวฟ</t>
  </si>
  <si>
    <t xml:space="preserve">ไว้สำหรับให้คนสวนเป็นอุปกรณ์ในการตัดหญ้าและถางป่าภายในศูนย์รวมราชการกระทรวง </t>
  </si>
  <si>
    <t>เครื่องตัดหญ้า แบบข้ออ่อน</t>
  </si>
  <si>
    <t>ไว้สำหรับให้คนสวนเป็นอุปกรณ์ในการตัดหญ้าและถางป่าภายในศูนย์รวมราชการกระทรวง พม.ชัยภูมิ</t>
  </si>
  <si>
    <t>เพื่อใช้กำจัดวัชพืชโดยรอบสำนักงาน</t>
  </si>
  <si>
    <t>เครื่องตัดหญ้า แบบรถเข็น</t>
  </si>
  <si>
    <t>เพื่อให้บริการแก่ผู้มาใช้บริการและประชาชนทั่วไป</t>
  </si>
  <si>
    <t>พม/พมจ/ชม/08/001/2543</t>
  </si>
  <si>
    <t>ตู้ทำน้ำเย็นแบบธรรมดา</t>
  </si>
  <si>
    <t>เพื่อทดแทน หมายเลข พม/พมจ-สพ/15-02-15/ 001/2558</t>
  </si>
  <si>
    <t>พม/พมจ-สพ/15-02-15/ 001/2558</t>
  </si>
  <si>
    <t xml:space="preserve">เครื่อง </t>
  </si>
  <si>
    <t>จัดซื้อใหม่ เนื่องจากสำนักงานยังไม่มีเครื่องทำน้ำเย็นมาบริการผู้รอรับบริการ</t>
  </si>
  <si>
    <t>ทดแทนหมายเลข พม/พมจ-นฐ/15-02-08/04/2545 อายุ 23 ปี และจัดซื้อเพิ่ม เพื่อใช้ในการให้บริการน้ำดื่มสำหรับบริการประชาชนที่มาติดต่อ</t>
  </si>
  <si>
    <t xml:space="preserve"> พม/พมจ-นฐ/ 15-02-08/04/2545</t>
  </si>
  <si>
    <t>ทดแทนเครื่องทำน้ำร้อนน้ำเย็น เนื่องจากเครื่องเดิมเสื่อมสภาพอาจทำให้เกิดอันตราย</t>
  </si>
  <si>
    <t>เครื่องทำน้ำร้อน-น้ำเย็น แบบต่อท่อ ขนาด 2 ก๊อก</t>
  </si>
  <si>
    <t>ทดแทนเครื่องทำน้ำร้อนน้ำเย็น พม/พมจ-จบ/15-02-15/001/2555 ซึ่งอายุการใช้งาน 13 ปี อัตราสิ้นเปลื่องพลังงานไม่คุ้มค่า</t>
  </si>
  <si>
    <t>พม/พมจ-จบ/15-02-15/001/2555</t>
  </si>
  <si>
    <t>ทดแทนเครื่องที่ชำรุด</t>
  </si>
  <si>
    <t>พม/พมจ/15-00-01/001/2553</t>
  </si>
  <si>
    <t>ตู้เย็น 13 คิวบิกฟุต</t>
  </si>
  <si>
    <t>เพื่อใช้สำหรับข้าราชการและเจ้าหน้าที่ รวมทั้งเครือข่ายในการทำงาน และบริการประชาชนผู้มาติดต่อราชการ</t>
  </si>
  <si>
    <t>ตู้เย็น 9 คิวบิกฟุต</t>
  </si>
  <si>
    <t xml:space="preserve">ทดแทนหมายเลข พม/พมจ-รน/15-02-01/001/2544 ซึ่งมีอายุการใช้งาน 24 ปี หมดสภาพการใช้งาน ไม่คุ้มกับค่าซ่อมแซม </t>
  </si>
  <si>
    <t>พม/พมจ-รน/15-02-01/001/2544</t>
  </si>
  <si>
    <t>ทดแทนหมายเลข พม/พมจ-อต/15-02-01/001/ 2536 อายุ 31 ปี เครื่องเก่าชำรุดไม่คุ้มค่าในการซ่อมแซม</t>
  </si>
  <si>
    <t>พม/พมจ-อต/15-02-01/001/ 2536</t>
  </si>
  <si>
    <t>ทดแทนหมายเลขพม/พมจ-กจ/07-02-02/001/2551 เนื่องจากอายุการใช้งานเกินกว่า 19 ปี และไม่สามารถใช้งานได้ ประกอบกับห้องประชุมไม่มีจอโทรทัศน์ที่ใช้รับภาพจากเครื่อง LCD ซึ่งใช้เพียงจอภาพผ้าใบทำให้เห็นภาพไม่ชัดเจน</t>
  </si>
  <si>
    <t>พม/พมจ.-กจ/07-02-02/001/2551</t>
  </si>
  <si>
    <t xml:space="preserve">กาญจนบุรี </t>
  </si>
  <si>
    <t xml:space="preserve">พมจ.กาญจนบุรี </t>
  </si>
  <si>
    <t xml:space="preserve"> โทรทัศน์ แอล อี ดี (LED TV) แบบ Smart TV ระดับความละเอียดจอภาพ 3840 x 2160 พิกเซล ขนาด 65 นิ้ว </t>
  </si>
  <si>
    <t>เพื่อใช้ในการนำเสนอข้อมูลข่าวสาร ภาพกิจกรรม และสื่อประชาสัมพันธ์ต่าง ๆ จะช่วยเพิ่มประสิทธิภาพในการสื่อสารประชาสัมพันธ์ข้อมูลข่าวสาร กิจกรรม โครงการ และนโยบายของภาครัฐให้มากยิ่งขึ้น</t>
  </si>
  <si>
    <t xml:space="preserve"> โทรทัศน์ แอล อี ดี   (LED TV) แบบ Smart TV ระดับความละเอียดจอภาพ 3840 x 2160 พิกเซล ขนาด 65 นิ้ว </t>
  </si>
  <si>
    <t>ทดแทนเครื่องเดิมหมายเลข พม/พมจ-อด07-02-06/01/2551 มีอายุการใช้งานยาวนาน  16 ปี ไม่คุ้มค่าซ่อมแซม</t>
  </si>
  <si>
    <t xml:space="preserve">   พม/พมจ-อด07-02-06/01/2551</t>
  </si>
  <si>
    <t>เพื่อสำหรับการนำเสนอข้อมูลด้านสังคม</t>
  </si>
  <si>
    <t xml:space="preserve">โทรทัศน์ แอล อี ดี (LED TV) แบบ Smart TV ระดับความละเอียดจอภาพ 3840 x 2160 พิกเซล ขนาด 75 นิ้ว </t>
  </si>
  <si>
    <t xml:space="preserve">เพื่อประชาสัมพันธ์ข่าวสารให้กับผู้มาใช้บริการ และสำหรับการประชุม Conferent </t>
  </si>
  <si>
    <t>เพื่อประชาสัมพันธ์ข่าวสารให้กับผู้มาใช้บริการ</t>
  </si>
  <si>
    <t>เพื่อใช้ในห้องประชุมสำนักงาน สำหรับรับชมงานตามภารกิจ และสำหรับการประชุมต่างๆ</t>
  </si>
  <si>
    <t xml:space="preserve">โทรทัศน์ แอล อี ดี (LED TV) แบบ Smart TV ระดับความละเอียดจอภาพ 3840 x 2160 พิกเซล ขนาด 50 นิ้ว </t>
  </si>
  <si>
    <t>ใช้สนับสนุนการจัดประชุมออนไลน์ ของเจ้าหน้าที่</t>
  </si>
  <si>
    <t>พม/พมจ-อท/07-02-24/001/2563</t>
  </si>
  <si>
    <t xml:space="preserve">โทรทัศน์ แอล อี ดี (LED TV) แบบ Smart TV ระดับความละเอียดจอภาพ 3840 x 2160 พิกเซล ขนาด 55 นิ้ว </t>
  </si>
  <si>
    <t>เพื่อเพิ่มประสิทธิภาพในการปฎิบัติงาน</t>
  </si>
  <si>
    <t xml:space="preserve">โทรทัศน์ แอล อี ดี (LED TV) แบบ Smart TV ระดับความละเอียดจอภาพ 3840 x 2160 พิกเซล ขนาด 43 นิ้ว </t>
  </si>
  <si>
    <t>จอรับภาพ ชนิดมอเตอร์ไฟฟ้า ขนาดเส้นทะแยงมุม 200 นิ้ว</t>
  </si>
  <si>
    <t xml:space="preserve">เพื่อสนับสนุนการดำเนนงานของ สนง.พมจ. </t>
  </si>
  <si>
    <t>จอรับภาพ ชนิดมอเตอร์ไฟฟ้า ขนาดเส้นทะแยงมุม 180 นิ้ว</t>
  </si>
  <si>
    <t>ทดแทนเครื่องเดิมหมายเลข พม/พมจ-รน/07-02-07/001/2549 มีอายุการใช้งานยาวนาน ไม่คุ้มค่าซ่อมแซม</t>
  </si>
  <si>
    <t>พม/พมจ-รน/07-02-07/001/2549</t>
  </si>
  <si>
    <t>จอรับภาพ ชนิดมอเตอร์ไฟฟ้า ขนาดเส้นทะแยงมุม 120 นิ้ว</t>
  </si>
  <si>
    <t>ทดแทนเครื่องเดิมหมายเลข พม/พมจ/รย 07-02-07/001/2549 มีอายุการใช้งานยาวนาน ไม่คุ้มค่าซ่อมแซม</t>
  </si>
  <si>
    <t>พม/พมจ/รย 07-02-07/001/2549</t>
  </si>
  <si>
    <t>ทดแทนหมายเลขพม/พมจ-ปจ/07-02-11/001/2550 และจัดซื้อเพื่อใช้ในกิจกรรมของสำนักงานฯ</t>
  </si>
  <si>
    <t>พม/พมจ-ปจ/07-02-11/001/2550</t>
  </si>
  <si>
    <t>เครื่องมัลติมีเดียโปรเจคเตอร์ ระดับ XGA ขนาด 5000 ANSI Lumens</t>
  </si>
  <si>
    <t>ขอทดแทนเนื่องจากของที่มีอยู่ใช้งานไม่ได้ พม/พมจ-อท/07-02-11/001/2550</t>
  </si>
  <si>
    <t>พม/พมจ-อท/07-02-11/001/2550</t>
  </si>
  <si>
    <t>จัดซื้อใหม่ เพื่อสะดวกในการใช้งาน และทนทานกว่าแบบขาตั้ง ที่ต้องดึงเข้าออกบ่อย ทำให้ชำรุดได้ง่ายกว่า</t>
  </si>
  <si>
    <t>ทดแทนหมายเลข 070211001/2549 เนื่องจากชำรุดไม่สามารถใช้ปฎิบัติงานได้</t>
  </si>
  <si>
    <t>070211001/2549</t>
  </si>
  <si>
    <t>ทดแทนเครื่องเดิม หมายเลข พม/พมจ-อบ/20-12-12/002/2555 (100000013796)</t>
  </si>
  <si>
    <t>พม/พมจ-อบ/20-12-12/002/2555 (100000013796)</t>
  </si>
  <si>
    <t>เครื่องมัลติมีเดียโปรเจคเตอร์ ระดับ XGA ขนาด 4500 ANSI Lumens</t>
  </si>
  <si>
    <t>ทดแทนเครื่องเดิมหมายเลข พม/พมจ-ศก/07-02-11/01/2549 มีอายุการใช้งานยาวนาน</t>
  </si>
  <si>
    <t>พม/พมจ-ศก/07-02-11/01/2549</t>
  </si>
  <si>
    <t>ทดแทนเครื่องเดิมหมายเลข พม/พมจ-สพ/07-02-11/ 001/2561 มีอายุการใช้งานยาวนาน</t>
  </si>
  <si>
    <t>พม/พมจ-สพ/07-02-11/ 001/2561</t>
  </si>
  <si>
    <t>ไว้สำหรับการจัดประชุม อบรมของหน่วยงาน</t>
  </si>
  <si>
    <t>พมจ.ชัยภุมิ</t>
  </si>
  <si>
    <t>เครื่องมัลติมีเดียโปรเจคเตอร์ ระดับ XGA ขนาด 4000 ANSI Lumens</t>
  </si>
  <si>
    <t xml:space="preserve">จัดซื้อใหม่เพื่อสนับสนุนการดำเนนงานของ สนง.พมจ. </t>
  </si>
  <si>
    <t>จัดซื้อใหม่ ใช้สำหรับการประชุมต่างๆ เนื่องจากของเดิมชำรุดไม่คุ้มค่ากับการซ่อมบำรุง</t>
  </si>
  <si>
    <t>ทดแทนเครื่องเดิมหมายเลข พม/พมจ/รน07-02-11/001/2555 มีอายุการใช้งานยาวนาน ไม่คุ้มค่าซ่อมแซม</t>
  </si>
  <si>
    <t>พม/พมจ/รน07-02-11/001/2555</t>
  </si>
  <si>
    <t>พม/พมจ-สป/06-02-08/01/49</t>
  </si>
  <si>
    <t>ทดแทนเครื่องเดิมหมายเลข พมจ/ชร07-01-08/001/2551 มีอายุการใช้งานยาวนาน ไม่คุ้มค่าซ่อมแซม</t>
  </si>
  <si>
    <t>กล้องติดรถยนต์</t>
  </si>
  <si>
    <t>ใช้ปกป้องทรัพย์สินของราชการและใช้ป้องปรามเหตุการณ์อันไม่พึงประสงค์ที่อาจเกิดขึ้นในรูปแบบต่างๆ</t>
  </si>
  <si>
    <t xml:space="preserve">กระบี่ </t>
  </si>
  <si>
    <t xml:space="preserve">พมจ.กระบี่ </t>
  </si>
  <si>
    <t>เพื่อทดแทน หมายเลข พม/พมจ/-ภก/07-04-48/04-05/2557</t>
  </si>
  <si>
    <t>พม/พมจ/-ภก/07-04-48/04-05/2557</t>
  </si>
  <si>
    <t>กล้องถ่ายวีดีโอ</t>
  </si>
  <si>
    <t>เพื่อทดแทน หมายเลข พม/พมจ-สพ/07-01-15/001-002/2558</t>
  </si>
  <si>
    <t>พม/พมจ-สพ/07-01-15/001-002/2558</t>
  </si>
  <si>
    <t>กล้องถ่ายภาพนิ่ง Mirrorless ระบบดิจิตอล (เซ็นเซอร์ CMOS)</t>
  </si>
  <si>
    <t>จัดซื้อใหม่เพื่อใช้สำหรับถ่ายภาพกิจกรรมต่างๆ ตามภารกิจ</t>
  </si>
  <si>
    <t>กล้องถ่ายภาพนิ่ง Canon EOS R50</t>
  </si>
  <si>
    <t>เพื่อทดแทน หมายเลข พม/พมจ-นว/07-01-15/001/2563</t>
  </si>
  <si>
    <t>พม/พมจ-นว/07-01-15/001/2563</t>
  </si>
  <si>
    <t>เพื่อทดแทน หมายเลข พม/พมจ-นว/07-01-15/002/2554</t>
  </si>
  <si>
    <t>พม/พมจ-นว/07-01-15/002/2554</t>
  </si>
  <si>
    <t>พม/พมจ-พย/0/01-15/001/2555</t>
  </si>
  <si>
    <t>กล้องถ่ายภาพระบบดิจิตอล</t>
  </si>
  <si>
    <t>ทดแทนเลขครุภัณฑ์ พม/พมจ-ยล/07-01-15/001/2558 ซึ่งมีอายุการใช้งาน 10 ปี หมดสภาพการใช้งาน ไม่คุ้มกับค่าซ่อมแซม ใช้ประโยชน์เพื่อประชาสัมพันธ์งานและกิจกรรมของหน่วยงาน</t>
  </si>
  <si>
    <t>พม/พมจ-ยล/07-01-15/001/2558</t>
  </si>
  <si>
    <t>ทดแทนหมายเลข พม/พมจ/-ยส/05-01-15-001/2550</t>
  </si>
  <si>
    <t>ใช้เพื่อบันทึกภาพนิ่งและวิดีโอ สำหรับการดำเนินกิจกรรม โครงการต่างๆ ตามภารกิจของสำนักงานฯ ในการเผยแพร่ประชาสัมพันธ์ภารกิจ และรายงานกิจกรรมต่างๆ</t>
  </si>
  <si>
    <t>พม/พมจ.-ชพ/07-01-15/001/2557</t>
  </si>
  <si>
    <t>กล้องถ่ายภาพรูปดิจิตอล ยี่ห้อ Canon eos R6 MKll Body 2 เลนส์ Canon rf 24-105 f/4-7.1 IS STM</t>
  </si>
  <si>
    <t>ทดแทนเลขครุภัณฑ์ พม./พมจ.สน/07-01- 15/001/2555 ซึ่งมีอายุการใช้งาน 10 ปี หมดสภาพการใช้งาน ไม่คุ้มกับค่าซ่อมแซม ใช้ประโยชน์เพื่อประชาสัมพันธ์งานและกิจกรรมของหน่วยงาน</t>
  </si>
  <si>
    <t>พม./พมจ.สน/07-01- 15/001/2555</t>
  </si>
  <si>
    <t>พม./พมจ.มห/07-02-05/01/2550</t>
  </si>
  <si>
    <t>กล้องถ่ายภาพรูปดิจิตอล ยี่ห้อ Canon eos R8 MKll Body 2 เลนส์ Canon rf 24-70 mmf28 ls usm</t>
  </si>
  <si>
    <t>กล้องถ่ายภาพรูปดิจิตอล ยี่ห้อ Canon eos RP เลนส์ Canon EF70-200 mm r/2.8 l IS lll usm</t>
  </si>
  <si>
    <t>พม/พมจ.สต/07-02-06/001/2558</t>
  </si>
  <si>
    <t>โทรศัพท์ไร้สาย</t>
  </si>
  <si>
    <t>จัดซื้อใหม่ เพื่อเพิ่มความปลอดภัยในสำนักงานและเพื่อรองรับสถานการณ์ฉุกเฮิน ในการชะลอการลุกลามของเปลวไฟ</t>
  </si>
  <si>
    <t>ถัง</t>
  </si>
  <si>
    <t xml:space="preserve">ถังดับเพลิง ชนิดผงเคมีแห้ง ขนาด 15 ปอนด์ </t>
  </si>
  <si>
    <t>จัดซื้อใหม่เพื่อเพิ่มความปลอดภัยในสำนักงานและเพื่อรองรับสถานการณ์ฉุกเฉิน ในการชะลอการลุกลามของเปลงไฟ</t>
  </si>
  <si>
    <t>ของเดิมชำรุดเนื่องจากการใช้งาน</t>
  </si>
  <si>
    <t>พม/พมจ-พย/13-01-19/001/2552</t>
  </si>
  <si>
    <t>เครื่องสแกนเนอร์สำหรับเก็บเอกสารระดับศูนย์บริการ</t>
  </si>
  <si>
    <t>พม/สป-ศทส/13-01-19/044/2560</t>
  </si>
  <si>
    <t xml:space="preserve">เพื่อใช้สำหรับงานสารบรรณอิเล็กทรอนิกส์ </t>
  </si>
  <si>
    <t>เครื่องสแกนเนอร์ HP Scanjet Prt 2000s2 Sheet-feed</t>
  </si>
  <si>
    <t xml:space="preserve">ทดแทนเลขครุภัณฑ์พม/พมจ-สร/04-09-37/001/2560 ซึ่งหมดสภาพการใช้งาน </t>
  </si>
  <si>
    <t>พม/พมจ-สร/04-09-37/001/2560</t>
  </si>
  <si>
    <t xml:space="preserve">สุรินทร์ </t>
  </si>
  <si>
    <t xml:space="preserve">พมจ.สุรินทร์ </t>
  </si>
  <si>
    <t>เครื่องสแกนลายนิ้วมือชนิดบันทึกเวลาเข้าออกงาน</t>
  </si>
  <si>
    <t>ทดแทนเครื่องเก่าที่ได้รับบริจาค มีอายุการงานเกิน 3 ปี มีปัญหาเครื่องไม่อ่านลายนิ้วือ</t>
  </si>
  <si>
    <t xml:space="preserve">จัดซื้อใหม่เนื่องจากไม่มีใช้งาน </t>
  </si>
  <si>
    <t xml:space="preserve">พัดลมสไลด์ ขนาด 16 นิ้ว </t>
  </si>
  <si>
    <t>พัดลมติดผนัง</t>
  </si>
  <si>
    <t xml:space="preserve">ตู้สาขาโทรศัพท์ </t>
  </si>
  <si>
    <t xml:space="preserve">เพื่อทดแทนของเดิมที่ชำรุดไม่คุ้มค่าต่อการซ่อมบำรุงรักษา </t>
  </si>
  <si>
    <t>040910001/2554</t>
  </si>
  <si>
    <t xml:space="preserve">จัดซื้อใหม่เนื่องจากไม่มีใช้ในการประกอบพิธีการต่างๆ </t>
  </si>
  <si>
    <t>โต๊ะหมู่บูชา</t>
  </si>
  <si>
    <t>มีความจำเป็นในการปฏิบัติงานของเจ้าหน้าที่และผู้ใช้บริการ</t>
  </si>
  <si>
    <t>เครื่องฟอกอากาศ แบบฝังใต้เพดาน หรือแบบติดผนัง (ไม่รวมค่าติดตั้ง) ขนาดความเร็วของแรงลมระดับสูงไม่ต่ำกว่า 1000 ซีเอฟเอ็ม</t>
  </si>
  <si>
    <t>จัดซื้อใหม่ไม่เคยมีใช้งาน พื้นที่มีจำกัด บุคลากรภายในสำนักงานอยู่กันอย่างแออัด</t>
  </si>
  <si>
    <t>เครื่องปรับอากาศ แบบแยกส่วน (ราคารวมค่าติดตั้ง) แบบตั้งพื้นหรือแบบแขวน (ระบบ Inverter) ขนาด 40000 บีทียู</t>
  </si>
  <si>
    <t>เนื่องจาก ครุภัณฑ์ที่มีอยู่ใช้งาน 10 ปี และชำรุดบ่อยครั้ง ไม่คุ้มค่าต่อการซ่อมบำรุง</t>
  </si>
  <si>
    <t>พม/พมจ-สต/04-07-01/003/2558</t>
  </si>
  <si>
    <t>เครื่องปรับอากาศ แบบแยกส่วน (ราคารวมค่าติดตั้ง) แบบตั้งพื้นหรือแบบแขวน (ระบบ Inverter) ขนาด 36000 บีทียู</t>
  </si>
  <si>
    <t>เนื่องจากไม่เคยได้รับการจัดสรร เครื่องปรับอากาศเป็นของจังหวัดที่มาพร้อมอาคาร สนง. ซึ่งมีสภาพชำรุดบ่อยและอะไหล่หายาก</t>
  </si>
  <si>
    <t>เพื่อทดแทนเครื่อมเดิมที่มีอายุการใช้งานนานกว่า 10 ปี มีสภาพเก่าทรุดโทรม ไม่คุ้มกับการซ่อมบำรุงรักษา</t>
  </si>
  <si>
    <t>เครื่องปรับอากาศ แบบแยกส่วน (ราคารวมค่าติดตั้ง) แบบตั้งพื้นหรือแบบแขวน (ระบบ Inverter) ขนาด 30000 บีทียู</t>
  </si>
  <si>
    <t>เครื่องปรับอากาศ แบบแยกส่วน (ราคารวมค่าติดตั้ง) แบบตั้งพื้นหรือแบบแขวน ขนาด 26000 บีทียู</t>
  </si>
  <si>
    <t>เครื่องปรับอากาศ แบบแยกส่วน (ราคารวมค่าติดตั้ง) แบบตั้งพื้นหรือแบบแขวน (ระบบ Inverter) ขนาด 24000 บีทียู</t>
  </si>
  <si>
    <t>เพื่อทดแทนเครื่อมเดิมที่มีอายุการใช้งานมากกกว่า 22 ปี ไม่คุ้มกับการซ่อมบำรุงรักษา</t>
  </si>
  <si>
    <t>ทดแทนของเดิมที่ชำรุด จำนวน 5 เครื่อง ซึ่งมีอายุการใช้งานนาน 13 ปี ไม่คุ้มค่าแก่การซ่อมแซม</t>
  </si>
  <si>
    <t xml:space="preserve"> พม/พมจ-อบ/04-04-01/001/2553
พม/พมจ-อบ/04-04-01/002/2553
 พม/พมจ-อบ/04-04-01/003/2553
 พม/พมจ-อบ/04-04-01/004/2553
 พม/พมจ-อบ/04-04-01/005/2553</t>
  </si>
  <si>
    <t xml:space="preserve">ทดแทน หมายเลข พม/พมจ/สป/04-07-02/002/2559 ซึ่งมีอายุการใช้งานนาน 10 ปี ใช้งานได้ไม่ดีเท่าที่ควร ไม่คุ้มค่ากับค่าซ่อมแซม </t>
  </si>
  <si>
    <t>พม/พมจ-สป/
04-07-02/002/2559</t>
  </si>
  <si>
    <t>เครื่องปรับอากาศ แบบแยกส่วน (ราคารวมค่าติดตั้ง) แบบติดพนัง  (ระบบ Inverter) ขนาด 24000 บีทียู</t>
  </si>
  <si>
    <t xml:space="preserve">ทดแทนของเดิมซึ่งมีอายุการใช้งานมากกว่า 10 ปี ไม่คุ้มค่าซ่อมบำรุง จำนวน 3 เครื่อง เพื่อเนื่องจากขนาดBTU ของเครื่องปรับอากาศ น้อยกว่าขนาดพื้นที่ห้องปฏิบัติงาน </t>
  </si>
  <si>
    <t>พม/พมจ-ชบ/04-07-01/003/2556 และ พม/พมจ-ชบ/04-07-01/002/2556 และ พม/พมจ-ชบ/04-07-01/001/2556</t>
  </si>
  <si>
    <t>เครื่องปรับอากาศ แบบแยกส่วน (ราคารวมค่าติดตั้ง) แบบติดผนัง (ระบบ Inverter) ขนาด 24000 บีทียู</t>
  </si>
  <si>
    <t>เพื่อทดแทนเครื่องปรับอากาศที่ติดตั้งมากับตัวอาคารศาลากลางจังหวัด</t>
  </si>
  <si>
    <t>เครื่องปรับอากาศ แบบแยกส่วน (ราคารวมค่าติดตั้ง) แบบตั้งพื้นหรือแบบแขวน ขนาด 20000 บีทียู</t>
  </si>
  <si>
    <t>จัดซื้อใหม่ เพื่อเพิ่มประสิทธิภาพในการปฏิบัติงาน</t>
  </si>
  <si>
    <t>เครื่องปรับอากาศ แบบแยกส่วน (ราคารวมค่าติดตั้ง) แบบตั้งพื้นหรือแบบแขวน ขนาด 18000 บีทียู</t>
  </si>
  <si>
    <t xml:space="preserve">ทดแทนของเดิมซึ่งมีอายุการใช้งานมากกว่า 10 ปี ไม่คุ้มค่าซ่อมบำรุง </t>
  </si>
  <si>
    <t>พม/พมจ-นน/04-07-01/001/2552 และ พม/พมจ-นน/04-09-25/001/2563</t>
  </si>
  <si>
    <t>เครื่องปรับอากาศ แบบแยกส่วน (ราคารวมค่าติดตั้ง) แบบติดผนัง (ระบบ Inverter) ขนาด 18000 บีทียู</t>
  </si>
  <si>
    <t>เครื่องปรับอากาศ แบบแยกส่วน (ราคารวมค่าติดตั้ง) แบบตั้งพื้นหรือแบบแขวน (ระบบ Inverter) ขนาด 18000 บีทียู</t>
  </si>
  <si>
    <t>เพื่อรับรองภาคเอกชนที่มาติดต่อ (CSR) และเครือข่ายต่าง ๆ</t>
  </si>
  <si>
    <t>โต๊ะพร้อมเก้าอี้สำหรับผู้มาติดต่อราชการ</t>
  </si>
  <si>
    <t>จัดซื้อใหม่ เนื่องจากไม่เพียงพอต่อการใช้งาน</t>
  </si>
  <si>
    <t>จัดซื้อใหม่ไม่เพียงพอต่อการใช้งาน</t>
  </si>
  <si>
    <t>เพื่อทดแทนครุภัณฑ์เดิมที่ต่ำกว่าเกณฑ์มาตราฐาน</t>
  </si>
  <si>
    <t>เพื่อเพิ่มประสิทธิภาพการทำงาน</t>
  </si>
  <si>
    <t>เพื่อรับรองประชาชน ผู้มาติดต่อให้มีที่นั่งพัก และเพิ่มความพึงใจในการบริการของประชาชน</t>
  </si>
  <si>
    <t>เก้าอี้เหล็กบุนวม</t>
  </si>
  <si>
    <t>เนื่องจากเจ้าหน้าที่ทีมีมาเพิ่มเติม ประกอบของเดิมที่มีอายุการใช้งานมานาน ชำรุด เสียหาย ซ่อมแล้วไม่สามารถใช้งานต่อได้เป็นเวลานาน ใช้งานได้แค่ระยะสั้นๆ</t>
  </si>
  <si>
    <t>เก้าอี้ทำงานสำหรับเจ้าหน้าที่</t>
  </si>
  <si>
    <t>ทดแทน/จัดซื้อใหม่ เนื่องจากชำรุด และไม่เพียงพอต่อการใช้งาน</t>
  </si>
  <si>
    <t>ทดแทน/จัดซื้อใหม่ เนื่องจากชำรุด</t>
  </si>
  <si>
    <t>พม/พมจ-สพ/04-03-03/001/2542 และ พม/พมจ-สพ/04-03-03/001/2535</t>
  </si>
  <si>
    <t xml:space="preserve">ทดแทนของเดิมที่ชำรุด </t>
  </si>
  <si>
    <t>พม/พมจ-รบ/04-03-04/01/2563</t>
  </si>
  <si>
    <t>เก้าอี้สำหรับผู้บริหาร</t>
  </si>
  <si>
    <t>พม/พมจ-ศก/04-02-15/001/2561 พม/พมจ-ศก/04-02-15/002/2561  พม/พมจ-ศก/04-02-15/003/2561  พม/พมจ-ศก/04-02-15/004/2561 พม/พมจ-ศก/04-02-15/005/2561</t>
  </si>
  <si>
    <t>โต๊ะพับอเนกประสงค์หน้าขาวขาโครเมียม ขนาด 60x150x75 cm</t>
  </si>
  <si>
    <t>ไม่เพียงพอต่อการใช้งาน เนื่องจากหน่วยงานมีการจัดประชุมบ่อยครั้ง</t>
  </si>
  <si>
    <t>โต๊ะห้องประชุมโล่ง</t>
  </si>
  <si>
    <t>โต๊ะห้องประชุม</t>
  </si>
  <si>
    <t>เพื่อทดแทนของเดิมที่รองรับผู้เข้าร่วมประชุมไม่เพียงพอ</t>
  </si>
  <si>
    <t>ทดแทนครุภัณฑ์ พม/พมจ-สท/04-02-06/001/2555 เก้าอี้ชำรุด ไม่สามารถปรับระดับได้ ที่ท้าวแขนหลุด  ใช้สำหรับในการประชุมสำนักงาน ประชุมคณะกรรมการชุดต่างๆ รวมถึงการประชุมของหน่วยงานเครือข่าย</t>
  </si>
  <si>
    <t>พม/พมจ/สท/04-02-06/001/2555</t>
  </si>
  <si>
    <t>โต๊ะประชุมพร้อมเก้าอี้</t>
  </si>
  <si>
    <t>โต๊ะทำงานสำหรับเจ้าหน้าที่</t>
  </si>
  <si>
    <t>เพื่อทดแทนของเดิมที่ชำรุด</t>
  </si>
  <si>
    <t>มีจำนวนไม่เพียงพอต่อการใช้งาน และมีบางส่วนชำรุด</t>
  </si>
  <si>
    <t xml:space="preserve">ทดแทนครุภัณฑ์ที่ชำรุด เก่ามีสนิม ลิ้นชัดหลุด ซึ่งมีอายุการใช้งานประมาณ 8-10 ปี </t>
  </si>
  <si>
    <t>มีจำนวนไม่เพียงพอต่อการใช้งาน</t>
  </si>
  <si>
    <t>ทดแทนหมายเลข พม/พมจ-อด/04-02-21/004/2553,พม/พมจ-อด/04-02-21/003/2553,พม/พมจ-อด/04-02-21/002/2553,พม/พมจ-อด/04-02-21/001/2553 ซึ่งมีอายุการใช้งาน 14 ปี พม/พมจ-อด/04-02-30/001/2558 ซึ่งมีอายุการใช้งาน 10 ปี ลักษณะที่ชำรุด มีดังต่อไปนี้ ล้อเลื่อนหัก เลื่อนเก้าอี้ไม่ได้ ไม่สามารถนั่งทำงานได้ จำนวน 6 ตัว /เบาะนั่งมีเหล็กทิ่มขึ้นมาตรงกลางเบาะ ทำให้เก้าอี้เอียงซ้ายขวา ไม่สามารถนั่งทำงานได้ จำนวน 8 ตัว /เก้าอี้ไม่สามารถนั่งได้ เพราะเบาะเอียงมาด้านหน้า ได้มีการขันน็อตให้แน่นแล้ว แต่ก็ยังเป็นลักษณะดังกล่าว จึงไม่สามารถนั่งทำงานได้ จำนวน 7 ตัว /เก้าอี้ไม่สามารถเอนหลังพนักพิงได้เพราะเก้าอี้จะหงายหลัง ได้มีการขันน็อตให้แน่นแล้ว แต่ก็ยังเป็นลักษณะดังกล่าว และที่พักแขนหัก จำนวน 8 ตัว ได้มีการสอบราคากับร้านแล้วค่าวัดุและอะไหล่ต่อเก้าอี้หนึ่งตัวมีราคาสูง จึงไม่คุ้มค่าที่จะซ่อมบำรุง รวมที่ชำรุดทั้งสิ้น จำนวน 29 ตัว</t>
  </si>
  <si>
    <t>พม/พมจ-อด/04-02-21/004/2553,พม/พมจ-อด/04-02-21/003/2553,พม/พมจ-อด/04-02-21/002/2553,พม/พมจ-อด/04-02-21/001/2553,พม/พมจ-อด/04-02-30/001/2558</t>
  </si>
  <si>
    <t>เพื่อทดแทนหมายเลข ed56พมจ.นม0100-01-07,ed56พมจ.นม010012-13 และเพื่อให้มีพื้นที่ที่เป็นระเบียบ</t>
  </si>
  <si>
    <t>ed56พมจ.นม0100-01-07
ed56พมจ.นม010012-13</t>
  </si>
  <si>
    <t xml:space="preserve">โต๊ะทำงานเหล็กสำหรับเจ้าหน้าที่ ขนาด 4 ฟุต </t>
  </si>
  <si>
    <t>ทดแทนหมายเลข พม/พมจ-อด/04-02-21/004/2553,พม/พมจ-อด/04-02-21/003/2553,พม/พมจ-อด/04-02-21/002/2553,พม/พมจ-อด/04-02-21/001/2553 ซึ่งมีอายุการใช้งาน 14 ปี พม/พมจ-อด/04-02-30/001/2558 ซึ่งมีอายุการใช้งาน 10 ปี ลักษณะที่ชำรุด มีดังต่อไปนี้ เลื่อนลิ้นชักเปิดออกไม่ได้ เนื่องจากล้อเลื่อนเสื่อมสภาพ อะไหล่เป็นสนิมเกาะ ไม่สามารถจัดเก็บเอกสารและวัสดุอุปกรณ์สำนักงานได้ จำนวน 4 ตัว /ลิ้นชักไม่สามารถเลื่อนเปิดออกมาได้ หากมีการเลื่อนเปิดออกมาลิ้นชักจะหลุดออกมาจากโต๊ะ จำนวน 2 ตัว /ลิ้นชักเบี้ยวเสียทรง เนื่องจากอะไหล่ล้อเลื่อนเป็นสนิมแล้วหัก ทำให้เลื่อนปิดไม่สนิท ไม่สามารถจัดเก็บเอกสารในลิ้นชักได้เพราะอาจทำให้เอกสารเกิดความเสียหาย จำนวน 12 ตัว ลักษณะชำรุดดังกล่าว ได้มีการสอบถามจากร้านค้าความว่าไม่มีอะไหล่ในการเปลี่ยนหรือรับซ่อมบำรุง รวมที่ชำรุดทั้งสิ้นจำนวน 18 ตัว</t>
  </si>
  <si>
    <t xml:space="preserve">เนื่องจากมีบุคลากรเพิ่มขึ้น ทำให้โต๊ะทำงานไม่เพียงพอ </t>
  </si>
  <si>
    <t>ตู้เหล็ก แบบ 4 ลิ้นชัก</t>
  </si>
  <si>
    <t>ตู้ที่มีอยู่ไม่เพียงพอต่อการใช้งานเนื่องจากปัจจุบันภารกิจมีมากต้องการตู้เหล็กเพิ่มมากขึ้น</t>
  </si>
  <si>
    <t>ตู้เหล็ก แบบ 2 บาน</t>
  </si>
  <si>
    <t>ทดแทนของเดิมที่ชำรุดไม่สามารถซ่อมแซมได้</t>
  </si>
  <si>
    <t>เครื่องเจาะกระดาษไฟฟ้าและเข้าเล่มมือโยก</t>
  </si>
  <si>
    <t>เครื่องทําลายเอกสาร แบบตัดตรง ทําลายครั้งละ 10 แผ่น</t>
  </si>
  <si>
    <t>จัดซื้อใหม่ ใช้ทำลายเอกสารที่ไม่ใช้แล้ว</t>
  </si>
  <si>
    <t>เครื่องทําลายเอกสาร แบบตัดตรง ทําลายครั้งละ 30 แผ่น</t>
  </si>
  <si>
    <t>เนื่องจากเอกสารในสำนักงานที่จะทำลายเป็นข้อมูลส่วนบุคคล และ ไม่สำมารถเปิดเผยได้จำนวนมาก เพื่อให้เกิดควำมปลอดภัยจึงมีความจำเป็นต้องจัดซื้อเครื่องทำลายเอกสาร</t>
  </si>
  <si>
    <t>เครื่องทําลายเอกสาร แบบตัดตรง ทําลายครั้งละ 20 แผ่น</t>
  </si>
  <si>
    <t>ทดแทนของเดิมที่ชำรุดไม่คุ้มค่ากับกำรซ่อมบำรุง ประกอบกับมีเอกสารสำคัญจำนวนมาก ซึ่งต้องทำลายทิ้งเพียงอย่างเดียวจึง จำเป็นต้องจัดซื้อเครื่องทำลายเอกสาร</t>
  </si>
  <si>
    <t>พม/พมจ-นน/04-09-25/001/2563</t>
  </si>
  <si>
    <t>เพื่อเพิ่มประสิทธิภาพในการทำงานและเป็นประโยชน์ต่อเจ้าหน้าที่</t>
  </si>
  <si>
    <t>เครื่องทําลายเอกสาร แบบตัดละเอียด ทําลายครั้งละ 20 แผ่น</t>
  </si>
  <si>
    <t>จัดซื้อใหม่ ใช้งานทุกกลุ่ม/ฝ่าย ยังไม่เคยมีใช้งาน</t>
  </si>
  <si>
    <t>เครื่องทําลายเอกสาร แบบตัดละเอียด ทําลายครั้งละ 30 แผ่น</t>
  </si>
  <si>
    <t>ทดแทนเครื่องเดิมที่ชำรุด เสียค่าซ่อมแซมบำรุงรักษามาก ไม่คุ้มค่าใช้จ่าย</t>
  </si>
  <si>
    <t>เพื่อใช้ในการทำความสะอาด สนง.</t>
  </si>
  <si>
    <t>เครื่องขัดพื้น</t>
  </si>
  <si>
    <t>สำหรับใช้ในการปฏิบัติงานของ พนักงานทำความสะอาด</t>
  </si>
  <si>
    <t>เครื่องดูดฝุ่น ขนาด 25 ลิตร</t>
  </si>
  <si>
    <t>ทำความสะอาดภายใน สนง. ตามนโยบายปลอดฝุ่น PM 2.0</t>
  </si>
  <si>
    <t>มีความจำเป็นในการปฏิบัติงานของเจ้าหน้าที่</t>
  </si>
  <si>
    <t>เครื่องดูดฝุ่น ขนาด 15 ลิตร</t>
  </si>
  <si>
    <t>ใช้ในการทำความสะอาดสำนักงาน ในส่วนที่ไม่สามารถใช้ไม้กวาดทำความสะอาดได้ เพื่อสุขอนามัยที่ดีของบุคลากรและผู้เข้ารับบริการและความเป็นระเบียบเรียบร้อยของสำนักงาน และ รวมถึงการทำความสะอาดรถยนต์ราชการด้วย</t>
  </si>
  <si>
    <t>จัดซื้อใหม่เพื่อเพิ่มประสิทธภาพในการปฏิบัติงาน</t>
  </si>
  <si>
    <t>เครื่องพิมพ์สําเนาระบบดิจิทัล ความละเอียด 300 x 600 จุดต่อตารางนิ้ว</t>
  </si>
  <si>
    <t xml:space="preserve"> เครื่องถ่ายเอกสารระบบดิจิตอล (ขาว-ดำ) ความเร็ว 30 แผ่นต่อนาที</t>
  </si>
  <si>
    <t>ทดแทนหมายเลข พม/พมจ-อท/04-06-01/001/2556 ซึ่งมีอายุ การใช้งาน 12 ปี ไม่คุ้มค่าซ่อม</t>
  </si>
  <si>
    <t>พม/พมจ-อท/04-06-01/001/2556</t>
  </si>
  <si>
    <t>ทดแทนหมายเลข พม/พมจ-สก/04-06-01/001/2557 ซึ่งมีอายุ การใช้งาน 13 ปี ไม่คุ้มค่าซ่อม</t>
  </si>
  <si>
    <t>พม/พมจ-สก/
04-06-01/001/2557</t>
  </si>
  <si>
    <t xml:space="preserve"> เครื่องถ่ายเอกสารระบบดิจิตอล (ขาว-ดำ และสี) ความเร็ว 30 แผ่นต่อนาที</t>
  </si>
  <si>
    <t>สำหรับใช้ในการปฏิบัติงานของ จนท.พมจ.ตาก</t>
  </si>
  <si>
    <t xml:space="preserve"> เครื่องถ่ายเอกสารระบบดิจิตอล (ขาว-ดำ) ความเร็ว 50 แผ่นต่อนาที</t>
  </si>
  <si>
    <t>ทดแทนหมายเลข พม/พมจ-กจ/04-06-01/001/2561 ที่ชำรุด หากซ่อมแซมจะไม่คุ้ม เพราะเสียค่าใช้จ่ายสูง ซึ่งจัดซื้อมาตั้งแต่ปี 2561</t>
  </si>
  <si>
    <t>พม/พมจ-กจ/
04-06-01/001/2561</t>
  </si>
  <si>
    <t>เครื่องพิมพ์ที่ ศทส. จัดสรรให้มามีจำนวนไม่เพียงพอ รวมถึงค่าใช้จ่ายในการซื้อหมึกพิมพ์สูง</t>
  </si>
  <si>
    <t xml:space="preserve"> เครื่องถ่ายเอกสารระบบดิจิตอล (ขาว-ดำ) ความเร็ว 40 แผ่นต่อนาที</t>
  </si>
  <si>
    <t>ติดตามข่าวสาร ที่เสนอผ่านสื่อช่องต่างๆ เพิ่มประสิทธิภาพการเผยแพร่ข้อมูล ข่าวสาร ประชาสัมพันธ์ได้ทันต่อสถานการณ์ในปัจจุบันและตอบสนองผู้ใช้บริการเป็นอย่างดี</t>
  </si>
  <si>
    <t>โทรทัศน์แอล อีดี(LED TV) แบบ Smart TV</t>
  </si>
  <si>
    <t>บริหารจัดการระบบเทคโนโลยีสารสนเทศและการสื่อสาร</t>
  </si>
  <si>
    <t>เพื่อใช้เป็นป้ายประชาสัมพันธ์ดิจิทัลอัตโนมัติ สำหรับติดตั้งในพื้นที่ส่วนกลาง เผยแพร่ข้อมูลข่าวสาร กิจกรรม และผลงานขององค์กร ได้อย่างทันสมัย ดึงดูดความสนใจ และเปลี่ยนเนื้อหาได้ทันที</t>
  </si>
  <si>
    <t>ตู้คีออส (Digital Signage Kiosk) ขนาดไม่น้อยกว่า 55 นิ้ว</t>
  </si>
  <si>
    <t>เพื่อใช้เป็นเครื่องมือในการนำเสนอข้อมูลเชิงโต้ตอบ (Interactive Presentation) ในห้องประชุม/ห้องปฏิบัติการ เพิ่มความน่าสนใจในการสื่อสารและการฝึกอบรม รวมถึงใช้เป็นจอตรวจสอบงานออกแบบขนาดใหญ่</t>
  </si>
  <si>
    <t>จอแสดงผลแบบสัมผัส ขนาดไม่น้อยกว่า 65 นิ้ว</t>
  </si>
  <si>
    <t>เพื่อใช้ในการจ่ายไฟฟ้าสำรองให้กับเครื่องคอมพิวเตอร์และอุปกรณ์สำคัญ ป้องกันความเสียหายของข้อมูลและครุภัณฑ์ที่อาจเกิดจากการไฟฟ้าดับ หรือไฟฟ้ากระชาก ทำให้การผลิตสื่อดำเนินไปได้อย่างต่อเนื่องและปลอดภัย</t>
  </si>
  <si>
    <t>เครื่องสำรองไฟฟ้า ขนาด 2 kVA</t>
  </si>
  <si>
    <t>เพื่อใช้เป็นเครื่องมือเคลื่อนที่ที่มีประสิทธิภาพสูง สามารถนำติดตัวไปปฏิบัติงานนอกสถานที่ เช่น การประชุม การแถลงข่าว หรือการตัดต่อวิดีโอในพื้นที่จัดงานได้อย่างรวดเร็วและมีประสิทธิภาพไม่ต่างจากเครื่องตั้งโต๊ะ</t>
  </si>
  <si>
    <t>เครื่องคอมพิวเตอร์โน้ตบุ๊ก 
สำหรับการออกแบบกราฟิก</t>
  </si>
  <si>
    <t>เพื่อใช้เป็นจอภาพมาตรฐานสำหรับการทำงานกราฟิกและงานสำนักงานที่ต้องการพื้นที่การมองเห็นที่กว้าง เพิ่มความละเอียดและความถูกต้องของสีในการออกแบบและตรวจสอบผลงานสื่อขององค์กร</t>
  </si>
  <si>
    <t>จอแสดงภาพ ขนาดไม่น้อยกว่า 24 นิ้ว</t>
  </si>
  <si>
    <t>เพื่อใช้เป็นเครื่องมือหลักสำหรับการผลิตสื่อกราฟิก งานตัดต่อวิดีโอ และงานมัลติมีเดียที่ซับซ้อน ให้กับฝ่ายประชาสัมพันธ์ฯ ต้องการสเปคสูงเพื่อรองรับซอฟต์แวร์เฉพาะทาง (เช่น Adobe Creative Suite) และช่วยให้การทำงานมีความรวดเร็วและมีประสิทธิภาพสูง</t>
  </si>
  <si>
    <t>เครื่องคอมพิวเตอร์ สำหรับการออกแบบกราฟิก จอแสดงภาพขนาดไม่น้อยกว่า 24 นิ้ว</t>
  </si>
  <si>
    <t>เพื่อใช้เป็นขาตั้งที่มั่นคงและแข็งแรงสำหรับรองรับชุดไฟแฟลชกำลังสูงอย่างปลอดภัย พร้อมระบบ Air-Cushioned เพื่อป้องกันความเสียหายของครุภัณฑ์ เพิ่มความปลอดภัยและอำนวยความสะดวกในการจัดตำแหน่งแสงได้อย่างรวดเร็ว</t>
  </si>
  <si>
    <t xml:space="preserve">ขาตั้งไฟ ขนาด 2.8m </t>
  </si>
  <si>
    <t>เพื่อใช้ในการกระจายแสงให้มีความนุ่มนวลและสม่ำเสมอแบบรอบทิศทาง เหมาะสำหรับการให้แสงสว่างพื้นที่กว้างในการถ่ายภาพกลุ่มหรือภาพงานแถลงข่าว ทำให้ภาพประชาสัมพันธ์มีคุณภาพแสงที่ดีเยี่ยม</t>
  </si>
  <si>
    <t>อุปกรณ์เสริมไฟสตูดิโอ</t>
  </si>
  <si>
    <t>เพื่อใช้เป็นอุปกรณ์ควบคุมการทำงานของแฟลชได้อย่างแม่นยำและรวดเร็ว ช่วยให้การจัดแสงมีความยืดหยุ่นและปรับเปลี่ยนได้ตามสถานการณ์ ทำให้การทำงานของห้องปฏิบัติการมีประสิทธิภาพและคล่องตัวสูงขึ้น</t>
  </si>
  <si>
    <t xml:space="preserve"> แฟลชทริกเกอร์ไร้สาย</t>
  </si>
  <si>
    <t>เพื่อใช้เป็นชุดไฟแฟลชกำลังสูง สำหรับสร้างแสงสว่างที่มีคุณภาพและมิติเทียบเท่าสตูดิโอในการถ่ายภาพนิ่งและวิดีโอภายนอกสถานที่ ยกระดับความสวยงามและความเป็นมืออาชีพของภาพประชาสัมพันธ์และสื่อองค์กร</t>
  </si>
  <si>
    <t>แฟลชสตูดิโอ</t>
  </si>
  <si>
    <t>เพื่อใช้ในการรับและบันทึกเสียงพูด/เสียงบรรยาย ในการประชุม การสัมภาษณ์ หรือการผลิตสื่อ ให้ได้คุณภาพเสียงที่คมชัด ลดเสียงรบกวน และมีความชัดเจนของเนื้อหา เพิ่มประสิทธิภาพการสื่อสารและยกระดับคุณภาพของสื่อเสียงของสำนักงานโดยรวม</t>
  </si>
  <si>
    <t>ไมโครโฟน</t>
  </si>
  <si>
    <t>เพื่อใช้ในการตรวจสอบคุณภาพเสียง (Critical Listening) ตัดต่อ และมิกซ์เสียง ของงานผลิตสื่อ วิดีโอ หรือพอดแคสต์ของสำนักงาน ได้อย่างแม่นยำและเที่ยงตรง ตามมาตรฐานสตูดิโอ (Reference Grade) ซึ่งช่วยลดความผิดพลาดด้านเสียงและทำให้ผลงานที่เผยแพร่ออกไปมีคุณภาพสูง</t>
  </si>
  <si>
    <t>หูฟังสตูดิโอ</t>
  </si>
  <si>
    <t>เพื่อใช้ในการยึดจับไมโครโฟนให้อยู่ในตำแหน่งที่เหมาะสมและมั่นคง ขณะใช้งาน ทั้งในการประชุม การบันทึกเสียง หรือการถ่ายทำวิดีโอ ช่วยให้การจัดวางไมโครโฟนเป็นไปตามหลักการอะคูสติก เพิ่มคุณภาพเสียงที่ได้รับ และอำนวยความสะดวกในการจัดกิจกรรมที่ต้องมีการใช้ไมโครโฟนหลายจุดพร้อมกัน</t>
  </si>
  <si>
    <t xml:space="preserve">ขาตั้งไมโครโฟน 3 ขา </t>
  </si>
  <si>
    <t>เพื่อใช้ในการตรวจสอบและประเมินคุณภาพเสียง ที่บันทึกหรือผลิตขึ้นได้อย่างถูกต้องแม่นยำ (Flat frequency response) ช่วยให้การตัดสินใจด้านเสียง (Mixing/Mastering) สำหรับสื่อของสำนักงานเป็นไปตามมาตรฐานวิชาชีพ และลดความผิดพลาดก่อนเผยแพร่</t>
  </si>
  <si>
    <t>ลำโพงมอนิเตอร์ 6.5 นิ้ว</t>
  </si>
  <si>
    <t>เพื่อใช้เป็นสายสัญญาณหลักในการเชื่อมต่อระหว่างไมโครโฟนและอุปกรณ์บันทึกเสียง/มิกเซอร์ ทำให้สามารถรับส่งสัญญาณเสียงได้อย่างมีคุณภาพและเสถียรภาพในการปฏิบัติงาน เช่น การสัมภาษณ์ การประชุม หรือการผลิตสื่อภายในสำนักงาน</t>
  </si>
  <si>
    <t>สายไมโครโฟน แบบ XLR (M) -- XLR (F) ยาว 5 เมตร</t>
  </si>
  <si>
    <t>เพื่อสนับสนุนการดำเนินงานด้านประชาสัมพันธ์และการผลิตสื่อของหน่วยงาน ให้บุคลากรสามารถบันทึกเสียงและจัดทำสื่อเสียงได้อย่างมีคุณภาพตามมาตรฐานวิชาชีพ จึงมีความจำเป็นต้องจัดซื้อไมโครโฟนชนิด Dynamic (เช่น SHURE SM7B หรือคุณภาพเทียบเท่า) ซึ่งให้เสียงพูดที่คมชัด ลดเสียงรบกวน เหมาะสมกับการใช้งานผลิตสื่อเผยแพร่ของกระทรวง</t>
  </si>
  <si>
    <t xml:space="preserve">ไมค์สำหรับบันทึกเสียง ไมโครโฟนชนิด Dynamic </t>
  </si>
  <si>
    <t>เพื่อใช้เป็นจุดยืนสำหรับผู้บรรยาย/ประธานในพิธี ในการจัดงานประชุม สัมมนา และพิธีการต่าง ๆ ของกระทรวงเสริมสร้างภาพลักษณ์ที่เป็นทางการ น่าเชื่อถือ และมีความสง่างามสอดคล้องกับมาตรฐานของกระทรวง</t>
  </si>
  <si>
    <t>แท่น Podium พร้อมโลโก้กระทรวง</t>
  </si>
  <si>
    <t>เพื่อใช้สำหรับจัดเก็บและควบคุมความชื้น ของกล้อง เลนส์ และอุปกรณ์ถ่ายภาพทั้งหมด ป้องกันการเกิดเชื้อรา ซึ่งเป็นสาเหตุหลักที่ทำให้อุปกรณ์เสียหายและมีอายุการใช้งานสั้นลง ถือเป็นการบำรุงรักษาครุภัณฑ์ให้พร้อมใช้งานและยืดอายุการใช้งาน</t>
  </si>
  <si>
    <t xml:space="preserve">ตู้กันชื้น 160 ลิตร </t>
  </si>
  <si>
    <t>เพื่อช่วยในการตั้งกล้องให้นิ่งและมั่นคง สำหรับการถ่ายภาพที่ต้องใช้ความเร็วชัตเตอร์ต่ำ การถ่ายวิดีโอ หรือการถ่ายทอดสด ทำให้ได้ภาพที่มีความคมชัดและไม่สั่นไหว</t>
  </si>
  <si>
    <t xml:space="preserve">ขาตั้งกล้อง </t>
  </si>
  <si>
    <t>เพื่อใช้เป็นหน่วยจัดเก็บข้อมูลภาพถ่ายและวิดีโอความละเอียดสูงที่ถ่ายด้วยกล้องได้อย่างรวดเร็วและมีประสิทธิภาพ มีความจุเพียงพอต่อการบันทึกงานสำคัญตลอดทั้งวัน</t>
  </si>
  <si>
    <t>เมมโมรี่การ์ด 64 GB</t>
  </si>
  <si>
    <t>เพื่อใช้เป็นแหล่งกำเนิดแสงเสริมสำหรับปรับปรุงคุณภาพของภาพถ่ายในสภาวะแสงน้อยหรือในอาคาร ช่วยให้ภาพมีความสว่างเพียงพอและสีสันไม่ผิดเพี้ยนตามวัตถุประสงค์ของการประชาสัมพันธ์</t>
  </si>
  <si>
    <t>แฟลชกล้อง</t>
  </si>
  <si>
    <t>เพื่อใช้เป็นแบตเตอรี่สำรองเฉพาะรุ่นสำหรับแฟลช Speedlite EL-1 ช่วยให้สามารถยิงแฟลชซ้ำได้อย่างรวดเร็วและต่อเนื่อง (Fast Recycle Time) และรองรับการยิงแฟลชเต็มกำลังได้ยาวนาน เพิ่มความพร้อมในการทำงานของแฟลช เพื่อให้การถ่ายภาพในสภาวะแสงน้อยเป็นไปอย่างมีประสิทธิภาพสูงสุด</t>
  </si>
  <si>
    <t>แบตเตอรี่แฟลช</t>
  </si>
  <si>
    <t>เพื่อเป็นแบตเตอรี่สำรองสำหรับเปลี่ยนใช้งานทันที ในกรณีที่แบตเตอรี่หลักหมดระหว่างการปฏิบัติงาน ทำให้มั่นใจได้ว่าการบันทึกภาพสำคัญจะไม่สะดุดหรือหยุดชะงัก</t>
  </si>
  <si>
    <t>แบตเตอรี่กล้อง</t>
  </si>
  <si>
    <t>เพื่อปกป้องหน้าเลนส์จากการกระแทก ฝุ่นละออง และรอยขีดข่วน ซึ่งเป็นสิ่งที่สำคัญอย่างยิ่งในการรักษาคุณภาพและความคงทนของเลนส์ราคาแพง</t>
  </si>
  <si>
    <t>ฟิลเตอร์ ขนาด 77 MM</t>
  </si>
  <si>
    <t>เพื่อใช้ในการถ่ายภาพระยะไกล (Telephoto) เช่น การถ่ายภาพบุคคลสำคัญ ภาพกิจกรรมบนเวที หรือเหตุการณ์ภาคสนาม เลนส์นี้มีคุณสมบัติในการซูมได้ยืดหยุ่น สร้างภาพหน้าชัดหลังเบลอ (โบเก้) ได้อย่างสวยงาม และมีระบบป้องกันภาพสั่นไหว (IS) ช่วยให้ได้ภาพที่มีคุณภาพสูง คมชัด และมีความเป็นมืออาชีพสำหรับการประชาสัมพันธ์</t>
  </si>
  <si>
    <t>เลนส์ RF70-200MM F/4L IS USM</t>
  </si>
  <si>
    <t>เพื่อเพิ่มจำนวนชุดกล้องให้เพียงพอต่อการรองรับภารกิจสำคัญที่เกิดขึ้นพร้อมกันหลายงาน โดยเฉพาะงานประชาสัมพันธ์และการบันทึกกิจกรรมเร่งด่วน นอกจากนี้ กล้องที่ทันสมัยจะช่วยให้สามารถบันทึกภาพผู้บริหารและบุคคลสำคัญได้อย่างคมชัด มีคุณภาพสูง และได้ภาพที่เป็นมืออาชีพ ตามมาตรฐานการสื่อสารขององค์กร</t>
  </si>
  <si>
    <t>กล้องถ่ายภาพนิ่ง พร้อมเลนส์</t>
  </si>
  <si>
    <t>ทดแทนครุภัณฑ์ทะเบียน พม/สป-กปส/05-01-04/001/2554 ซึ่งมีอายุการใช้งาน 16 ปี ช่วงล่างเสื่อมสภาพ เครื่องยนต์เสื่อมสภาพตามระยะเวลา ระยะทางวิ่ง จำนวน 161,534 กิโลเมตร  ใช้ประโยชน์เพื่อเป็นการอำนวยความสะดวก และมีความปลอดภัยแก่เจ้าหน้าที่ผู้ปฏิบัติงาน</t>
  </si>
  <si>
    <t>พม/สป-กปส/05-01-04/001/2554
ฎอ 6091</t>
  </si>
  <si>
    <t>รถยนต์บรรทุก (ดีเซล) ขนาด 1 ตัน ปริมาตรกระบอกสูบไม่ต่ำกว่า 2,400 ซีซี  หรือกำลังเครื่องยนต์สูงสุด ไม่ต่ำกว่า  110 กิโลวัตต์ ขับเคลื่อน 4 ล้อ (ดับเบิ้ลแค็บ)</t>
  </si>
  <si>
    <t>ทดแทนครุภัณฑ์ทะเบียน พม/สป-กปส/15-01-12/001/2546 ซึ่งมีอายุการใช้งาน 23 ปี เสื่อมสภาพ ใช้งานไม่ได้ ไม่คุ้มกับค่าซ่อมแซม ใช้ประโยชน์เพื่อเป็นการอำนวยความสะดวกให้กับเจ้าหน้าที่</t>
  </si>
  <si>
    <t>พม/สป-กปส/15-01-12/001/2546</t>
  </si>
  <si>
    <t>ทดแทนครุภัณฑ์ทะเบียน พม/สป-กปส/15-02-01/001/2546 ซึ่งมีอายุการใช้งาน 23 ปี ยางขอบประตูเสื่อมไม่สามารถเก็บความเย็นได้ กินไฟ  ไม่คุ้มกับค่าซ่อมแซม ใช้ประโยชน์เพื่อเป็นการอำนวยความสะดวกให้กับเจ้าหน้าที่</t>
  </si>
  <si>
    <t>พม/สป-กปส/15-02-01/001/2546</t>
  </si>
  <si>
    <t>ตู้เย็น ขนาด 5 คิวบิกฟุต</t>
  </si>
  <si>
    <t>ทดแทนครุภัณฑ์ทะเบียน พม/สป-กปส/15-02-08/002/2546 ซึ่งมีอายุการใช้งาน 23 ปี สภาพเครื่องขึ้นสนิม ปุ่มกดน้ำชำรุด  ไม่คุ้มกับค่าซ่อมแซม ใช้ไปนานๆ อาจเกิดอันตรายต่อสุขภาพของเจ้าหน้าที่ ใช้ประโยชน์เพื่อเป็นการอำนวยความสะดวกให้กับเจ้าหน้าที่และผู้มาติดต่อประสานงาน</t>
  </si>
  <si>
    <t>พม/สป-กปส/15-02-08/002/2546</t>
  </si>
  <si>
    <t>เครื่องทำน้ำเย็น แบบต่อท่อ ขนาด 1 ก๊อก</t>
  </si>
  <si>
    <t>ทดแทนครุภัณฑ์ทะเบียน พม/สป-กปส/15-02-08/001/2546 ซึ่งมีอายุการใช้งาน 23 ปี หมดสภาพการใช้งาน ไม่คุ้มกับค่าซ่อมแซม ใช้ประโยชน์เพื่อเป็นการอำนวยความสะดวกให้กับเจ้าหน้าที่และผู้มาติดต่อประสานงาน</t>
  </si>
  <si>
    <t xml:space="preserve">พม/สป-กปส/15-02-08/001/2546 </t>
  </si>
  <si>
    <t>ขอเพิ่มเติมจำนวน 1 คัน เนื่องจากรถยนต์นั่งส่วนบุคคล นั่งสองตอนท้ายบรรทุก (มีหลังคา) หมายเลขทะเบียน ชร-4239 กรุงเทพมหานคร หมายเลขครุภัณฑ์.............. มีอายุการใช้งานมากกว่า 15ปี และอยู่ในสภาพเก่าและชำรุดไม่คุ้มค่าในการซ่อมบำรุง และเพื่อประโยชน์ต่อการใช้งาน ในการจัดส่งสิ่งของบริจาค ของศูนย์รับบริจาค พม. ไปยังหน่วยงานในสังกัดกระทรวง จึงมีความจำเป็นต้องใช้รถยนต์นั่งส่วนบุคคล นั่งสองตอนท้ายบรรทุก (มีหลังคา) สมรรถนะที่เหมาะสม</t>
  </si>
  <si>
    <t>ชร-4239 กรุงเทพมหานคร</t>
  </si>
  <si>
    <t>รถยนต์นั่งส่วนบุคคล นั่งสองตอนท้ายบรรทุก ขนาด 1 ตัน ชนิดขับเคลื่อน 4 ล้อ (ปริมาณกระบอกสูบไม่ต่ำกว่า 2,400 ซีซี) หรือกำลังเครื่องยนต์สูงสุดไม่ต่ำกว่า 110 กิโลวัตต์
- หลังคารถบรรทุก ขนาด 1 ตัน หลังคาสำเร็จรูป ชนิดทำด้วยไฟเบอร์กลาสหรือเหล็ก มีช่องลมพร้อมกระจกเลื่อน ฝาท้ายเปิดแบบโช๊คอัพ</t>
  </si>
  <si>
    <t>บำรุงรักษาระบบการบริจาคและการรับบริจาคของศูนย์รับบริจาค พม.</t>
  </si>
  <si>
    <t>ขอเพิ่มเติมจำนวน 1 คัน เนื่องจากรถยนต์บรรทุกส่วนบุคคล ตู้บรรทุก 6 ล้อ พร้อมตู้แบบคอนเทนเนอร์ หมายเลขทะเบียน 95-2181 กรุงเทพมหานคร หมายเลขครุภัณฑ์.............. มีอายุการใช้งานมากกว่า 15ปี และอยู่ในสภาพเก่าและชำรุดไม่คุ้มค่าในการซ่อมบำรุง และเพื่อประโยชน์ต่อการใช้งาน ในการจัดส่งสิ่งของบริจาค ของศูนย์รับบริจาค พม. ไปยังหน่วยงานในสังกัดกระทรวง จึงมีความจำเป็นต้องใช้รถยนต์บรรทุกส่วนบุคคล ตู้บรรทุก 6 ล้อ พร้อมคอนเทนเนอร์ สมรรถนะที่เหมาะสม</t>
  </si>
  <si>
    <t>95-2181 กรุงเทพมหานคร</t>
  </si>
  <si>
    <t>รถยนต์บรรทุกส่วนบุคคลตู้บรรทุก 6 ล้อ พร้อมตู้แบบคอนเทนเนอร์</t>
  </si>
  <si>
    <t>เพื่อให้ผู้ประสบปัญหาทางสังคมที่มีภาะติดเตียง (ที่สิ้นสุดกระบวนการรักษา)/คนพิการ หรือผู้สูงอายุ ที่ต้องส่งต่อบริการไปยังหน่วยงานที่เกี่ยวข้อง ได้รับการดูแลอย่างต่อเนื่อง ลดความเสี่ยงจากการยกเคลื่อนย้ายด้วยวิธีที่ไม่เหมาะสม อันอาจนำมาซึ่งการทวีความรุนแรงของภาวะที่ประสบอยู่</t>
  </si>
  <si>
    <t>รถตู้(สำหรับเคลื่อนย้ายผู้ประสบปัญหาทางสังคม) เครื่องยนต์ดีเซล จำนวนไม่น้อยกว่า 4 สูบ แถวเรียง DOHC 16 วาล์ว ปริมาตรกระบอกสูบไม่น้อยกว่า 2700 ซีซี</t>
  </si>
  <si>
    <t>พัฒนาและเพิ่มขีดความสามารถในการช่วยเหลือคุ้มครองผู้ประสบปัญหาทางสังคม</t>
  </si>
  <si>
    <t>ศูนย์เร่งรัดจัดการสวัสดิภาพประชาชน</t>
  </si>
  <si>
    <t>ขอเพิ่ม จำนวน 1 ระบบ
1) เพื่อพัฒนาระบบตรวจราชการของกระทรวงพม.ให้เป็นระบบดิจิทัลที่มีประสิทธิภาพ สอดคล้องกับแผนพัฒนารัฐบาลดิจิทัลของประเทศไทย และสามารถปรับเปลี่ยนแบบฟอร์ม ตัวชี้วัด และหมวดหมู่ข้อมูลให้เหมาะสมกับนโยบาย และแนวทางการตรวจราชการที่เปลี่ยนแปลงในแต่ละปีงบประมาณได้อย่างยืดหยุ่น
2) เพื่อเพิ่มประสิทธิภาพในการบริหารจัดการข้อมูล การรายงานผล และการติดตามความก้าวหน้าการดำเนินงานในระดับพื้นที่ ผ่านระบบบริหารจัดการข้อมูลกลางที่เชื่อมโยงหน่วยงานในสังกัด ทั้งส่วนกลางและภูมิภาค ให้สามารถใช้งานร่วมกันได้อย่างมีประสิทธิภาพและเป็นมาตรฐาน
3) เพื่อสนับสนุนการตัดสินใจเชิงนโยบายของผู้บริหารด้วยข้อมูลที่ถูกต้อง รวดเร็วและครบถ้วน โดยพัฒนาระบบแสดงผลข้อมูลการตรวจราชการ (Inspection Dashboard &amp; Report Visualization) ให้สามารถวิเคราะห์ สรุปผล และรายงานผลการดำเนินงานของแต่ละหน่วยงานและพื้นที่ได้แบบ Real-time ช่วยให้ผู้บริหารสามารถใช้ข้อมูลประกอบการตัดสินใจเชิงนโยบายได้อย่างมีประสิทธิภาพและทันท่วงที</t>
  </si>
  <si>
    <t>โครงการ</t>
  </si>
  <si>
    <t>รายการพัฒนาระบบตรวจราชการอิเล็กทรอนิกส์ (MSO E-Inspection System) ให้เป็นระบบเว็บแอพพลิเคชั่น (Web-based Application)</t>
  </si>
  <si>
    <t>ส่งเสริม ประสานและดำเนินการช่วยเหลือผู้ประสบปัญหาทางสังคม</t>
  </si>
  <si>
    <t>พัฒนาระบบการคุ้มครองทางสังคมและจัดสวัสดิการสังคม</t>
  </si>
  <si>
    <t>ขอเพิ่มเติม จำนวน 1 คัน เพื่อสนับสนุนและอำนวยความสะดวกให้กับผู้ปฏิบัติงานกองตรวจราชการในการขับเคลื่อนการดำเนินงานการตรวจราชการตามภารกิจให้เป็นไปอย่างมีประสิทธิภาพ รวมทั้งส่งเสริมการใช้พลังงานสะอาด สนับสนุนนโยบายด้านสิ่งแวดล้อมและเศรษฐกิจของชาติ ลดมลพิษ และประหยัดค่าใช้จ่ายในระยะยาว นอกจากนี้ ยังเป็นการสร้างภาพลักษณ์ของภาครัฐในการเป็นผู้นำด้านเทคโนโลยีที่เป็นมิตรต่อสิ่งแวดล้อม</t>
  </si>
  <si>
    <t>รถยนต์ไฟฟ้า ประเภทแบตเตอรี่ (BEV) ที่มีขนาดความจุของแบตเตอรี่มากกว่า 60 กิโลวัตต์/ชั่วโมง (kWh) และกำลังมอเตอร์ไฟฟ้าสูงสุดไม่เกิน 150 กิโลวัตต์</t>
  </si>
  <si>
    <t xml:space="preserve"> ส่งเสริม ประสานและดำเนินการช่วยเหลือผู้ประสบปัญหาทางสังคม</t>
  </si>
  <si>
    <t xml:space="preserve">พัฒนาระบบการคุ้มครองทางสังคมและจัดสวัสดิการสังคม </t>
  </si>
  <si>
    <t>ขอเพิ่มเติมจำนวน 1 คัน เนื่องจากรถตู้ หมายเลขทะเบียน ฮบ 9140 กรุงเทพมหานคร หมายเลขครุภัณฑ์ หมายเลขครุภัณฑ์ พม/สป/สตป/05-01-03/001/2554  มีอายุการใช้งานมากกว่า 16 ปี และอยู่ในสภาพเก่าและชำรุดไม่คุ้มค่าในการซ่อมบำรุง และเพื่อประโยชน์ต่อการใช้งาน ในการลงพื้นที่ตรวจราชการของผู้ตรวจราชการกระทรวงฯ จึงมีความจำเป็นต้องใช้รถยนต์ตู้สมรรถนะที่เหมาะสม</t>
  </si>
  <si>
    <t xml:space="preserve"> พม/สป/สตป/05-01-03/001/2554</t>
  </si>
  <si>
    <t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t>
  </si>
  <si>
    <t>ทดแทนหมายเลข พม/สป-สบก(กอก)/05-01-03/002/2551 ซึ่งมีอายุการใช้งาน  17 ปี หมดสภาพการใช้งาน ไม่คุ้มกับค่าซ่อมแซม ใช้ประโยชน์ในภารกิจลงพื้นที่ตรวจสอบหน่วยงานในสังกัด สป.พม. และภารกิจอื่น ๆ ของกลุ่มตรวจสอบภายใน</t>
  </si>
  <si>
    <t>พม/สป-สบก(กอก)/05-01-03/002/2551</t>
  </si>
  <si>
    <t>รถโดยสารขนาด 12 ที่นั่ง (ดีเซล) ปริมาตรกระบอกสูบ
ไม่ต่ำกว่า 2,400 ซีซี    หรือกำลังเครื่องยนต์สูงสุด
ไม่ต่ำกว่า 90 กิโลวัตต์</t>
  </si>
  <si>
    <t xml:space="preserve">พัฒนาองค์กรให้มีผลสัมฤทธิ์สูง </t>
  </si>
  <si>
    <t>ยกระดับองค์กรให้มีผลสัมฤทธิ์สูง</t>
  </si>
  <si>
    <t xml:space="preserve">จัดหาครุภัณฑ์คอมพิวเตอร์และอุปกรณ์สำหรับการปฏิบัติงานป้องกันและแก้ไขปัญหาการค้ามนุษย์ในระดับพื้นที่ </t>
  </si>
  <si>
    <t>ยกระดับองค์กรให้มผีลสัมฤทธิ์สูงสู่การเป็นองค์กรดิจิทัล</t>
  </si>
  <si>
    <t>ยุทธศาสตร์พัฒนาบริการประชาชนและการพัฒนาประสิทธิภาพภาครัฐ</t>
  </si>
  <si>
    <t>โครงการเชื่อมโยงข้อมูลจากระบบฐานข้อมูลบันทึกคดีสำคัญ (CDC) สำนักงานศาลยุติธรรม ข้อมูลการคัดกรองจากระบบ ANTI LABOUR TRAFFICKING ของกระทรวงแรงงาน และระบบฐานข้อมูลขนาดใหญ่ (Big Data) เพื่อบริหารสวัสดิการสังคม กระทรวง พม. กับระบบฐานข้อมูลของประเทศไทย ด้านการดำเนินคดีและการช่วยเหลือผู้เสียหายจากการค้ามนุษย์ (E-AHT)</t>
  </si>
  <si>
    <t xml:space="preserve">ทดแทนหมายเลข พส/สปป-35/07-01-01/02/57 ซึ่งมีอายุการใช้งาน 11 ปี เริ่มหมดสมรรถภาพในการใช้งาน และจัดซ่อมบ่อยครั้ง เพื่อเผยแพร่ประชาสัมพันธ์บทบาท ภารกิจของหน่วยงานให้ทันกับเทคโนโลยีที่ก้าวหน้าทันสมัยและเป็นการเพิ่มประสิทธิภาพในการปฏิบัติงาน การบริการประชาชนในพื้นที่ได้อย่างคล่องตัวและรวดเร็ว
</t>
  </si>
  <si>
    <t>พส/สปป-35/07-01-01/02/2557</t>
  </si>
  <si>
    <t xml:space="preserve">กล้องถ่ายภาพระบบดิจิตอล </t>
  </si>
  <si>
    <t>เพิ่มประสิทธิภาพระบบการคุ้มครองช่วยเหลือผู้เสียหายตาม  กฏหมายและสอดคล้องกับหลักการสากล</t>
  </si>
  <si>
    <t>ป้องกันและแก้ไขปัญหาการค้ามนุษย์</t>
  </si>
  <si>
    <t>ยุทธศาสตร์จัดการปัญหาแรงงานต่างด้าวและการค้ามนุษย์</t>
  </si>
  <si>
    <t xml:space="preserve">ทดแทนหมายเลข  พส/สปป-35/08-01-06/01/2549 ซึ่งมีอายุการใช้งาน 18 ปี **การใช้งาน คือใช้สูบน้ำบาดาลชั้นใต้ดินขึ้นมาเข้าบ่อพักน้ำ เพื่อกักเก็บน้ำไว้ใช้มอเตอร์จะขับเคลื่อนใบพัดให้หมุนอย่างรวดเร็ว ซึ่งจะสร้างแรงดันดูด ดึงน้ำจากบ่อบาดาล จากนั้นน้ำจะถูกดันขึ้นไปตามท่อส่งจนถึงผิวดิน ยิ่งมีใบพัดมาก ยิ่งสามารถสูบส่งน้ำได้สูงและไกลขึ้น ปั๊มบาดาล (หรือปั๊มซับเมอร์ส) จะถูกออกแบบมาให้จมอยู่ในน้ำตลอดเวลาเพื่อการทำงานที่มีประสิทธิภาพและป้องกันความร้อนของมอเตอร์ 
</t>
  </si>
  <si>
    <t>พส/สปป-
35/08-01-
06/02/2549</t>
  </si>
  <si>
    <t>ปั๊มบาดาล</t>
  </si>
  <si>
    <t>ทดแทนหมายเลข  พส/สปป-35/08-01-06/01/2549 ซึ่งมีอายุการใช้งาน 18 ปี หมดสภาพการใช้งาน ไม่คุ้มกับค่าซ่อมแซม จึงมีความต้องการเครื่องสูบน้ำ แบบหอยโข่ง สำหรับใช้สูบน้ำจากถังพักน้ำขึ้นแท็งค์เก็บน้ำที่สูง เพื่อให้  มีแรงเหวี่ยงของน้ำออกไปด้านนอก ทำให้น้ำมีความเร็วและแรงดันสูงขึ้น และไหลออกไปตามท่อส่งน้ำ เพื่อแจกจ่ายน้ำส่งออกไปตามระบบท่อประปาตามอาคาร สถานที่ต่างๆ ภายในสถานฯ ให้ผู้รับการคุ้มครองใช้อุปโภค-บริโภค</t>
  </si>
  <si>
    <t>พส/สปป-35/08-01-
06/01/2549</t>
  </si>
  <si>
    <t xml:space="preserve">เครื่องสูบน้ำ แบบหอยโข่ง มอเตอร์ไฟฟ้า
</t>
  </si>
  <si>
    <t xml:space="preserve">ขอทดแทน เนื่องจากเครื่องสูบน้ำมีอายุการใช้งาน 25 ปี สำหรับสูบน้ำส่งไปยังอาคารต่างๆ ภายในสถานคุ้มครองฯ เพื่อใช้อุปโภค บริโภค สำหรับผู้เสียหาย และใช้ในภารกิจต่างๆ ภายในสถานคุ้มคอรงฯ ซึ่งเครื่องสูบน้ำมีการชำรุดบ่อยและไม่สามารถใช้งานได้ตามปกติ ทำให้ระบบน้ำไม่ไหลบ่อยครั้ง </t>
  </si>
  <si>
    <t>เลขสินทรัพย์ 100000024595</t>
  </si>
  <si>
    <t xml:space="preserve">เครื่องสูบน้ำแบบหอยโข่ง มอเตอร์ไฟฟ้า สูบน้ำได้ 450 ลิตรต่อนาที </t>
  </si>
  <si>
    <t xml:space="preserve">ขอเพิ่มประสิทธิภาพ เนื่องด้วยสถานคุ้มครองฯ มีเนื้อที่ 29 ไร่ 83.88 ตร.วา โดยมากเป็นหญ้าและต้นไม้ บางพื้นที่หญ้าขึ้นหนาแน่น ผู้รับบริการอาจได้รับอันตรายจากสัตว์มีพิษและสัตว์เลื้อยคลานที่มีพิษ ซึ่งปัจจุบันมีเครื่องตัดหญ้าจำนวน 1 เครื่อง ไม่เพียงพอต่อการปฏิบัติงาน หากได้รับจัดสรรเครื่องตัดหญ้าเพิ่มก็จะสามารถให้บุคลากรตำแหน่งงานอื่นภายในสถานคุ้มครองฯ ช่วยปฏิบัติงานได้ </t>
  </si>
  <si>
    <t>สคม.บ้านนารีสวัสดิ์</t>
  </si>
  <si>
    <t>ขอเพิ่มประสิทธิภาพ เพื่อติดตั้งที่อาคารเรือนนอนที่ 4,5,6,11,12, ของผู้รับบริการ เนื่องจากเคยเกิดเหตุการณ์ฉุกเฉิน เครื่องสูบน้ำภายในสถานคุ้มครองฯ ที่เป็นหลักในการส่งน้ำใช้ภายในชำรุด และน้ำประปาไม่ไหลเป็นประมาณ 7 วัน ซึ่งจะส่งผลกระทบต่อผู้รับบริการโดยตรงได้รับความเดือดร้อนเป็นอย่างมาก คือ ไม่มีน้ำชำระล้างร่างกาย ทำความสะอาดเครื่องแต่งกาย อาจทำให้ไม่ถูกสุขอนามัย และเกิดโรคผิวหนังตามมา หากได้รับจัดสรรถังน้ำแบบไฟเบอร์กลาสพร้อมกับปั๊มน้ำอัตโนมัติเพื่อติดตั้งแต่ละอาคารเรือนนอน ก็สามารถแก้ปัญหาที่เกิดขึ้นได้เบื้องต้น เพื่อบรรเทาความเดือดร้อนของผู้รับบริการ</t>
  </si>
  <si>
    <t>ใบ</t>
  </si>
  <si>
    <t xml:space="preserve">ถังน้ำ แบบไฟเบอร์กลาส ขนาดความจุ 1,500 ลิตร </t>
  </si>
  <si>
    <t>ขอเพิ่มประสิทธิภาพ เพื่อติดตั้งที่อาคารเรือนนอนที่ 4,5,6,11,12, ของผู้รับบริการ เนื่องจากเคยเกิดเหตุการณ์ฉุกเฉิน เครื่องสูบน้ำภายในสถานคุ้มครองฯทีเป็นเครื่องหลักในการส่งน้ำใช้ภายในชำรุด และน้ำประปาไม่ไหลเป็นประมาณ 7 วัน ซึ่งจะส่งผลกระทบต่อผู้รับบริการโดยตรงได้รับความเดือดร้อนเป็นอย่างมาก คือ ไม่มีน้ำชำระล้างร่างกาย ทำความสะอาดเครื่องแต่งกาย อาจทำให้ไม่ถูกสุขอนามัย และเกิดโรคผิวหนังตามมา หากได้รับจัดสรรปั๊มน้ำอัตโนมัติพร้อมกับถังน้ำแบบไฟเบอร์กาส เพื่อติดตั้งแต่ละอาคารเรือนนอน ก็สามารถแก้ปัญหาที่เกิดขึ้นได้เบื้องต้น เพื่อบรรเทาความเดือดร้อนของผู้รับบริการ</t>
  </si>
  <si>
    <t xml:space="preserve">ปั๊มน้ำอัตโนมัติแรงดันคงที่ 150 วัตต์ </t>
  </si>
  <si>
    <t xml:space="preserve">ขอทดแทนครุภัณฑ์เดิม เนื่องจากหมดอายุการใช้งานและปัจจุบันเครื่องสูบน้ำติดตั้งที่บริเวณโรงสูบน้ำภายในสถานคุ้มครองฯ เพื่อสูบจ่ายน้ำประปาใช้ในการอุปโภคบริโภคเป็นหลักในสถานคุ้มครองฯ เกิดการชำรุดอยู่บ่อยครั้งและค่าใช้จ่ายในการซ่อมค่อนข้างสูง ซึ่งปัจจุบันสถานคุ้มครองฯ มีผู้รับบริการอยู่ภายในสถานคุ้มครองฯ ตลอด 24 ชั่วโมง ระยะเวลาในการอยู่อาศัยเกิน 7 วัน หากเกิดเหตุฉุกเฉินเครื่องสูบน้ำเกิดการชำรุดและไม่สามารถซ่อมได้ส่งผลให้ผู้รับบริการได้รับความเดือดร้อนอย่างยิ่ง </t>
  </si>
  <si>
    <t xml:space="preserve">พม/สคม.นม/08-01-06/001/2561 </t>
  </si>
  <si>
    <t>เครื่องสูบน้ำ มอเตอร์ไฟฟ้าสูบน้ำได้ 1,500 ลิตรต่อนาที</t>
  </si>
  <si>
    <t>ขอเพิ่มประสิทธิภาพ เนื่องจากมีการปรับปรุงอาคารเรือนนอนจำนวน 2 หลัง ให้แก่ผู้รับบริการเรียบร้อยแล้วในปีงบประมาณ 2568  แต่ยังขาดผ้าม่านบริเวณหน้าต่าง และประตู เพื่อบังแสงแดด และแสงสว่างจากภายนอก และช่วยบังสายตาให้ผู้รับบริการรู้สึกว่าปลอดภัย มีความเป็นส่วนตัวมากขึ้น</t>
  </si>
  <si>
    <t xml:space="preserve">ผ้าม่านและอุปกรณ์พร้อมติดตั้งอาคารเรือนนอนผู้รับบริการ </t>
  </si>
  <si>
    <t xml:space="preserve">เพื่อเพิ่มประสิทธิภาพ หน่วยงานมีหนังสือราชการที่เป็นราชการลับ ประวัติข้อมูล เอกสารต่างๆผู้เสียหายฯ และหนังสือราชการที่หมดความจำเป็นในการใช้งาน และเก็บไว้จนครบอายุการเก็บตามที่ระเบียบ งานสารบรรณ
กำหนดแล้ว เพื่อมิให้เป็นภาระแก่ส่วนราชการ จำเป็นต้องทำลาย เพื่อช่วย
ให้ส่วนราชการต่างๆ ลดภาระการจัดเก็บเอกสารที่ไม่จำเป็น สภาพแวดล้อม
ภายใน หน่วยงานจะดูเป็นระเบียบเรียบร้อย </t>
  </si>
  <si>
    <t xml:space="preserve">เครื่องทำลายเอกสาร แบบตัดตรง ทำลายครั้งละ 30 แผ่น </t>
  </si>
  <si>
    <t>เพื่อเพิ่มประสิทธิภาพ เนื่องจากหน่วยงานมีภารกิจในการดูแลผู้เสียหายฯ ซึ่งอยู่อาศัยรวมกันบนเรือนนอน จำเป็นต้องจัดหาตู้ไว้ให้สำหรับจัดเก็บ
สิ่งของเครื่องใช้ส่วนตัว ให้เป็นระเบียบเรียบร้อยอันเป็นการเคารพสิทธิส่วนบุคคลที่ผู้เสียหายฯ ควรได้รับ</t>
  </si>
  <si>
    <t>ตู้เหล็ก 2 ลิ้นชัก</t>
  </si>
  <si>
    <t>เพื่อเพิ่มประสิทธิภาพ เนื่องจากหน่วยงานตั้งอยู่พื้นที่ ตำบลเกาะเกร็ด 
เป็นพื้นที่ประสบปัญหาน้ำท่วมในทุกๆ ปี มีความจำเป็นต้องใช้อุปกรณ์ในการทำความสะอาดหลังน้ำท่วม เครื่องฉีดน้ำแรงดันสูงจึงมีความเป็นในการใช้ทำความสะอาดกำจัดโคลน ขยะ คราบสกปรกและเชื้อรา บริเวณลานอเนกประสงค์ พื้นผิวถนนคอนกรีตและทางเดิน พื้นที่บริเวณลานกิจกรรมต่างๆ ที่มีคราบดินโคลนสะสมจากน้ำท่วมขัง เพื่อให้เกิดความสะอาด
ปลอดภัยต่อการใช้งาน</t>
  </si>
  <si>
    <t>เครื่องฉีดน้ำแรงดันสูง ขนาดแรงดันไม่น้อยกว่า 180 บาร์</t>
  </si>
  <si>
    <t xml:space="preserve">ขอเพิ่มประสิทธิภาพเนื่องจาก สถานคุ้มครองฯ ไม่มีอุปกรณ์ในการตัดแต่งกิ่งไม้ขนาดใหญ่ จึงมีความจำเป็นต้องใช้อุปกรณ์ที่สามารถช่วยในการทำงานได้อย่างประสิทธิภาพที่สามารถช่วยในการตัดไม้ขนาดใหญ่ได้ถึง 58 มิลลิเมตร หรือตัดไม้ได้หลากหลายชนิดได้อย่างรวดเร็ว เหมาะสำหรับการใช้ในงานด้านเกษตร เพื่อใช้ในการปรับปรุงภูมิทัศน์ภายในของสถานคุ้มครองฯ </t>
  </si>
  <si>
    <t>เครื่องเลื่อยยนต์ รุ่น 5800 ลูกสูบ 58 มิล</t>
  </si>
  <si>
    <t>ขอทดแทน เนื่องจากมีภารกิจในการคุ้มครองช่วยเหลือผู้เสียหายจากการค้ามนุษย์ ซึ่งมีการติดต่อประสานเครือข่ายและหน่วยงานภายนอก หน่วยงานมีการใช้รถเป็นประจำทั้งในระยะทางใกล้ไกล เพื่อติดต่อประสานงานทางราชการ และอำนวยความสะดวกให้แก่ผู้เสียหาย เช่น นำผู้เสียหายไปรักษาพยาบาลตามแพทย์นัด รับ-ส่ง ผู้เสียหายไปสืบพยานที่ศาล ซึ่งการเดินทางมีตั้งแต่ภายในจังหวัดและต่างจังหวัดที่เกี่ยวข้อง จึงมีความจำเป็นต้องขอรถกระบะดับเบิ้ลแค็บทดแทนคันเก่าที่มีสภาพการใช้งานเสื่อมสภาพทรุดโทรมและมีอายุการใช้งานมานาน 18 ปี ทำให้มีความเสี่ยงด้านความปลอดภัยบนท้องถนน และเพื่ออำนวยความสะดวกในภารกิจที่เร่งด่วนต้องปฏิบัติงานอย่างทันถ่วงทีในสถานการณ์ฉุกเฉินปลอดภัยต่อการเดินทางการขับขี่ทั้งในระยะสั้นและระยะไกล และเพื่ออำนวยความสะดวกแก่ผู้เสียหายและบุคคลากรหน่วยงานในการติดต่องานราชการ</t>
  </si>
  <si>
    <t>100000018059 พม/สปป/05-01-04/001/2552</t>
  </si>
  <si>
    <t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</t>
  </si>
  <si>
    <t xml:space="preserve">ขอทดแทน เนื่องจากของเดิมมีอายุการใช้งานเกิน 10 ปี สภาพชำรุดไม่สามารถซ่อมแซมได้ และหน่วยงานต้องเก็บรักษาวัตถุดิบเพื่อประกอบอาหารให้กับผู้รับการคุ้มครอง จึงมีความจำเป็นต้องใช้ตู้เย็นในการเก็บถนอมอาหาร 
 </t>
  </si>
  <si>
    <t>26,000</t>
  </si>
  <si>
    <t xml:space="preserve">พส/สปป-03/15-02-01/03/2556  
รหัสสินทรัพย์ 100000019170  </t>
  </si>
  <si>
    <t>ตู้เย็น ขนาด 20 คิวบิตฟุต</t>
  </si>
  <si>
    <t xml:space="preserve">ขอทดแทน เนื่องจากรถเดิมมีอายุการใช้งานเกิน 15 ปี ไม่เหมาะแก่การใช้โดยสารทางไกล ทั้งนี้ หน่วยงานมีภารกิจในการนำผู้รับการคุ้มครองไปสืบพยานในชั้นศาล นำไปและขอรับบริการการอยู่ในราชอาณาจักรและการส่งกลับ ทั้งในจังหวัด และต่างจังหวัด และใช้ขนส่งไปรับการรักษาที่โรงพยาบาลและทำกิจกรรมนอกสถานที่  </t>
  </si>
  <si>
    <t>1,450,000</t>
  </si>
  <si>
    <t xml:space="preserve"> พส/สปป-03/05-01-03/01/2552  
 รหัสสินทรัพย์ 100000018053</t>
  </si>
  <si>
    <t xml:space="preserve">ขอทดแทน เนื่องจากของเดิมมีอายุการใช้งานเกิน 15 ปี ชำรุดเสื่อมสภาพตามอายุการใช้งานไม่สามารถซ่อมแซมได้ </t>
  </si>
  <si>
    <t>พส/สปป-03/04-02-03/01/2552 (100000017791)</t>
  </si>
  <si>
    <t>โต๊ะทำงานพร้อมเก้าอี้ระดับ 7-9</t>
  </si>
  <si>
    <t>ขอเพิ่มประสิทธิภาพ สำหรับใช้ติดตั้งในอาคารเรือนนอน 2 ชั้น 1 อาคาร ติดตั้งชั้น 1 จำนวน 9 ตัว ติดตั้งชั้น 2 จำนวน 9 ตัว เพื่อรองรับการให้บริการแก่ผู้รับการคุ้มครอง จำนวน 40 คน</t>
  </si>
  <si>
    <t>พัดลมติดผนัง ขนาด 18 นิ้ว</t>
  </si>
  <si>
    <t>ขอทดแทน เนื่องจากถังดับเพลิงของเดิมมีอายุการใช้งานเกิน 10 ปี อุปกรณ์บางส่วนภายในถังชำรุด เข็มวัดคลาดเคลื่อน ทำให้ไม่มีประสิทธิภาพในการใช้ดับเพลิง ปัจจุบันถังดับเพลิงติดตั้งที่อาคารเรือนนอน ชั้น1 จำนวน 3 ถัง ชั้น 2 จำนวน 3 ถัง อาคารโรงอาหาร จำนวน 3 ถังอาคารพยาบาล จำนวน 1 ถัง อาคารฝึกอาชีพ จำนวน 2 ถัง ศูนย์การเรียนรู้ จำนวน 1 ถัง อาคารอเนกประสงค์ จำนวน 1 ถัง อาคารโรงเก็บพัสดุ จำนวน 1 ถัง บ้านพักข้าราชการ จำนวน 1 ถัง อาคารพักอาศัย 4 ชั้น จำนวน 8 ถัง (ถังชำรุดไม่สามารถใช้งานจำนวน 4 ถัง และกำลังจะจำหน่ายในปี 2568 ทำให้ไม่เพียงพอกับขนาดพื้นที่ในการระงับเหตุ)</t>
  </si>
  <si>
    <t>1. พส/สปป-03/04-09-32/04-06/2557 (3 ถัง)
2. สปพม/กคม-03/04-09-32/06-10/2558 (5 ถัง)
3. พม/สคม-รน/04-09-52/001/2559
   (100000021034#1-4) (4 ถัง)
4. พม/สคม-รน/04-09-52/002/2559 
   (100000021036#1-4) (4 ถัง)
5. พม/สคม-รน/04-09-52/003/2559 
   (100000021042#1-8) (8 ถัง)</t>
  </si>
  <si>
    <t>ถังดับเพลิง ชนิดผงเคมีแห้ง ขนาด 15 ปอนด์</t>
  </si>
  <si>
    <t>ขอเพิ่มประสิทธิภาพ 1 เตา เนื่องจากพื้นที่ตั้งสถานคุ้มครองฯ อย่ในเขตเทศบาลซึ่งไม่มีบริการจัดการขยะ ที่ผ่านมาดำเนินการจัดการขยะด้วยตนเอง และมีการคัดแยกขยะนำไปบริจาคในโครงการขยะฮอมบุญของจังหวัด แต่ยังมีขยะบางประเภทที่ไม่สามารถนำไปบริจาคได้ เช่นถุงขนม ถุงพลาสติก กล่องพลาสติกใส จึงกำจัดเองโดยใช้วิธีเผา ทำให้เกิดควันและเป็นพิษต่อสิ่งแวดล้อมและคุณภาพชีวิต ขอจัดซื้อเตาเผาขยะไร้มลพิษเพื่อเป็นการจัดระบบการกำจัดขยะมูลฝอย อย่างมีประสิทธิภาพ กำจัดขยะให้ถูกต้องตามหลักสุขาภิบาล ลดปัญหาด้านสิ่งแวดล้อม พร้อมทั้งให้คุณภาพสิ่งแวดล้อมและคุณภาพชีวิตของผู้ใช้บริการและบุคลากรดีขึ้น</t>
  </si>
  <si>
    <t>เตาเผาขยะ</t>
  </si>
  <si>
    <t>ขอทดแทนหมายเลข 100000021364 จัดซื้อปีพ.ศ. 2558 ซึ่งมีอายุการใช้งาน 10 ปี หมดสภาพการใช้งาน ใช้ประโยชน์ให้ผู้เสียหายแช่ของไว้สำหรับบริโภค เช่น น้ำดื่ม นม อาหาร</t>
  </si>
  <si>
    <t>100000021364</t>
  </si>
  <si>
    <t>ตู้เย็น ขนาด 7 คิวบิกฟุต</t>
  </si>
  <si>
    <t>ขอทดแทนหมายเลข 100000018050 จัดซื้อปีพ.ศ. 2552 มีอายุการใช้งาน 18 ปี ซ่อมแซมบ่อย ใช้งบประมาณในการซ่อมแซมจำนวนมาก ใช้ประโยชน์ในการรับ - ส่ง ผู้ใช้บริการในการทำงาน ทำกิจกรรมภายนอก ออกไปรักษาพยาบาล และรับ - ส่ง เจ้าหน้าที่ออกปฏิบัติภารกิจของหน่วยงานและสนับสนุนภารกิจตามนโยบาย</t>
  </si>
  <si>
    <t>100000018050</t>
  </si>
  <si>
    <t>รถยนต์ 12 ที่นั่ง เครื่องยนต์ดีเซล ปริมาตรกระบอกสูบ ไม่ต่ำกว่า 2400 ซีซี กำลังเครื่องยนต์สูงสุดไม่ต่ำกว่า 90 กิโลวัตต์</t>
  </si>
  <si>
    <t>ขอทดแทนหมายเลข 100000018051 จัดซื้อปี พ.ศ. 2552 มีอายุการใช้งาน 18 ปี ซ่อมแซมบ่อย ใช้งบประมาณในการซ่อมแซมจำนวนมาก ใช้ประโยชน์ในการรับ - ส่ง ผู้ใช้บริการในการทำงาน ทำกิจกรรมภายนอก ออกไปรักษาพยาบาล และรับ - ส่ง เจ้าหน้าที่ออกปฏิบัติภารกิจของหน่วยงานและสนับสนุนภารกิจตามนโยบาย</t>
  </si>
  <si>
    <t>100000018051</t>
  </si>
  <si>
    <t>รถบรรทุก (ดีเซล) ขนาด 1 ตัน ปริมาตรกระบอกสูบไม่ต่ำกว่า 2400 ซีซี หรือกำลังขับเครื่องยนต์สูงสุดไม่ต่ำกว่า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</t>
  </si>
  <si>
    <t>ขอเพิ่มประสิทธิภาพ 1 เครื่อง เนื่องจากของเดิมเริ่มชำรุดจากอายุการใช้งาน 10 ปี ไม่เพียงพอต่อการใช้งาน ใช้ประโยชน์ในการบันทึกภาพประชาสัมพันธ์ภารกิจหน่วยงาน และบันทึกภาพผู้เสียหายในการทำประวัติ ทำกิจกรรมภายนอก</t>
  </si>
  <si>
    <t xml:space="preserve">กล้องถ่ายภาพนิ่งระบบดิจิตอล </t>
  </si>
  <si>
    <t xml:space="preserve">ขอทดแทน เนื่องจากหน่วยงานมีความจำเป็นต้องใช้รถยนต์โดยสารขนาด 12 ที่นั่ง ในการรับ-ส่งผู้เสียหายฯไปสืบพยานที่ศาล ไปโรงพยาบาล ติดตามเยี่ยมบ้านผู้เสียหายฯ ภายในประเทศเป็นประจำทุกเดือนและส่งกลับภูมิลำเนา ซึ่งบางกรณีต้องเดินทางไปส่งยังประเทศต้นทาง ตามด่านชายแดนจังหวัดต่างๆ เยี่ยมเยียนผู้เสียหายที่ออกไปทำงานภายนอก ตลอดจนการติดต่อประสานงานกับหน่วยงานอื่นที่เกี่ยวข้อง </t>
  </si>
  <si>
    <t>พส/สปป-04/5-01-03/01/2554(100000019486) ทะเบียน นค 5006 ปทุมธานี</t>
  </si>
  <si>
    <t>รถยนต์โดยสารขนาด 12 ที่นั่ง เครื่องยนต์ดีเซล ปริมาณกระบอกสูบไม่ต่ำกว่า 2,400 ซีซี หรือกำลังเครื่องยนต์สูงสุดไม่ต่ำกว่า 90 กิโลวัตต์</t>
  </si>
  <si>
    <t>ขอทดแทน 
1. ห้องประชุมอาคาร 16 จำนวน 2 เครื่อง (ใช้จัดประชุมประจำเดือน และต้อนรับหน่วยงานต่างๆ รวมถึงคณะผู้มาเยี่ยมเยียน) 
2. อาคารศูนย์ปฏิบัติการ จำนวน 2 เครื่อง (ใช้จัดงานต้อนรับ หรือต้อนรับแขกผู้มาติดต่อจากหน่วยงานภายนอก)        
3. อาคาร 20 ชั้น 1 กลุ่มส่งเสริมและพัฒนา 1 เครื่อง</t>
  </si>
  <si>
    <t xml:space="preserve"> พส/สปป-04/04-07-01/02/2554 , พส/สปป-04/04-07-01/03/2554, พส/สปป-04/04-07-01/01/2557 , พส/สปป-04/04-07-01/02/2557 , พส/สปป-04/04-07-01/03/2557</t>
  </si>
  <si>
    <t>เครื่องปรับอากาศ แบบแยกส่วน แบบตั้งพื้นหรือแบบแขวน ระบบ (Inverter) ขนาด 30,000 บีทียู</t>
  </si>
  <si>
    <t xml:space="preserve">ขอเพิ่มประสิทธิภาพ เนื่องจากหน่วยงานมีความจำเป็นต้องใช้น้ำเพื่ออุปโภคและบริโภคในหลายส่วน ทั้งในส่วนของผู้เสียหายที่พักอาศัยอยู่ภายในสถานที่ เจ้าหน้าที่ผู้ปฏิบัติงาน ตลอดจนประชาชนที่มาติดต่อราชการ โดยมีการใช้น้ำในปริมาณมากและอย่างต่อเนื่องทุกวัน อย่างไรก็ตาม หน่วยงานยังไม่เคยได้รับการจัดสรรปั๊มน้ำ มาก่อน ส่งผลให้การจ่ายน้ำไม่เพียงพอต่อความต้องการ โดยเฉพาะในช่วงเวลาที่มีการใช้น้ำพร้อมกันหลายจุด ซึ่งทำให้แรงดันน้ำลดลง ไม่สามารถส่งน้ำขึ้นถังเก็บน้ำได้ทั่วถึง และอาจกระทบต่อความเป็นอยู่ของผู้เสียหายรวมถึงประสิทธิภาพในการดำเนินงานของเจ้าหน้าที่ </t>
  </si>
  <si>
    <t>ปั๊มน้ำอัตโนมัติ ขนาด 200 วัตต์</t>
  </si>
  <si>
    <t xml:space="preserve">ขอเพิ่มประสิทธิภาพ เนื่องจากหน่วยงานมีภารกิจในการดูแลพื้นที่ภายในสถานที่ราชการ ซึ่งมีบริเวณกว้างและมีหญ้าขึ้นเป็นจำนวนมาก จำเป็นต้องมีการตัดแต่งและบำรุงรักษาอย่างต่อเนื่อง เพื่อให้สถานที่มีความสะอาด เป็นระเบียบเรียบร้อย และเกิดภาพลักษณ์ที่เหมาะสมกับการเป็นสถานที่ราชการ ปัจจุบัน หน่วยงานมีเครื่องตัดหญ้าไม่เพียงพอต่อการใช้งานจริง ส่งผลให้การดูแลพื้นที่โดยรอบไม่ทั่วถึงและล่าช้า เพื่อให้การบำรุงรักษาความสะอาดของบริเวณสถานที่ราชการเป็นไปอย่างต่อเนื่อง และสามารถดำเนินการได้อย่างมีประสิทธิภาพ </t>
  </si>
  <si>
    <t>เครื่องตัดหญ้าแบบข้อแข็ง</t>
  </si>
  <si>
    <t xml:space="preserve">ขอทดแทน เนื่องจากหน่วยงานมีความจำเป็นต้องใช้เครื่องซักผ้า สำหรับซักทำความสะอาดเสื้อผ้า เครื่องนอน ของผู้เสียหายที่อยู่ภายในสถานคุ้มครอง ซึ่งมีความต้องการใช้เป็นประจำทุกวัน เพื่อรักษาความสะอาดและสุขอนามัยที่เหมาะสม </t>
  </si>
  <si>
    <t>เลขหลัก GFMIS 100000022059 100000022060 100000022061</t>
  </si>
  <si>
    <t>เครื่องซักผ้าแบบธรรมดา ขนาด 15 กิโลกรัม</t>
  </si>
  <si>
    <t>ขอทดแทน เนื่องจากเป็นหลังคาที่ติดตั้งกับรถบรรทุก ขนาด 1 ตัน ซึ่งมีอายุการใช้งานมาแล้ว 18 ปี และเสื่อมสภาพจากการใช้งาน</t>
  </si>
  <si>
    <t>100000017871</t>
  </si>
  <si>
    <t>หลังคารถบรรทุก ขนาด 1 ตัน หลังคาไฟเบอร์กลาสหรือเหล็ก</t>
  </si>
  <si>
    <t>ขอทดแทน เนื่องจากรถมีอายุการใช้งานมาแล้ว 18 ปี ซึ่งไม่คุ้มค่ากับการซ่อมแซมและบำรุงรักษา โดยใช้ในการปฏิบัติงานในภารกิจการคัดแยกผู้เสียหายจากการค้ามนุษย์ การติดตามเยี่ยมบ้านของผู้เสียหายรวมถึงเข้าร่วมภารกิจสนับสนุนกับทีมสหวิชาชีพให้การคุ้มครองช่วยเหลือในกรุงเทพฯ และต่างจังหวัดที่เกิดสถานการณ์ ซึ่งมีพื้นที่ราบสูงและทุรกันดาร</t>
  </si>
  <si>
    <t>พส/สปป/05-01-04/001/2552 100000017872</t>
  </si>
  <si>
    <t>รถบรรทุก (ดีเซล) ขนาด 1 ตัน ปริมาตรกระบอกสูบ ไม่ต่ำกว่า 2,400 ซีซี หรือกำลังเครื่องยนต์สูงสุดไม่ต่ำกว่า 110 กิโลวัตต์ ขับเคลื่อน 4 ล้อ แบบดับเบิ้ลแค็บ</t>
  </si>
  <si>
    <t xml:space="preserve">ขอทดแทน เนื่องจากรถมีอายุการใช้งานมาแล้ว 16 ปี ซึ่งไม่คุ้มค่ากับการซ่อมแซมและบำรุงรักษา โดยใช้ในการปฏิบัติงานในภารกิจการคัดแยกผู้เสียหายจากการค้ามนุษย์ การติดตามเยี่ยมบ้านของผู้เสียหายรวมถึงเข้าร่วมภารกิจสนับสนุนกับทีมสหวิชาชีพให้การคุ้มครองช่วยเหลือในกรุงเทพฯ และต่างจังหวัดที่เกิดสถานการณ์ </t>
  </si>
  <si>
    <t>พส/สปป/05-01-03/001/2554 100000017874</t>
  </si>
  <si>
    <t xml:space="preserve">ขอทดแทน เนื่องจากรถมีอายุการใช้งานมาแล้ว 18 ปี ซึ่งไม่คุ้มค่ากับการซ่อมแซมและบำรุงรักษา โดยใช้ในการปฏิบัติงาน ในภารกิจการคัดแยกผู้เสียหายจากการค้ามนุษย์ การติดตามเยี่ยมบ้านของผู้เสียหายรวมถึงเข้าร่วมภารกิจสนับสนุนกับทีมสหวิชาชีพให้การคุ้มครองช่วยเหลือในกรุงเทพฯ และต่างจังหวัดที่เกิดสถานการณ์ </t>
  </si>
  <si>
    <t>พส/สปป-สนย05-01-03/001/2552 100000008044</t>
  </si>
  <si>
    <t>ขอทดแทน เนื่องจากรถมีอายุการใช้งานมาแล้ว 21 ปี ซึ่งไม่คุ้มค่ากัยการซ่อมแซมและบำรุงรักษา โดยใช้ในการปฏิบัติงาน ในภารกิจการคัดแยกผู้เสียหายจากการค้ามนุษย์ การติดตามเยี่ยมบ้านของผู้เสียหายรวมถึงเข้าร่วมภารกิจ เพื่อสนับสนุนกับทีมสหวิชาชีพให้การคุ้มครองช่วยเหลือในกรุงเทพฯ และต่างจังหวัดที่เกิดสถานการณ์</t>
  </si>
  <si>
    <t>พส/สปป/05-01-03/007/2549 100000017855</t>
  </si>
  <si>
    <t>เนื่องจากเครื่องปรับอากาศ มีอายุการใช้งานนานกว่า 10 ปี หมดสภาพการใช้งาน ไม่คุ้มกับค่าซ่อมแซม เมื่อเปิดใช้งานในบางวันจะมีน้ำหยดออกมา มีแต่ลมร้อนออกจากตัวเครื่องปรับอากาศ</t>
  </si>
  <si>
    <t xml:space="preserve">เครื่องปรับอากาศ แบบติดผนัง ขนาด 18,000 บีทียู </t>
  </si>
  <si>
    <t>พัฒนาองค์กรให้มีผลสัมฤทธิ์สูง</t>
  </si>
  <si>
    <t>เนื่องจากรถยนต์ มีอายุการใช้งานนานกว่า 18 ปี วิ่งไปมากกว่า 500,000 กิโลเมตร มีอาการเสียระหว่างการเดินทางไปราชการบ่อย อะไหล่รถยนต์หายากไม่มีในประเทศไทย ทำให้รอตอนเวลาซ่อมนานไม่คุ้มกับค่าซ่อมแซม</t>
  </si>
  <si>
    <t>พส/05-01-03/001/2549</t>
  </si>
  <si>
    <t>ทดแทนหมายเลข พม/สป-สบก(กอก)/05-01-03/002/2550 และ พม/สป-สบก(กอก)/05-01-03/003/2550 ซึ่งมีอายุการใช้งาน 18 ปี หมดสภาพการใช้งาน อาจได้รับอันตรายกับเจ้าหน้าที่หากต้องเดินทางไปต่างจังหวัด และส่วนใหญ่ใช้ในการเดินทางไปราชการต่างจังหวัด</t>
  </si>
  <si>
    <t>พม/สป-สบก(กอก)/05-01-03/002/2550 และ พม/สป-สบก(กอก)/05-01-03/003/2550</t>
  </si>
  <si>
    <t>ทดแทนหมายเลข พม/สป-สบก(กอก)/05-01-02/001/2557 พม/สป-สบก(กอก)/05-01-02/002/2557 พม/สป-สบก(กอก)/05-01-02/003/2557 ซึ่งมีอายุการใช้งาน 11 ปี หมดสภาพการใช้งาน ไม่สามารถใช้งานได้</t>
  </si>
  <si>
    <t>พม/สป-สบก(กอก)/05-01-02/001/2557 พม/สป-สบก(กอก)/05-01-02/002/2557 พม/สป-สบก(กอก)/05-01-02/003/2557</t>
  </si>
  <si>
    <t>รถประจำตำแหน่ง ระดับอธิบดี รองปลัดกระทรวง เอกอัครราชทูตประจำกระทรวง ผู้ตรวจราชการกระทรวง รองเลขาธิการนายกรัฐมนตรีฝ่ายการเมือง เลขานุการรัฐมนตรี ผู้ช่วยเลขานุการรัฐมนตรี หรือผู้ดำรงตำแหน่งอื่นที่มีฐานะเทียบเท่า ปริมาตรกระบอกสูบไม่เกิน 2500 ซีซี หรือกำลังเครื่องยนต์สูงสุดไม่เกิน 160 กิโลวัตต์ หรือกำลังมอเตอร์ไฟฟ้าสูงสุดไม่เกิน 329 กิโลวัตต์</t>
  </si>
  <si>
    <t>เหตุผล/ความจำเป็น</t>
  </si>
  <si>
    <t>ราคา/หน่วย</t>
  </si>
  <si>
    <t>เลขครุภัณฑ์ทดแทน</t>
  </si>
  <si>
    <t xml:space="preserve">คำขอ
เพิ่ม ปสภ.
จำนวน
</t>
  </si>
  <si>
    <t xml:space="preserve">คำขอ
ทดแทน
จำนวน
</t>
  </si>
  <si>
    <t>นอกมาตรฐาน</t>
  </si>
  <si>
    <t>ในมาตรฐาน</t>
  </si>
  <si>
    <t>คำขอ (หน่วยนับ)</t>
  </si>
  <si>
    <t>คำขอ (รวมจำนวน)</t>
  </si>
  <si>
    <t>คำขอ (บาท)</t>
  </si>
  <si>
    <t>กิจกรรม</t>
  </si>
  <si>
    <t>แผนงาน</t>
  </si>
  <si>
    <t>หมวดย่อย</t>
  </si>
  <si>
    <t>หมวด</t>
  </si>
  <si>
    <t>ลำดับ</t>
  </si>
  <si>
    <t>สถิติงบลงทุน 3 ปีย้อนหลัง (2567-2570) (ประเภท ยานพาหนะและขนส่ง)</t>
  </si>
  <si>
    <t>จำนวน
(ขอทดแทน)</t>
  </si>
  <si>
    <t>จำนวน
(เพิ่มประสิทธิภาพ)</t>
  </si>
  <si>
    <t>(ศชส.)</t>
  </si>
  <si>
    <t>(ศบจ.)</t>
  </si>
  <si>
    <t>จำนวน
(รวมคำขอทั้งสิ้น)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</si>
  <si>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</si>
  <si>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</si>
  <si>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</si>
  <si>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</si>
  <si>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</si>
  <si>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</si>
  <si>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</si>
  <si>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</si>
  <si>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</si>
  <si>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</si>
  <si>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</si>
  <si>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</si>
  <si>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</si>
  <si>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</si>
  <si>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</si>
  <si>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</si>
  <si>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</si>
  <si>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</si>
  <si>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</si>
  <si>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</si>
  <si>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BudgetID</t>
  </si>
  <si>
    <t>ปี</t>
  </si>
  <si>
    <t>ประเภทงบ</t>
  </si>
  <si>
    <t>หน่วยงาน</t>
  </si>
  <si>
    <t>B000001</t>
  </si>
  <si>
    <t>B000002</t>
  </si>
  <si>
    <t>ปีงบประมาณ</t>
  </si>
  <si>
    <t>B000003</t>
  </si>
  <si>
    <t>B000004</t>
  </si>
  <si>
    <t>B000005</t>
  </si>
  <si>
    <t>B000006</t>
  </si>
  <si>
    <t>B000007</t>
  </si>
  <si>
    <t>B000008</t>
  </si>
  <si>
    <t>B000009</t>
  </si>
  <si>
    <t>B000010</t>
  </si>
  <si>
    <t>B000011</t>
  </si>
  <si>
    <t>B000012</t>
  </si>
  <si>
    <t>B000013</t>
  </si>
  <si>
    <t>B000014</t>
  </si>
  <si>
    <t>B000015</t>
  </si>
  <si>
    <t>B000016</t>
  </si>
  <si>
    <t>B000017</t>
  </si>
  <si>
    <t>B000018</t>
  </si>
  <si>
    <t>B000019</t>
  </si>
  <si>
    <t>B000020</t>
  </si>
  <si>
    <t>B000021</t>
  </si>
  <si>
    <t>B000022</t>
  </si>
  <si>
    <t>B000023</t>
  </si>
  <si>
    <t>B000024</t>
  </si>
  <si>
    <t>B000025</t>
  </si>
  <si>
    <t>B000026</t>
  </si>
  <si>
    <t>B000027</t>
  </si>
  <si>
    <t>B000028</t>
  </si>
  <si>
    <t>B000029</t>
  </si>
  <si>
    <t>B000030</t>
  </si>
  <si>
    <t>B000031</t>
  </si>
  <si>
    <t>B000032</t>
  </si>
  <si>
    <t>B000033</t>
  </si>
  <si>
    <t>B000034</t>
  </si>
  <si>
    <t>B000035</t>
  </si>
  <si>
    <t>B000036</t>
  </si>
  <si>
    <t>B000037</t>
  </si>
  <si>
    <t>B000038</t>
  </si>
  <si>
    <t>B000039</t>
  </si>
  <si>
    <t>B000040</t>
  </si>
  <si>
    <t>B000041</t>
  </si>
  <si>
    <t>B000042</t>
  </si>
  <si>
    <t>B000043</t>
  </si>
  <si>
    <t>B000044</t>
  </si>
  <si>
    <t>B000045</t>
  </si>
  <si>
    <t>B000046</t>
  </si>
  <si>
    <t>B000047</t>
  </si>
  <si>
    <t>B000048</t>
  </si>
  <si>
    <t>B000049</t>
  </si>
  <si>
    <t>B000050</t>
  </si>
  <si>
    <t>B000051</t>
  </si>
  <si>
    <t>B000052</t>
  </si>
  <si>
    <t>B000053</t>
  </si>
  <si>
    <t>B000054</t>
  </si>
  <si>
    <t>B000055</t>
  </si>
  <si>
    <t>B000056</t>
  </si>
  <si>
    <t>B000057</t>
  </si>
  <si>
    <t>B000058</t>
  </si>
  <si>
    <t>B000059</t>
  </si>
  <si>
    <t>B000060</t>
  </si>
  <si>
    <t>B000061</t>
  </si>
  <si>
    <t>B000062</t>
  </si>
  <si>
    <t>B000063</t>
  </si>
  <si>
    <t>B000064</t>
  </si>
  <si>
    <t>B000065</t>
  </si>
  <si>
    <t>B000066</t>
  </si>
  <si>
    <t>B000067</t>
  </si>
  <si>
    <t>B000068</t>
  </si>
  <si>
    <t>B000069</t>
  </si>
  <si>
    <t>B000070</t>
  </si>
  <si>
    <t>B000071</t>
  </si>
  <si>
    <t>B000072</t>
  </si>
  <si>
    <t>B000073</t>
  </si>
  <si>
    <t>B000074</t>
  </si>
  <si>
    <t>B000075</t>
  </si>
  <si>
    <t>B000076</t>
  </si>
  <si>
    <t>B000077</t>
  </si>
  <si>
    <t>B000078</t>
  </si>
  <si>
    <t>B000079</t>
  </si>
  <si>
    <t>B000080</t>
  </si>
  <si>
    <t>B000081</t>
  </si>
  <si>
    <t>B000082</t>
  </si>
  <si>
    <t>B000083</t>
  </si>
  <si>
    <t>B000084</t>
  </si>
  <si>
    <t>B000085</t>
  </si>
  <si>
    <t>B000086</t>
  </si>
  <si>
    <t>B000087</t>
  </si>
  <si>
    <t>B000088</t>
  </si>
  <si>
    <t>B000089</t>
  </si>
  <si>
    <t>B000090</t>
  </si>
  <si>
    <t>B000091</t>
  </si>
  <si>
    <t>B000092</t>
  </si>
  <si>
    <t>B000093</t>
  </si>
  <si>
    <t>B000094</t>
  </si>
  <si>
    <t>B000095</t>
  </si>
  <si>
    <t>B000096</t>
  </si>
  <si>
    <t>B000097</t>
  </si>
  <si>
    <t>B000098</t>
  </si>
  <si>
    <t>B000099</t>
  </si>
  <si>
    <t>B000100</t>
  </si>
  <si>
    <t>B000101</t>
  </si>
  <si>
    <t>B000102</t>
  </si>
  <si>
    <t>B000103</t>
  </si>
  <si>
    <t>B000104</t>
  </si>
  <si>
    <t>B000105</t>
  </si>
  <si>
    <t>B000106</t>
  </si>
  <si>
    <t>B000107</t>
  </si>
  <si>
    <t>B000108</t>
  </si>
  <si>
    <t>B000109</t>
  </si>
  <si>
    <t>B000110</t>
  </si>
  <si>
    <t>B000111</t>
  </si>
  <si>
    <t>B000112</t>
  </si>
  <si>
    <t>B000113</t>
  </si>
  <si>
    <t>B000114</t>
  </si>
  <si>
    <t>B000115</t>
  </si>
  <si>
    <t>B000116</t>
  </si>
  <si>
    <t>B000117</t>
  </si>
  <si>
    <t>B000118</t>
  </si>
  <si>
    <t>B000119</t>
  </si>
  <si>
    <t>B000120</t>
  </si>
  <si>
    <t>B000121</t>
  </si>
  <si>
    <t>B000122</t>
  </si>
  <si>
    <t>B000123</t>
  </si>
  <si>
    <t>B000124</t>
  </si>
  <si>
    <t>B000125</t>
  </si>
  <si>
    <t>B000126</t>
  </si>
  <si>
    <t>B000127</t>
  </si>
  <si>
    <t>B000128</t>
  </si>
  <si>
    <t>B000129</t>
  </si>
  <si>
    <t>B000130</t>
  </si>
  <si>
    <t>B000131</t>
  </si>
  <si>
    <t>B000132</t>
  </si>
  <si>
    <t>B000133</t>
  </si>
  <si>
    <t>B000134</t>
  </si>
  <si>
    <t>B000135</t>
  </si>
  <si>
    <t>B000136</t>
  </si>
  <si>
    <t>B000137</t>
  </si>
  <si>
    <t>B000138</t>
  </si>
  <si>
    <t>B000139</t>
  </si>
  <si>
    <t>B000140</t>
  </si>
  <si>
    <t>B000141</t>
  </si>
  <si>
    <t>B000142</t>
  </si>
  <si>
    <t>B000143</t>
  </si>
  <si>
    <t>B000144</t>
  </si>
  <si>
    <t>B000145</t>
  </si>
  <si>
    <t>B000146</t>
  </si>
  <si>
    <t>B000147</t>
  </si>
  <si>
    <t>B000148</t>
  </si>
  <si>
    <t>B000149</t>
  </si>
  <si>
    <t>B000150</t>
  </si>
  <si>
    <t>B000151</t>
  </si>
  <si>
    <t>B000152</t>
  </si>
  <si>
    <t>B000153</t>
  </si>
  <si>
    <t>B000154</t>
  </si>
  <si>
    <t>B000155</t>
  </si>
  <si>
    <t>B000156</t>
  </si>
  <si>
    <t>B000157</t>
  </si>
  <si>
    <t>ประจำปี</t>
  </si>
  <si>
    <t>B000158</t>
  </si>
  <si>
    <t>B000159</t>
  </si>
  <si>
    <t>B000160</t>
  </si>
  <si>
    <t>B000161</t>
  </si>
  <si>
    <t>B000162</t>
  </si>
  <si>
    <t>B000163</t>
  </si>
  <si>
    <t>B000164</t>
  </si>
  <si>
    <t>B000165</t>
  </si>
  <si>
    <t>B000166</t>
  </si>
  <si>
    <t>B000167</t>
  </si>
  <si>
    <t>B000168</t>
  </si>
  <si>
    <t>B000169</t>
  </si>
  <si>
    <t>B000170</t>
  </si>
  <si>
    <t>B000171</t>
  </si>
  <si>
    <t>B000172</t>
  </si>
  <si>
    <t>B000173</t>
  </si>
  <si>
    <t>B000174</t>
  </si>
  <si>
    <t>B000175</t>
  </si>
  <si>
    <t>B000176</t>
  </si>
  <si>
    <t>B000177</t>
  </si>
  <si>
    <t>B000178</t>
  </si>
  <si>
    <t>B000179</t>
  </si>
  <si>
    <t>B000180</t>
  </si>
  <si>
    <t>B000181</t>
  </si>
  <si>
    <t>B000182</t>
  </si>
  <si>
    <t>B000183</t>
  </si>
  <si>
    <t>B000184</t>
  </si>
  <si>
    <t>B000185</t>
  </si>
  <si>
    <t>B000186</t>
  </si>
  <si>
    <t>B000187</t>
  </si>
  <si>
    <t>B000188</t>
  </si>
  <si>
    <t>B000189</t>
  </si>
  <si>
    <t>B000190</t>
  </si>
  <si>
    <t>B000191</t>
  </si>
  <si>
    <t>B000192</t>
  </si>
  <si>
    <t>B000193</t>
  </si>
  <si>
    <t>B000194</t>
  </si>
  <si>
    <t>B000195</t>
  </si>
  <si>
    <t>B000196</t>
  </si>
  <si>
    <t>B000197</t>
  </si>
  <si>
    <t>B000198</t>
  </si>
  <si>
    <t>B000199</t>
  </si>
  <si>
    <t>B000200</t>
  </si>
  <si>
    <t>B000201</t>
  </si>
  <si>
    <t>B000202</t>
  </si>
  <si>
    <t>B000203</t>
  </si>
  <si>
    <t>B000204</t>
  </si>
  <si>
    <t>B000205</t>
  </si>
  <si>
    <t>B000206</t>
  </si>
  <si>
    <t>B000207</t>
  </si>
  <si>
    <t>B000208</t>
  </si>
  <si>
    <t>B000209</t>
  </si>
  <si>
    <t>B000210</t>
  </si>
  <si>
    <t>B000211</t>
  </si>
  <si>
    <t>B000212</t>
  </si>
  <si>
    <t>B000213</t>
  </si>
  <si>
    <t>B000214</t>
  </si>
  <si>
    <t>B000215</t>
  </si>
  <si>
    <t>B000216</t>
  </si>
  <si>
    <t>B000217</t>
  </si>
  <si>
    <t>B000218</t>
  </si>
  <si>
    <t>B000219</t>
  </si>
  <si>
    <t>B000220</t>
  </si>
  <si>
    <t>B000221</t>
  </si>
  <si>
    <t>B000222</t>
  </si>
  <si>
    <t>ประเภทคำขอ</t>
  </si>
  <si>
    <t>Column110</t>
  </si>
  <si>
    <t>B000223</t>
  </si>
  <si>
    <t>B000224</t>
  </si>
  <si>
    <t>B000225</t>
  </si>
  <si>
    <t>B000226</t>
  </si>
  <si>
    <t>B000227</t>
  </si>
  <si>
    <t>B000228</t>
  </si>
  <si>
    <t>B000229</t>
  </si>
  <si>
    <t>B000230</t>
  </si>
  <si>
    <t>B000231</t>
  </si>
  <si>
    <t>B000232</t>
  </si>
  <si>
    <t>B000233</t>
  </si>
  <si>
    <t>B000234</t>
  </si>
  <si>
    <t>B000235</t>
  </si>
  <si>
    <t>B000236</t>
  </si>
  <si>
    <t>B000237</t>
  </si>
  <si>
    <t>B000238</t>
  </si>
  <si>
    <t>B000239</t>
  </si>
  <si>
    <t>B000240</t>
  </si>
  <si>
    <t>B000241</t>
  </si>
  <si>
    <t>B000242</t>
  </si>
  <si>
    <t>B000243</t>
  </si>
  <si>
    <t>B000244</t>
  </si>
  <si>
    <t>B000245</t>
  </si>
  <si>
    <t>B000246</t>
  </si>
  <si>
    <t>B000247</t>
  </si>
  <si>
    <t>B000248</t>
  </si>
  <si>
    <t>B000249</t>
  </si>
  <si>
    <t>B000250</t>
  </si>
  <si>
    <t>B000251</t>
  </si>
  <si>
    <t>B000252</t>
  </si>
  <si>
    <t>B000253</t>
  </si>
  <si>
    <t>B000254</t>
  </si>
  <si>
    <t>B000255</t>
  </si>
  <si>
    <t>B000256</t>
  </si>
  <si>
    <t>B000257</t>
  </si>
  <si>
    <t>B000258</t>
  </si>
  <si>
    <t>B000259</t>
  </si>
  <si>
    <t>B000260</t>
  </si>
  <si>
    <t>B000261</t>
  </si>
  <si>
    <t>B000262</t>
  </si>
  <si>
    <t>B000263</t>
  </si>
  <si>
    <t>B000264</t>
  </si>
  <si>
    <t>B000265</t>
  </si>
  <si>
    <t>B000266</t>
  </si>
  <si>
    <t>B000267</t>
  </si>
  <si>
    <t>B000268</t>
  </si>
  <si>
    <t>B000269</t>
  </si>
  <si>
    <t>B000270</t>
  </si>
  <si>
    <t>B000271</t>
  </si>
  <si>
    <t>B000272</t>
  </si>
  <si>
    <t>B000273</t>
  </si>
  <si>
    <t>B000274</t>
  </si>
  <si>
    <t>B000275</t>
  </si>
  <si>
    <t>B000276</t>
  </si>
  <si>
    <t>B000277</t>
  </si>
  <si>
    <t>B000278</t>
  </si>
  <si>
    <t>B000279</t>
  </si>
  <si>
    <t>B000280</t>
  </si>
  <si>
    <t>B000281</t>
  </si>
  <si>
    <t>B000282</t>
  </si>
  <si>
    <t>B000283</t>
  </si>
  <si>
    <t>B000284</t>
  </si>
  <si>
    <t>B000285</t>
  </si>
  <si>
    <t>B000286</t>
  </si>
  <si>
    <t>B000287</t>
  </si>
  <si>
    <t>B000288</t>
  </si>
  <si>
    <t>B000289</t>
  </si>
  <si>
    <t>B000290</t>
  </si>
  <si>
    <t>B000291</t>
  </si>
  <si>
    <t>B000292</t>
  </si>
  <si>
    <t>B000293</t>
  </si>
  <si>
    <t>B000294</t>
  </si>
  <si>
    <t>B000295</t>
  </si>
  <si>
    <t>B000296</t>
  </si>
  <si>
    <t>B000297</t>
  </si>
  <si>
    <t>B000298</t>
  </si>
  <si>
    <t>B000299</t>
  </si>
  <si>
    <t>B000300</t>
  </si>
  <si>
    <t>B000301</t>
  </si>
  <si>
    <t>B000302</t>
  </si>
  <si>
    <t>B000303</t>
  </si>
  <si>
    <t>B000304</t>
  </si>
  <si>
    <t>B000305</t>
  </si>
  <si>
    <t>B000306</t>
  </si>
  <si>
    <t>B000307</t>
  </si>
  <si>
    <t>B000308</t>
  </si>
  <si>
    <t>B000309</t>
  </si>
  <si>
    <t>B000310</t>
  </si>
  <si>
    <t>B000311</t>
  </si>
  <si>
    <t>B000312</t>
  </si>
  <si>
    <t>B000313</t>
  </si>
  <si>
    <t>B000314</t>
  </si>
  <si>
    <t>B000315</t>
  </si>
  <si>
    <t>B000316</t>
  </si>
  <si>
    <t>B000317</t>
  </si>
  <si>
    <t>B000318</t>
  </si>
  <si>
    <t>B000319</t>
  </si>
  <si>
    <t>B000320</t>
  </si>
  <si>
    <t>B000321</t>
  </si>
  <si>
    <t>B000322</t>
  </si>
  <si>
    <t>B000323</t>
  </si>
  <si>
    <t>B000324</t>
  </si>
  <si>
    <t>B000325</t>
  </si>
  <si>
    <t>B000326</t>
  </si>
  <si>
    <t>B000327</t>
  </si>
  <si>
    <t>B000328</t>
  </si>
  <si>
    <t>B000329</t>
  </si>
  <si>
    <t>B000330</t>
  </si>
  <si>
    <t>B000331</t>
  </si>
  <si>
    <t>B000332</t>
  </si>
  <si>
    <t>B000333</t>
  </si>
  <si>
    <t>B000334</t>
  </si>
  <si>
    <t>B000335</t>
  </si>
  <si>
    <t>B000336</t>
  </si>
  <si>
    <t>B000337</t>
  </si>
  <si>
    <t>B000338</t>
  </si>
  <si>
    <t>B000339</t>
  </si>
  <si>
    <t>B000340</t>
  </si>
  <si>
    <t>B000341</t>
  </si>
  <si>
    <t>B000342</t>
  </si>
  <si>
    <t>B000343</t>
  </si>
  <si>
    <t>B000344</t>
  </si>
  <si>
    <t>B000345</t>
  </si>
  <si>
    <t>B000346</t>
  </si>
  <si>
    <t>B000347</t>
  </si>
  <si>
    <t>B000348</t>
  </si>
  <si>
    <t>B000349</t>
  </si>
  <si>
    <t>B000350</t>
  </si>
  <si>
    <t>B000351</t>
  </si>
  <si>
    <t>B000352</t>
  </si>
  <si>
    <t>B000353</t>
  </si>
  <si>
    <t>B000354</t>
  </si>
  <si>
    <t>B000355</t>
  </si>
  <si>
    <t>B000356</t>
  </si>
  <si>
    <t>B000357</t>
  </si>
  <si>
    <t>B000358</t>
  </si>
  <si>
    <t>B000359</t>
  </si>
  <si>
    <t>B000360</t>
  </si>
  <si>
    <t>B000361</t>
  </si>
  <si>
    <t>B000362</t>
  </si>
  <si>
    <t>B000363</t>
  </si>
  <si>
    <t>B000364</t>
  </si>
  <si>
    <t>B000365</t>
  </si>
  <si>
    <t>B000366</t>
  </si>
  <si>
    <t>B000367</t>
  </si>
  <si>
    <t>B000368</t>
  </si>
  <si>
    <t>B000369</t>
  </si>
  <si>
    <t>B000370</t>
  </si>
  <si>
    <t>B000371</t>
  </si>
  <si>
    <t>B000372</t>
  </si>
  <si>
    <t>B000373</t>
  </si>
  <si>
    <t>B000374</t>
  </si>
  <si>
    <t>B000375</t>
  </si>
  <si>
    <t>B000376</t>
  </si>
  <si>
    <t>B000377</t>
  </si>
  <si>
    <t>B000378</t>
  </si>
  <si>
    <t>B000379</t>
  </si>
  <si>
    <t>B000380</t>
  </si>
  <si>
    <t>B000381</t>
  </si>
  <si>
    <t>B000382</t>
  </si>
  <si>
    <t>B000383</t>
  </si>
  <si>
    <t>B000384</t>
  </si>
  <si>
    <t>B000385</t>
  </si>
  <si>
    <t>B000386</t>
  </si>
  <si>
    <t>B000387</t>
  </si>
  <si>
    <t>B000388</t>
  </si>
  <si>
    <t>B000389</t>
  </si>
  <si>
    <t>B000390</t>
  </si>
  <si>
    <t>B000391</t>
  </si>
  <si>
    <t>B000392</t>
  </si>
  <si>
    <t>B000393</t>
  </si>
  <si>
    <t>B000394</t>
  </si>
  <si>
    <t>B000395</t>
  </si>
  <si>
    <t>B000396</t>
  </si>
  <si>
    <t>B000397</t>
  </si>
  <si>
    <t>B000398</t>
  </si>
  <si>
    <t>B000399</t>
  </si>
  <si>
    <t>B000400</t>
  </si>
  <si>
    <t>B000401</t>
  </si>
  <si>
    <t>B000402</t>
  </si>
  <si>
    <t>B000403</t>
  </si>
  <si>
    <t>B000404</t>
  </si>
  <si>
    <t>B000405</t>
  </si>
  <si>
    <t>B000406</t>
  </si>
  <si>
    <t>B000407</t>
  </si>
  <si>
    <t>B000408</t>
  </si>
  <si>
    <t>B000409</t>
  </si>
  <si>
    <t>B000410</t>
  </si>
  <si>
    <t>B000411</t>
  </si>
  <si>
    <t>B000412</t>
  </si>
  <si>
    <t>B000413</t>
  </si>
  <si>
    <t>B000414</t>
  </si>
  <si>
    <t>B000415</t>
  </si>
  <si>
    <t>B000416</t>
  </si>
  <si>
    <t>B000417</t>
  </si>
  <si>
    <t>B000418</t>
  </si>
  <si>
    <t>B000419</t>
  </si>
  <si>
    <t>B000420</t>
  </si>
  <si>
    <t>B000421</t>
  </si>
  <si>
    <t>B000422</t>
  </si>
  <si>
    <t>B000423</t>
  </si>
  <si>
    <t>B000424</t>
  </si>
  <si>
    <t>B000425</t>
  </si>
  <si>
    <t>B000426</t>
  </si>
  <si>
    <t>B000427</t>
  </si>
  <si>
    <t>B000428</t>
  </si>
  <si>
    <t>B000429</t>
  </si>
  <si>
    <t>B000430</t>
  </si>
  <si>
    <t>B000431</t>
  </si>
  <si>
    <t>B000432</t>
  </si>
  <si>
    <t>B000433</t>
  </si>
  <si>
    <t>B000434</t>
  </si>
  <si>
    <t>B000435</t>
  </si>
  <si>
    <t>B000436</t>
  </si>
  <si>
    <t>B000437</t>
  </si>
  <si>
    <t>B000438</t>
  </si>
  <si>
    <t>B000439</t>
  </si>
  <si>
    <t>B000440</t>
  </si>
  <si>
    <t>B000441</t>
  </si>
  <si>
    <t>B000442</t>
  </si>
  <si>
    <t>B000443</t>
  </si>
  <si>
    <t>B000444</t>
  </si>
  <si>
    <t>B000445</t>
  </si>
  <si>
    <t>B000446</t>
  </si>
  <si>
    <t>B000447</t>
  </si>
  <si>
    <t>B000448</t>
  </si>
  <si>
    <t>B000449</t>
  </si>
  <si>
    <t>B000450</t>
  </si>
  <si>
    <t>B000451</t>
  </si>
  <si>
    <t>B000452</t>
  </si>
  <si>
    <t>B000453</t>
  </si>
  <si>
    <t>B000454</t>
  </si>
  <si>
    <t>B000455</t>
  </si>
  <si>
    <t>B000456</t>
  </si>
  <si>
    <t>B000457</t>
  </si>
  <si>
    <t>B000458</t>
  </si>
  <si>
    <t>B000459</t>
  </si>
  <si>
    <t>B000460</t>
  </si>
  <si>
    <t>B000461</t>
  </si>
  <si>
    <t>B000462</t>
  </si>
  <si>
    <t>B000463</t>
  </si>
  <si>
    <t>B000464</t>
  </si>
  <si>
    <t>B000465</t>
  </si>
  <si>
    <t>B000466</t>
  </si>
  <si>
    <t>B000467</t>
  </si>
  <si>
    <t>B000468</t>
  </si>
  <si>
    <t>B000469</t>
  </si>
  <si>
    <t>B000470</t>
  </si>
  <si>
    <t>B000471</t>
  </si>
  <si>
    <t>B000472</t>
  </si>
  <si>
    <t>B000473</t>
  </si>
  <si>
    <t>B000474</t>
  </si>
  <si>
    <t>B000475</t>
  </si>
  <si>
    <t>B000476</t>
  </si>
  <si>
    <t>B000477</t>
  </si>
  <si>
    <t>B000478</t>
  </si>
  <si>
    <t>B000479</t>
  </si>
  <si>
    <t>B000480</t>
  </si>
  <si>
    <t>B000481</t>
  </si>
  <si>
    <t>B000482</t>
  </si>
  <si>
    <t>B000483</t>
  </si>
  <si>
    <t>B000484</t>
  </si>
  <si>
    <t>B000485</t>
  </si>
  <si>
    <t>B000486</t>
  </si>
  <si>
    <t>B000487</t>
  </si>
  <si>
    <t>B000488</t>
  </si>
  <si>
    <t>B000489</t>
  </si>
  <si>
    <t>B000490</t>
  </si>
  <si>
    <t>B000491</t>
  </si>
  <si>
    <t>B000492</t>
  </si>
  <si>
    <t>B000493</t>
  </si>
  <si>
    <t>B000494</t>
  </si>
  <si>
    <t>B000495</t>
  </si>
  <si>
    <t>B000496</t>
  </si>
  <si>
    <t>B000497</t>
  </si>
  <si>
    <t>B000498</t>
  </si>
  <si>
    <t>B000499</t>
  </si>
  <si>
    <t>B000500</t>
  </si>
  <si>
    <t>B000501</t>
  </si>
  <si>
    <t>B000502</t>
  </si>
  <si>
    <t>B000503</t>
  </si>
  <si>
    <t>B000504</t>
  </si>
  <si>
    <t>B000505</t>
  </si>
  <si>
    <t>B000506</t>
  </si>
  <si>
    <t>B000507</t>
  </si>
  <si>
    <t>B000508</t>
  </si>
  <si>
    <t>B000509</t>
  </si>
  <si>
    <t>B000510</t>
  </si>
  <si>
    <t>B000511</t>
  </si>
  <si>
    <t>B000512</t>
  </si>
  <si>
    <t>B000513</t>
  </si>
  <si>
    <t>B000514</t>
  </si>
  <si>
    <t>B000515</t>
  </si>
  <si>
    <t>B000516</t>
  </si>
  <si>
    <t>B000517</t>
  </si>
  <si>
    <t>B000518</t>
  </si>
  <si>
    <t>B000519</t>
  </si>
  <si>
    <t>B000520</t>
  </si>
  <si>
    <t>B000521</t>
  </si>
  <si>
    <t>B000522</t>
  </si>
  <si>
    <t>B000523</t>
  </si>
  <si>
    <t>B000524</t>
  </si>
  <si>
    <t>B000525</t>
  </si>
  <si>
    <t>B000526</t>
  </si>
  <si>
    <t>B000527</t>
  </si>
  <si>
    <t>B000528</t>
  </si>
  <si>
    <t>B000529</t>
  </si>
  <si>
    <t>B000530</t>
  </si>
  <si>
    <t>B000531</t>
  </si>
  <si>
    <t>B000532</t>
  </si>
  <si>
    <t>B000533</t>
  </si>
  <si>
    <t>B000534</t>
  </si>
  <si>
    <t>B000535</t>
  </si>
  <si>
    <t>B000536</t>
  </si>
  <si>
    <t>B000537</t>
  </si>
  <si>
    <t>B000538</t>
  </si>
  <si>
    <t>B000539</t>
  </si>
  <si>
    <t>B000540</t>
  </si>
  <si>
    <t>B000541</t>
  </si>
  <si>
    <t>B000542</t>
  </si>
  <si>
    <t>B000543</t>
  </si>
  <si>
    <t>B000544</t>
  </si>
  <si>
    <t>B000545</t>
  </si>
  <si>
    <t>B000546</t>
  </si>
  <si>
    <t>B000547</t>
  </si>
  <si>
    <t>B000548</t>
  </si>
  <si>
    <t>B000549</t>
  </si>
  <si>
    <t>B000550</t>
  </si>
  <si>
    <t>B000551</t>
  </si>
  <si>
    <t>B000552</t>
  </si>
  <si>
    <t>B000553</t>
  </si>
  <si>
    <t>B000554</t>
  </si>
  <si>
    <t>B000555</t>
  </si>
  <si>
    <t>B000556</t>
  </si>
  <si>
    <t>B000557</t>
  </si>
  <si>
    <t>B000558</t>
  </si>
  <si>
    <t>B000559</t>
  </si>
  <si>
    <t>B000560</t>
  </si>
  <si>
    <t>B000561</t>
  </si>
  <si>
    <t>B000562</t>
  </si>
  <si>
    <t>B000563</t>
  </si>
  <si>
    <t>B000564</t>
  </si>
  <si>
    <t>B000565</t>
  </si>
  <si>
    <t>B000566</t>
  </si>
  <si>
    <t>B000567</t>
  </si>
  <si>
    <t>B000568</t>
  </si>
  <si>
    <t>B000569</t>
  </si>
  <si>
    <t>B000570</t>
  </si>
  <si>
    <t>B000571</t>
  </si>
  <si>
    <t>B000572</t>
  </si>
  <si>
    <t>B000573</t>
  </si>
  <si>
    <t>B000574</t>
  </si>
  <si>
    <t>B000575</t>
  </si>
  <si>
    <t>B000576</t>
  </si>
  <si>
    <t>B000577</t>
  </si>
  <si>
    <t>B000578</t>
  </si>
  <si>
    <t>B000579</t>
  </si>
  <si>
    <t>B000580</t>
  </si>
  <si>
    <t>B000581</t>
  </si>
  <si>
    <t>B000582</t>
  </si>
  <si>
    <t>B000583</t>
  </si>
  <si>
    <t>B000584</t>
  </si>
  <si>
    <t>B000585</t>
  </si>
  <si>
    <t>B000586</t>
  </si>
  <si>
    <t>B000587</t>
  </si>
  <si>
    <t>B000588</t>
  </si>
  <si>
    <t>B000589</t>
  </si>
  <si>
    <t>B000590</t>
  </si>
  <si>
    <t>B000591</t>
  </si>
  <si>
    <t>B000592</t>
  </si>
  <si>
    <t>B000593</t>
  </si>
  <si>
    <t>B000594</t>
  </si>
  <si>
    <t>B000595</t>
  </si>
  <si>
    <t>B000596</t>
  </si>
  <si>
    <t>B000597</t>
  </si>
  <si>
    <t>B000598</t>
  </si>
  <si>
    <t>B000599</t>
  </si>
  <si>
    <t>B000600</t>
  </si>
  <si>
    <t>B000601</t>
  </si>
  <si>
    <t>B000602</t>
  </si>
  <si>
    <t>B000603</t>
  </si>
  <si>
    <t>B000604</t>
  </si>
  <si>
    <t>B000605</t>
  </si>
  <si>
    <t>B000606</t>
  </si>
  <si>
    <t>B000607</t>
  </si>
  <si>
    <t>B000608</t>
  </si>
  <si>
    <t>B000609</t>
  </si>
  <si>
    <t>B000610</t>
  </si>
  <si>
    <t>B000611</t>
  </si>
  <si>
    <t>B000612</t>
  </si>
  <si>
    <t>B000613</t>
  </si>
  <si>
    <t>B000614</t>
  </si>
  <si>
    <t>B000615</t>
  </si>
  <si>
    <t>B000616</t>
  </si>
  <si>
    <t>B000617</t>
  </si>
  <si>
    <t>B000618</t>
  </si>
  <si>
    <t>B000619</t>
  </si>
  <si>
    <t>B000620</t>
  </si>
  <si>
    <t>B000621</t>
  </si>
  <si>
    <t>B000622</t>
  </si>
  <si>
    <t>B000623</t>
  </si>
  <si>
    <t>B000624</t>
  </si>
  <si>
    <t>B000625</t>
  </si>
  <si>
    <t>B000626</t>
  </si>
  <si>
    <t>B000627</t>
  </si>
  <si>
    <t>B000628</t>
  </si>
  <si>
    <t>B000629</t>
  </si>
  <si>
    <t>เพิ่มประสิทธิภาพ</t>
  </si>
  <si>
    <t>ทดแทนครุภัณฑ์เดิม, เพิ่มประสิทธิภาพ</t>
  </si>
  <si>
    <t>รวมคำขอทั้งสิ้น</t>
  </si>
  <si>
    <t>เพิ่มประสิทธิภาพจำนวน</t>
  </si>
  <si>
    <t>ทดแทนจำนวน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</si>
</sst>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7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b/>
      <sz val="20"/>
      <color theme="1"/>
      <name val="TH SarabunPSK"/>
      <family val="2"/>
    </font>
    <font>
      <sz val="16"/>
      <color theme="1"/>
      <name val="TH SarabunPSK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sz val="16"/>
      <name val="TH SarabunPSK"/>
      <family val="2"/>
    </font>
    <font>
      <sz val="16"/>
      <color rgb="FFFF0000"/>
      <name val="TH SarabunPSK"/>
      <family val="2"/>
    </font>
    <font>
      <b/>
      <sz val="18"/>
      <color theme="1"/>
      <name val="TH SarabunPSK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charset val="222"/>
      <scheme val="minor"/>
    </font>
    <font>
      <sz val="16"/>
      <name val="DilleniaUPC"/>
      <family val="1"/>
    </font>
    <font>
      <b/>
      <sz val="16"/>
      <name val="DilleniaUPC"/>
      <family val="1"/>
    </font>
    <font>
      <sz val="16"/>
      <color theme="1"/>
      <name val="Wingdings 2"/>
      <family val="1"/>
      <charset val="2"/>
    </font>
    <font>
      <sz val="16"/>
      <color rgb="FFFF0000"/>
      <name val="DilleniaUPC"/>
      <family val="1"/>
    </font>
    <font>
      <sz val="16"/>
      <color rgb="FFFF0000"/>
      <name val="Wingdings 2"/>
      <family val="1"/>
      <charset val="2"/>
    </font>
    <font>
      <sz val="16"/>
      <color theme="1"/>
      <name val="DilleniaUPC"/>
      <family val="1"/>
    </font>
    <font>
      <sz val="16"/>
      <color theme="0"/>
      <name val="DilleniaUPC"/>
      <family val="1"/>
    </font>
    <font>
      <sz val="12"/>
      <name val="DilleniaUPC"/>
      <family val="1"/>
    </font>
    <font>
      <sz val="16"/>
      <name val="Wingdings 2"/>
      <family val="1"/>
      <charset val="2"/>
    </font>
    <font>
      <sz val="13"/>
      <name val="TH SarabunPSK"/>
      <family val="2"/>
    </font>
    <font>
      <sz val="9"/>
      <color indexed="81"/>
      <name val="Tahoma"/>
      <family val="2"/>
    </font>
    <font>
      <b/>
      <sz val="16"/>
      <color rgb="FFFF0000"/>
      <name val="TH SarabunPSK"/>
      <family val="2"/>
    </font>
    <font>
      <b/>
      <sz val="16"/>
      <color rgb="FFFF0000"/>
      <name val="DilleniaUPC"/>
      <family val="1"/>
    </font>
    <font>
      <sz val="8"/>
      <name val="Calibri"/>
      <family val="2"/>
      <charset val="222"/>
      <scheme val="minor"/>
    </font>
    <font>
      <b/>
      <sz val="11"/>
      <color theme="1"/>
      <name val="TH SarabunPSK"/>
      <family val="2"/>
    </font>
    <font>
      <sz val="11"/>
      <color theme="1"/>
      <name val="TH SarabunPSK"/>
      <family val="2"/>
    </font>
  </fonts>
  <fills count="1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0" fontId="1" fillId="0" borderId="0"/>
    <xf numFmtId="0" fontId="1" fillId="0" borderId="0"/>
  </cellStyleXfs>
  <cellXfs count="309">
    <xf numFmtId="0" fontId="0" fillId="0" borderId="0" xfId="0"/>
    <xf numFmtId="0" fontId="3" fillId="0" borderId="0" xfId="0" applyFont="1" applyAlignment="1">
      <alignment vertical="top"/>
    </xf>
    <xf numFmtId="0" fontId="3" fillId="0" borderId="0" xfId="0" applyFont="1" applyAlignment="1">
      <alignment horizontal="center" vertical="top"/>
    </xf>
    <xf numFmtId="165" fontId="3" fillId="0" borderId="0" xfId="1" applyNumberFormat="1" applyFont="1" applyAlignment="1">
      <alignment horizontal="center" vertical="top"/>
    </xf>
    <xf numFmtId="0" fontId="4" fillId="2" borderId="1" xfId="0" applyFont="1" applyFill="1" applyBorder="1" applyAlignment="1">
      <alignment horizontal="center" vertical="center"/>
    </xf>
    <xf numFmtId="165" fontId="4" fillId="2" borderId="1" xfId="1" applyNumberFormat="1" applyFont="1" applyFill="1" applyBorder="1" applyAlignment="1">
      <alignment horizontal="center" vertical="center"/>
    </xf>
    <xf numFmtId="165" fontId="4" fillId="3" borderId="1" xfId="0" applyNumberFormat="1" applyFont="1" applyFill="1" applyBorder="1" applyAlignment="1">
      <alignment vertical="center"/>
    </xf>
    <xf numFmtId="165" fontId="4" fillId="4" borderId="1" xfId="0" applyNumberFormat="1" applyFont="1" applyFill="1" applyBorder="1" applyAlignment="1">
      <alignment horizontal="center" vertical="center"/>
    </xf>
    <xf numFmtId="0" fontId="4" fillId="5" borderId="1" xfId="0" applyFont="1" applyFill="1" applyBorder="1" applyAlignment="1">
      <alignment vertical="top"/>
    </xf>
    <xf numFmtId="165" fontId="4" fillId="5" borderId="1" xfId="1" applyNumberFormat="1" applyFont="1" applyFill="1" applyBorder="1" applyAlignment="1">
      <alignment vertical="top"/>
    </xf>
    <xf numFmtId="0" fontId="3" fillId="6" borderId="1" xfId="0" applyFont="1" applyFill="1" applyBorder="1" applyAlignment="1">
      <alignment vertical="top"/>
    </xf>
    <xf numFmtId="0" fontId="3" fillId="6" borderId="1" xfId="0" applyFont="1" applyFill="1" applyBorder="1" applyAlignment="1">
      <alignment vertical="top" wrapText="1"/>
    </xf>
    <xf numFmtId="0" fontId="3" fillId="6" borderId="1" xfId="0" applyFont="1" applyFill="1" applyBorder="1" applyAlignment="1">
      <alignment horizontal="center" vertical="top" wrapText="1"/>
    </xf>
    <xf numFmtId="165" fontId="3" fillId="6" borderId="1" xfId="1" applyNumberFormat="1" applyFont="1" applyFill="1" applyBorder="1" applyAlignment="1">
      <alignment vertical="top"/>
    </xf>
    <xf numFmtId="0" fontId="4" fillId="5" borderId="1" xfId="0" applyFont="1" applyFill="1" applyBorder="1" applyAlignment="1">
      <alignment vertical="top" wrapText="1"/>
    </xf>
    <xf numFmtId="165" fontId="4" fillId="5" borderId="1" xfId="1" applyNumberFormat="1" applyFont="1" applyFill="1" applyBorder="1" applyAlignment="1">
      <alignment vertical="top" wrapText="1"/>
    </xf>
    <xf numFmtId="165" fontId="3" fillId="0" borderId="0" xfId="0" applyNumberFormat="1" applyFont="1" applyAlignment="1">
      <alignment vertical="top"/>
    </xf>
    <xf numFmtId="0" fontId="4" fillId="5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vertical="top"/>
    </xf>
    <xf numFmtId="0" fontId="3" fillId="7" borderId="1" xfId="0" applyFont="1" applyFill="1" applyBorder="1" applyAlignment="1">
      <alignment vertical="top" wrapText="1"/>
    </xf>
    <xf numFmtId="0" fontId="3" fillId="7" borderId="1" xfId="0" applyFont="1" applyFill="1" applyBorder="1" applyAlignment="1">
      <alignment horizontal="center" vertical="top" wrapText="1"/>
    </xf>
    <xf numFmtId="165" fontId="3" fillId="7" borderId="1" xfId="1" applyNumberFormat="1" applyFont="1" applyFill="1" applyBorder="1" applyAlignment="1">
      <alignment vertical="top"/>
    </xf>
    <xf numFmtId="0" fontId="3" fillId="7" borderId="3" xfId="0" applyFont="1" applyFill="1" applyBorder="1" applyAlignment="1">
      <alignment horizontal="center" vertical="top" wrapText="1"/>
    </xf>
    <xf numFmtId="165" fontId="4" fillId="5" borderId="1" xfId="0" applyNumberFormat="1" applyFont="1" applyFill="1" applyBorder="1" applyAlignment="1">
      <alignment vertical="top"/>
    </xf>
    <xf numFmtId="0" fontId="5" fillId="5" borderId="1" xfId="0" applyFont="1" applyFill="1" applyBorder="1" applyAlignment="1">
      <alignment vertical="top"/>
    </xf>
    <xf numFmtId="165" fontId="5" fillId="5" borderId="1" xfId="1" applyNumberFormat="1" applyFont="1" applyFill="1" applyBorder="1" applyAlignment="1">
      <alignment vertical="top"/>
    </xf>
    <xf numFmtId="0" fontId="6" fillId="4" borderId="1" xfId="0" applyFont="1" applyFill="1" applyBorder="1" applyAlignment="1">
      <alignment vertical="top"/>
    </xf>
    <xf numFmtId="0" fontId="6" fillId="4" borderId="1" xfId="0" applyFont="1" applyFill="1" applyBorder="1" applyAlignment="1">
      <alignment vertical="top" wrapText="1"/>
    </xf>
    <xf numFmtId="165" fontId="6" fillId="4" borderId="1" xfId="1" applyNumberFormat="1" applyFont="1" applyFill="1" applyBorder="1" applyAlignment="1">
      <alignment vertical="top"/>
    </xf>
    <xf numFmtId="0" fontId="3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 wrapText="1"/>
    </xf>
    <xf numFmtId="165" fontId="3" fillId="4" borderId="1" xfId="1" applyNumberFormat="1" applyFont="1" applyFill="1" applyBorder="1" applyAlignment="1">
      <alignment vertical="top"/>
    </xf>
    <xf numFmtId="0" fontId="3" fillId="4" borderId="1" xfId="0" applyFont="1" applyFill="1" applyBorder="1" applyAlignment="1">
      <alignment horizontal="center" vertical="top" wrapText="1"/>
    </xf>
    <xf numFmtId="0" fontId="3" fillId="4" borderId="1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vertical="top"/>
    </xf>
    <xf numFmtId="0" fontId="3" fillId="8" borderId="1" xfId="0" applyFont="1" applyFill="1" applyBorder="1" applyAlignment="1">
      <alignment vertical="top" wrapText="1"/>
    </xf>
    <xf numFmtId="165" fontId="3" fillId="8" borderId="1" xfId="1" applyNumberFormat="1" applyFont="1" applyFill="1" applyBorder="1" applyAlignment="1">
      <alignment vertical="top"/>
    </xf>
    <xf numFmtId="165" fontId="3" fillId="0" borderId="0" xfId="1" applyNumberFormat="1" applyFont="1" applyAlignment="1">
      <alignment vertical="top"/>
    </xf>
    <xf numFmtId="0" fontId="6" fillId="4" borderId="1" xfId="0" applyFont="1" applyFill="1" applyBorder="1" applyAlignment="1">
      <alignment horizontal="center" vertical="top"/>
    </xf>
    <xf numFmtId="0" fontId="3" fillId="8" borderId="1" xfId="0" applyFont="1" applyFill="1" applyBorder="1" applyAlignment="1">
      <alignment horizontal="center" vertical="top"/>
    </xf>
    <xf numFmtId="0" fontId="3" fillId="0" borderId="0" xfId="0" applyFont="1" applyAlignment="1">
      <alignment horizontal="left" vertical="top" wrapText="1"/>
    </xf>
    <xf numFmtId="0" fontId="3" fillId="6" borderId="0" xfId="0" applyFont="1" applyFill="1" applyAlignment="1">
      <alignment horizontal="center" vertical="top"/>
    </xf>
    <xf numFmtId="3" fontId="3" fillId="6" borderId="1" xfId="0" applyNumberFormat="1" applyFont="1" applyFill="1" applyBorder="1" applyAlignment="1">
      <alignment vertical="top"/>
    </xf>
    <xf numFmtId="0" fontId="6" fillId="6" borderId="1" xfId="0" applyFont="1" applyFill="1" applyBorder="1" applyAlignment="1">
      <alignment vertical="top"/>
    </xf>
    <xf numFmtId="0" fontId="6" fillId="7" borderId="1" xfId="0" applyFont="1" applyFill="1" applyBorder="1" applyAlignment="1">
      <alignment vertical="top"/>
    </xf>
    <xf numFmtId="0" fontId="6" fillId="8" borderId="1" xfId="0" applyFont="1" applyFill="1" applyBorder="1" applyAlignment="1">
      <alignment vertical="top"/>
    </xf>
    <xf numFmtId="0" fontId="6" fillId="4" borderId="1" xfId="0" applyFont="1" applyFill="1" applyBorder="1" applyAlignment="1">
      <alignment horizontal="center" vertical="top" wrapText="1"/>
    </xf>
    <xf numFmtId="0" fontId="3" fillId="6" borderId="1" xfId="0" applyFont="1" applyFill="1" applyBorder="1" applyAlignment="1">
      <alignment horizontal="center" vertical="top"/>
    </xf>
    <xf numFmtId="0" fontId="3" fillId="6" borderId="1" xfId="0" applyFont="1" applyFill="1" applyBorder="1" applyAlignment="1">
      <alignment horizontal="left" vertical="top"/>
    </xf>
    <xf numFmtId="0" fontId="3" fillId="6" borderId="1" xfId="0" applyFont="1" applyFill="1" applyBorder="1" applyAlignment="1">
      <alignment horizontal="left" vertical="top" wrapText="1"/>
    </xf>
    <xf numFmtId="165" fontId="3" fillId="6" borderId="1" xfId="0" applyNumberFormat="1" applyFont="1" applyFill="1" applyBorder="1" applyAlignment="1">
      <alignment horizontal="left" vertical="top" wrapText="1"/>
    </xf>
    <xf numFmtId="165" fontId="4" fillId="5" borderId="1" xfId="0" applyNumberFormat="1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 wrapText="1"/>
    </xf>
    <xf numFmtId="0" fontId="7" fillId="7" borderId="1" xfId="0" applyFont="1" applyFill="1" applyBorder="1" applyAlignment="1">
      <alignment vertical="top"/>
    </xf>
    <xf numFmtId="0" fontId="6" fillId="7" borderId="1" xfId="0" applyFont="1" applyFill="1" applyBorder="1" applyAlignment="1">
      <alignment vertical="top" wrapText="1"/>
    </xf>
    <xf numFmtId="165" fontId="3" fillId="0" borderId="1" xfId="1" applyNumberFormat="1" applyFont="1" applyBorder="1"/>
    <xf numFmtId="0" fontId="4" fillId="11" borderId="1" xfId="0" applyFont="1" applyFill="1" applyBorder="1" applyAlignment="1">
      <alignment horizontal="center" vertical="center"/>
    </xf>
    <xf numFmtId="165" fontId="3" fillId="7" borderId="1" xfId="1" applyNumberFormat="1" applyFont="1" applyFill="1" applyBorder="1"/>
    <xf numFmtId="165" fontId="3" fillId="6" borderId="1" xfId="1" applyNumberFormat="1" applyFont="1" applyFill="1" applyBorder="1"/>
    <xf numFmtId="165" fontId="3" fillId="9" borderId="1" xfId="1" applyNumberFormat="1" applyFont="1" applyFill="1" applyBorder="1"/>
    <xf numFmtId="165" fontId="4" fillId="0" borderId="1" xfId="1" applyNumberFormat="1" applyFont="1" applyBorder="1"/>
    <xf numFmtId="165" fontId="0" fillId="0" borderId="0" xfId="0" applyNumberFormat="1"/>
    <xf numFmtId="165" fontId="6" fillId="0" borderId="1" xfId="1" applyNumberFormat="1" applyFont="1" applyBorder="1"/>
    <xf numFmtId="165" fontId="6" fillId="0" borderId="0" xfId="1" applyNumberFormat="1" applyFont="1"/>
    <xf numFmtId="165" fontId="3" fillId="0" borderId="0" xfId="1" applyNumberFormat="1" applyFont="1"/>
    <xf numFmtId="165" fontId="6" fillId="0" borderId="1" xfId="1" applyNumberFormat="1" applyFont="1" applyFill="1" applyBorder="1"/>
    <xf numFmtId="165" fontId="3" fillId="0" borderId="1" xfId="1" applyNumberFormat="1" applyFont="1" applyBorder="1" applyAlignment="1">
      <alignment vertical="top"/>
    </xf>
    <xf numFmtId="165" fontId="3" fillId="9" borderId="1" xfId="1" applyNumberFormat="1" applyFont="1" applyFill="1" applyBorder="1" applyAlignment="1">
      <alignment vertical="top"/>
    </xf>
    <xf numFmtId="165" fontId="6" fillId="0" borderId="1" xfId="1" applyNumberFormat="1" applyFont="1" applyBorder="1" applyAlignment="1">
      <alignment vertical="top"/>
    </xf>
    <xf numFmtId="0" fontId="0" fillId="0" borderId="0" xfId="0" applyAlignment="1">
      <alignment vertical="top"/>
    </xf>
    <xf numFmtId="165" fontId="4" fillId="0" borderId="1" xfId="1" applyNumberFormat="1" applyFont="1" applyBorder="1" applyAlignment="1">
      <alignment vertical="top"/>
    </xf>
    <xf numFmtId="165" fontId="0" fillId="0" borderId="0" xfId="0" applyNumberFormat="1" applyAlignment="1">
      <alignment vertical="top"/>
    </xf>
    <xf numFmtId="165" fontId="6" fillId="0" borderId="1" xfId="1" applyNumberFormat="1" applyFont="1" applyFill="1" applyBorder="1" applyAlignment="1">
      <alignment vertical="top"/>
    </xf>
    <xf numFmtId="0" fontId="0" fillId="0" borderId="0" xfId="0" applyAlignment="1">
      <alignment horizontal="center" vertical="top"/>
    </xf>
    <xf numFmtId="165" fontId="3" fillId="7" borderId="1" xfId="1" applyNumberFormat="1" applyFont="1" applyFill="1" applyBorder="1" applyAlignment="1">
      <alignment horizontal="center" vertical="top"/>
    </xf>
    <xf numFmtId="0" fontId="6" fillId="0" borderId="0" xfId="3" applyFont="1" applyAlignment="1">
      <alignment vertical="top"/>
    </xf>
    <xf numFmtId="0" fontId="6" fillId="0" borderId="0" xfId="3" applyFont="1" applyAlignment="1">
      <alignment vertical="top" wrapText="1"/>
    </xf>
    <xf numFmtId="165" fontId="6" fillId="0" borderId="0" xfId="4" applyNumberFormat="1" applyFont="1" applyAlignment="1">
      <alignment horizontal="center" vertical="top"/>
    </xf>
    <xf numFmtId="0" fontId="6" fillId="0" borderId="0" xfId="3" applyFont="1" applyAlignment="1">
      <alignment horizontal="center" vertical="top"/>
    </xf>
    <xf numFmtId="0" fontId="6" fillId="0" borderId="0" xfId="3" applyFont="1" applyAlignment="1">
      <alignment horizontal="center"/>
    </xf>
    <xf numFmtId="165" fontId="6" fillId="0" borderId="0" xfId="4" applyNumberFormat="1" applyFont="1" applyAlignment="1">
      <alignment vertical="top"/>
    </xf>
    <xf numFmtId="0" fontId="6" fillId="0" borderId="0" xfId="3" applyFont="1" applyAlignment="1">
      <alignment horizontal="center" vertical="top" wrapText="1"/>
    </xf>
    <xf numFmtId="0" fontId="11" fillId="0" borderId="0" xfId="3" applyFont="1" applyAlignment="1">
      <alignment horizontal="center" vertical="top"/>
    </xf>
    <xf numFmtId="0" fontId="5" fillId="0" borderId="1" xfId="3" applyFont="1" applyBorder="1" applyAlignment="1">
      <alignment vertical="top"/>
    </xf>
    <xf numFmtId="165" fontId="5" fillId="12" borderId="1" xfId="3" applyNumberFormat="1" applyFont="1" applyFill="1" applyBorder="1" applyAlignment="1">
      <alignment vertical="top" wrapText="1"/>
    </xf>
    <xf numFmtId="165" fontId="5" fillId="12" borderId="1" xfId="4" applyNumberFormat="1" applyFont="1" applyFill="1" applyBorder="1" applyAlignment="1">
      <alignment vertical="top"/>
    </xf>
    <xf numFmtId="0" fontId="5" fillId="12" borderId="1" xfId="3" applyFont="1" applyFill="1" applyBorder="1" applyAlignment="1">
      <alignment horizontal="center" vertical="top" wrapText="1"/>
    </xf>
    <xf numFmtId="0" fontId="5" fillId="12" borderId="1" xfId="3" applyFont="1" applyFill="1" applyBorder="1" applyAlignment="1">
      <alignment horizontal="center" vertical="top"/>
    </xf>
    <xf numFmtId="0" fontId="5" fillId="12" borderId="1" xfId="3" applyFont="1" applyFill="1" applyBorder="1" applyAlignment="1">
      <alignment vertical="top" wrapText="1"/>
    </xf>
    <xf numFmtId="0" fontId="5" fillId="12" borderId="1" xfId="3" applyFont="1" applyFill="1" applyBorder="1" applyAlignment="1">
      <alignment vertical="top"/>
    </xf>
    <xf numFmtId="0" fontId="12" fillId="12" borderId="1" xfId="3" applyFont="1" applyFill="1" applyBorder="1" applyAlignment="1">
      <alignment horizontal="center" vertical="top"/>
    </xf>
    <xf numFmtId="0" fontId="11" fillId="0" borderId="1" xfId="3" applyFont="1" applyBorder="1" applyAlignment="1">
      <alignment vertical="top"/>
    </xf>
    <xf numFmtId="0" fontId="11" fillId="0" borderId="0" xfId="3" applyFont="1" applyAlignment="1">
      <alignment vertical="top"/>
    </xf>
    <xf numFmtId="0" fontId="11" fillId="0" borderId="2" xfId="3" applyFont="1" applyBorder="1" applyAlignment="1">
      <alignment horizontal="left" vertical="top" wrapText="1"/>
    </xf>
    <xf numFmtId="165" fontId="11" fillId="0" borderId="1" xfId="4" applyNumberFormat="1" applyFont="1" applyFill="1" applyBorder="1" applyAlignment="1">
      <alignment horizontal="center" vertical="top"/>
    </xf>
    <xf numFmtId="0" fontId="11" fillId="0" borderId="1" xfId="3" applyFont="1" applyBorder="1" applyAlignment="1">
      <alignment horizontal="center" vertical="top" wrapText="1"/>
    </xf>
    <xf numFmtId="0" fontId="13" fillId="0" borderId="3" xfId="3" applyFont="1" applyBorder="1" applyAlignment="1">
      <alignment horizontal="center" vertical="top" wrapText="1"/>
    </xf>
    <xf numFmtId="0" fontId="11" fillId="0" borderId="1" xfId="3" applyFont="1" applyBorder="1" applyAlignment="1">
      <alignment horizontal="center" vertical="top"/>
    </xf>
    <xf numFmtId="165" fontId="11" fillId="12" borderId="1" xfId="4" applyNumberFormat="1" applyFont="1" applyFill="1" applyBorder="1" applyAlignment="1">
      <alignment vertical="top" wrapText="1"/>
    </xf>
    <xf numFmtId="0" fontId="11" fillId="0" borderId="1" xfId="3" applyFont="1" applyBorder="1" applyAlignment="1">
      <alignment vertical="top" wrapText="1"/>
    </xf>
    <xf numFmtId="0" fontId="11" fillId="13" borderId="1" xfId="3" applyFont="1" applyFill="1" applyBorder="1" applyAlignment="1">
      <alignment vertical="top"/>
    </xf>
    <xf numFmtId="0" fontId="4" fillId="0" borderId="3" xfId="3" applyFont="1" applyBorder="1" applyAlignment="1">
      <alignment vertical="top"/>
    </xf>
    <xf numFmtId="0" fontId="14" fillId="0" borderId="1" xfId="3" applyFont="1" applyBorder="1" applyAlignment="1">
      <alignment vertical="top" wrapText="1"/>
    </xf>
    <xf numFmtId="165" fontId="14" fillId="0" borderId="1" xfId="4" applyNumberFormat="1" applyFont="1" applyFill="1" applyBorder="1" applyAlignment="1">
      <alignment horizontal="center" vertical="top"/>
    </xf>
    <xf numFmtId="165" fontId="11" fillId="0" borderId="0" xfId="3" applyNumberFormat="1" applyFont="1" applyAlignment="1">
      <alignment vertical="top"/>
    </xf>
    <xf numFmtId="165" fontId="14" fillId="12" borderId="1" xfId="4" applyNumberFormat="1" applyFont="1" applyFill="1" applyBorder="1" applyAlignment="1">
      <alignment vertical="top" wrapText="1"/>
    </xf>
    <xf numFmtId="0" fontId="14" fillId="0" borderId="1" xfId="3" applyFont="1" applyBorder="1" applyAlignment="1">
      <alignment horizontal="center" vertical="top" wrapText="1"/>
    </xf>
    <xf numFmtId="0" fontId="15" fillId="0" borderId="3" xfId="3" applyFont="1" applyBorder="1" applyAlignment="1">
      <alignment horizontal="center" vertical="top" wrapText="1"/>
    </xf>
    <xf numFmtId="0" fontId="11" fillId="0" borderId="2" xfId="3" applyFont="1" applyBorder="1" applyAlignment="1">
      <alignment vertical="top" wrapText="1"/>
    </xf>
    <xf numFmtId="0" fontId="6" fillId="0" borderId="1" xfId="3" applyFont="1" applyBorder="1" applyAlignment="1">
      <alignment vertical="top"/>
    </xf>
    <xf numFmtId="0" fontId="6" fillId="0" borderId="2" xfId="3" applyFont="1" applyBorder="1" applyAlignment="1">
      <alignment horizontal="left" vertical="top" wrapText="1"/>
    </xf>
    <xf numFmtId="165" fontId="7" fillId="0" borderId="1" xfId="4" applyNumberFormat="1" applyFont="1" applyFill="1" applyBorder="1" applyAlignment="1">
      <alignment horizontal="center" vertical="top"/>
    </xf>
    <xf numFmtId="0" fontId="6" fillId="0" borderId="1" xfId="3" applyFont="1" applyBorder="1" applyAlignment="1">
      <alignment horizontal="center" vertical="top" wrapText="1"/>
    </xf>
    <xf numFmtId="0" fontId="3" fillId="0" borderId="3" xfId="3" applyFont="1" applyBorder="1" applyAlignment="1">
      <alignment horizontal="center" vertical="top" wrapText="1"/>
    </xf>
    <xf numFmtId="0" fontId="7" fillId="0" borderId="3" xfId="3" applyFont="1" applyBorder="1" applyAlignment="1">
      <alignment vertical="top" wrapText="1"/>
    </xf>
    <xf numFmtId="0" fontId="6" fillId="0" borderId="1" xfId="3" applyFont="1" applyBorder="1" applyAlignment="1">
      <alignment horizontal="center" vertical="top"/>
    </xf>
    <xf numFmtId="165" fontId="7" fillId="12" borderId="1" xfId="4" applyNumberFormat="1" applyFont="1" applyFill="1" applyBorder="1" applyAlignment="1">
      <alignment vertical="top" wrapText="1"/>
    </xf>
    <xf numFmtId="0" fontId="6" fillId="0" borderId="1" xfId="3" applyFont="1" applyBorder="1" applyAlignment="1">
      <alignment vertical="top" wrapText="1"/>
    </xf>
    <xf numFmtId="0" fontId="6" fillId="13" borderId="1" xfId="3" applyFont="1" applyFill="1" applyBorder="1" applyAlignment="1">
      <alignment vertical="top"/>
    </xf>
    <xf numFmtId="165" fontId="6" fillId="0" borderId="1" xfId="4" applyNumberFormat="1" applyFont="1" applyFill="1" applyBorder="1" applyAlignment="1">
      <alignment horizontal="center" vertical="top"/>
    </xf>
    <xf numFmtId="165" fontId="6" fillId="12" borderId="1" xfId="4" applyNumberFormat="1" applyFont="1" applyFill="1" applyBorder="1" applyAlignment="1">
      <alignment vertical="top" wrapText="1"/>
    </xf>
    <xf numFmtId="0" fontId="7" fillId="0" borderId="3" xfId="3" applyFont="1" applyBorder="1" applyAlignment="1">
      <alignment horizontal="center" vertical="top" wrapText="1"/>
    </xf>
    <xf numFmtId="0" fontId="6" fillId="0" borderId="3" xfId="3" applyFont="1" applyBorder="1" applyAlignment="1">
      <alignment vertical="top" wrapText="1"/>
    </xf>
    <xf numFmtId="0" fontId="12" fillId="0" borderId="1" xfId="3" applyFont="1" applyBorder="1" applyAlignment="1">
      <alignment horizontal="center" vertical="center" wrapText="1"/>
    </xf>
    <xf numFmtId="0" fontId="12" fillId="0" borderId="0" xfId="3" applyFont="1" applyAlignment="1">
      <alignment horizontal="center" vertical="center" wrapText="1"/>
    </xf>
    <xf numFmtId="0" fontId="16" fillId="0" borderId="1" xfId="3" applyFont="1" applyBorder="1" applyAlignment="1">
      <alignment vertical="top" wrapText="1"/>
    </xf>
    <xf numFmtId="0" fontId="12" fillId="14" borderId="1" xfId="3" applyFont="1" applyFill="1" applyBorder="1" applyAlignment="1">
      <alignment horizontal="center" vertical="center" wrapText="1"/>
    </xf>
    <xf numFmtId="0" fontId="17" fillId="0" borderId="1" xfId="3" applyFont="1" applyBorder="1" applyAlignment="1">
      <alignment horizontal="center" vertical="top" wrapText="1"/>
    </xf>
    <xf numFmtId="0" fontId="3" fillId="0" borderId="3" xfId="3" applyFont="1" applyBorder="1" applyAlignment="1">
      <alignment vertical="top"/>
    </xf>
    <xf numFmtId="0" fontId="3" fillId="0" borderId="3" xfId="3" applyFont="1" applyBorder="1" applyAlignment="1">
      <alignment vertical="top" wrapText="1"/>
    </xf>
    <xf numFmtId="0" fontId="11" fillId="0" borderId="2" xfId="5" applyFont="1" applyBorder="1" applyAlignment="1">
      <alignment horizontal="left" vertical="top" wrapText="1"/>
    </xf>
    <xf numFmtId="0" fontId="18" fillId="0" borderId="1" xfId="3" applyFont="1" applyBorder="1" applyAlignment="1">
      <alignment horizontal="center" vertical="center" wrapText="1"/>
    </xf>
    <xf numFmtId="0" fontId="14" fillId="0" borderId="1" xfId="3" applyFont="1" applyBorder="1" applyAlignment="1">
      <alignment horizontal="center" vertical="top"/>
    </xf>
    <xf numFmtId="0" fontId="11" fillId="15" borderId="1" xfId="3" applyFont="1" applyFill="1" applyBorder="1" applyAlignment="1">
      <alignment horizontal="center" vertical="top" wrapText="1"/>
    </xf>
    <xf numFmtId="0" fontId="11" fillId="0" borderId="1" xfId="3" applyFont="1" applyBorder="1" applyAlignment="1">
      <alignment horizontal="left" vertical="top" wrapText="1"/>
    </xf>
    <xf numFmtId="0" fontId="5" fillId="0" borderId="1" xfId="3" applyFont="1" applyBorder="1" applyAlignment="1">
      <alignment horizontal="center" vertical="center" wrapText="1"/>
    </xf>
    <xf numFmtId="0" fontId="5" fillId="0" borderId="0" xfId="3" applyFont="1" applyAlignment="1">
      <alignment horizontal="center" vertical="center" wrapText="1"/>
    </xf>
    <xf numFmtId="0" fontId="6" fillId="0" borderId="3" xfId="3" applyFont="1" applyBorder="1" applyAlignment="1">
      <alignment horizontal="center" vertical="top" wrapText="1"/>
    </xf>
    <xf numFmtId="0" fontId="7" fillId="0" borderId="1" xfId="3" applyFont="1" applyBorder="1" applyAlignment="1">
      <alignment horizontal="center" vertical="top" wrapText="1"/>
    </xf>
    <xf numFmtId="0" fontId="6" fillId="0" borderId="2" xfId="5" applyFont="1" applyBorder="1" applyAlignment="1">
      <alignment horizontal="left" vertical="top" wrapText="1"/>
    </xf>
    <xf numFmtId="0" fontId="6" fillId="0" borderId="2" xfId="3" applyFont="1" applyBorder="1" applyAlignment="1">
      <alignment vertical="top" wrapText="1"/>
    </xf>
    <xf numFmtId="0" fontId="6" fillId="0" borderId="2" xfId="6" applyFont="1" applyBorder="1" applyAlignment="1">
      <alignment horizontal="left" vertical="top" wrapText="1"/>
    </xf>
    <xf numFmtId="0" fontId="19" fillId="0" borderId="3" xfId="3" applyFont="1" applyBorder="1" applyAlignment="1">
      <alignment horizontal="center" vertical="top" wrapText="1"/>
    </xf>
    <xf numFmtId="0" fontId="11" fillId="0" borderId="3" xfId="3" applyFont="1" applyBorder="1" applyAlignment="1">
      <alignment horizontal="center" vertical="top"/>
    </xf>
    <xf numFmtId="0" fontId="20" fillId="13" borderId="1" xfId="6" applyFont="1" applyFill="1" applyBorder="1" applyAlignment="1">
      <alignment horizontal="center" vertical="top" wrapText="1"/>
    </xf>
    <xf numFmtId="0" fontId="11" fillId="0" borderId="3" xfId="3" applyFont="1" applyBorder="1" applyAlignment="1">
      <alignment horizontal="center" vertical="top" wrapText="1"/>
    </xf>
    <xf numFmtId="0" fontId="16" fillId="0" borderId="1" xfId="3" applyFont="1" applyBorder="1" applyAlignment="1">
      <alignment horizontal="center" vertical="top" wrapText="1"/>
    </xf>
    <xf numFmtId="0" fontId="14" fillId="0" borderId="2" xfId="3" applyFont="1" applyBorder="1" applyAlignment="1">
      <alignment horizontal="left" vertical="top" wrapText="1"/>
    </xf>
    <xf numFmtId="0" fontId="11" fillId="15" borderId="1" xfId="3" applyFont="1" applyFill="1" applyBorder="1" applyAlignment="1">
      <alignment horizontal="center" vertical="top"/>
    </xf>
    <xf numFmtId="0" fontId="11" fillId="0" borderId="2" xfId="5" applyFont="1" applyBorder="1" applyAlignment="1">
      <alignment vertical="top" wrapText="1"/>
    </xf>
    <xf numFmtId="0" fontId="11" fillId="15" borderId="2" xfId="3" applyFont="1" applyFill="1" applyBorder="1" applyAlignment="1">
      <alignment horizontal="left" vertical="top" wrapText="1"/>
    </xf>
    <xf numFmtId="165" fontId="11" fillId="15" borderId="1" xfId="4" applyNumberFormat="1" applyFont="1" applyFill="1" applyBorder="1" applyAlignment="1">
      <alignment horizontal="center" vertical="top"/>
    </xf>
    <xf numFmtId="0" fontId="14" fillId="15" borderId="1" xfId="3" applyFont="1" applyFill="1" applyBorder="1" applyAlignment="1">
      <alignment horizontal="center" vertical="top" wrapText="1"/>
    </xf>
    <xf numFmtId="0" fontId="13" fillId="15" borderId="3" xfId="3" applyFont="1" applyFill="1" applyBorder="1" applyAlignment="1">
      <alignment horizontal="center" vertical="top" wrapText="1"/>
    </xf>
    <xf numFmtId="0" fontId="16" fillId="15" borderId="1" xfId="3" applyFont="1" applyFill="1" applyBorder="1" applyAlignment="1">
      <alignment horizontal="center" vertical="top" wrapText="1"/>
    </xf>
    <xf numFmtId="165" fontId="11" fillId="15" borderId="1" xfId="4" applyNumberFormat="1" applyFont="1" applyFill="1" applyBorder="1" applyAlignment="1">
      <alignment vertical="top" wrapText="1"/>
    </xf>
    <xf numFmtId="0" fontId="11" fillId="15" borderId="1" xfId="3" applyFont="1" applyFill="1" applyBorder="1" applyAlignment="1">
      <alignment vertical="top" wrapText="1"/>
    </xf>
    <xf numFmtId="0" fontId="16" fillId="15" borderId="1" xfId="3" applyFont="1" applyFill="1" applyBorder="1" applyAlignment="1">
      <alignment vertical="top" wrapText="1"/>
    </xf>
    <xf numFmtId="0" fontId="11" fillId="15" borderId="1" xfId="3" applyFont="1" applyFill="1" applyBorder="1" applyAlignment="1">
      <alignment vertical="top"/>
    </xf>
    <xf numFmtId="0" fontId="20" fillId="13" borderId="2" xfId="6" applyFont="1" applyFill="1" applyBorder="1" applyAlignment="1">
      <alignment horizontal="left" vertical="top" wrapText="1"/>
    </xf>
    <xf numFmtId="0" fontId="11" fillId="10" borderId="1" xfId="3" applyFont="1" applyFill="1" applyBorder="1" applyAlignment="1">
      <alignment horizontal="center" vertical="top" wrapText="1"/>
    </xf>
    <xf numFmtId="165" fontId="11" fillId="13" borderId="1" xfId="4" applyNumberFormat="1" applyFont="1" applyFill="1" applyBorder="1" applyAlignment="1">
      <alignment horizontal="center" vertical="top"/>
    </xf>
    <xf numFmtId="0" fontId="11" fillId="13" borderId="1" xfId="3" applyFont="1" applyFill="1" applyBorder="1" applyAlignment="1">
      <alignment horizontal="center" vertical="top" wrapText="1"/>
    </xf>
    <xf numFmtId="0" fontId="13" fillId="13" borderId="3" xfId="3" applyFont="1" applyFill="1" applyBorder="1" applyAlignment="1">
      <alignment horizontal="center" vertical="top" wrapText="1"/>
    </xf>
    <xf numFmtId="0" fontId="11" fillId="13" borderId="1" xfId="3" applyFont="1" applyFill="1" applyBorder="1" applyAlignment="1">
      <alignment horizontal="center" vertical="top"/>
    </xf>
    <xf numFmtId="0" fontId="11" fillId="13" borderId="1" xfId="3" applyFont="1" applyFill="1" applyBorder="1" applyAlignment="1">
      <alignment vertical="top" wrapText="1"/>
    </xf>
    <xf numFmtId="0" fontId="16" fillId="13" borderId="1" xfId="3" applyFont="1" applyFill="1" applyBorder="1" applyAlignment="1">
      <alignment vertical="top" wrapText="1"/>
    </xf>
    <xf numFmtId="0" fontId="7" fillId="0" borderId="1" xfId="3" applyFont="1" applyBorder="1" applyAlignment="1">
      <alignment vertical="top" wrapText="1"/>
    </xf>
    <xf numFmtId="0" fontId="6" fillId="0" borderId="1" xfId="3" quotePrefix="1" applyFont="1" applyBorder="1" applyAlignment="1">
      <alignment horizontal="center" vertical="top" wrapText="1"/>
    </xf>
    <xf numFmtId="0" fontId="12" fillId="0" borderId="2" xfId="3" applyFont="1" applyBorder="1" applyAlignment="1">
      <alignment horizontal="center" vertical="center" wrapText="1"/>
    </xf>
    <xf numFmtId="0" fontId="3" fillId="0" borderId="1" xfId="3" applyFont="1" applyBorder="1" applyAlignment="1">
      <alignment vertical="top" wrapText="1"/>
    </xf>
    <xf numFmtId="0" fontId="11" fillId="0" borderId="1" xfId="3" quotePrefix="1" applyFont="1" applyBorder="1" applyAlignment="1">
      <alignment horizontal="center" vertical="top" wrapText="1"/>
    </xf>
    <xf numFmtId="0" fontId="5" fillId="14" borderId="2" xfId="3" applyFont="1" applyFill="1" applyBorder="1" applyAlignment="1">
      <alignment horizontal="center" vertical="center" wrapText="1"/>
    </xf>
    <xf numFmtId="165" fontId="5" fillId="14" borderId="1" xfId="4" applyNumberFormat="1" applyFont="1" applyFill="1" applyBorder="1" applyAlignment="1">
      <alignment horizontal="center" vertical="center" wrapText="1"/>
    </xf>
    <xf numFmtId="0" fontId="5" fillId="14" borderId="1" xfId="3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0" borderId="5" xfId="0" applyFont="1" applyFill="1" applyBorder="1" applyAlignment="1">
      <alignment vertical="top"/>
    </xf>
    <xf numFmtId="0" fontId="4" fillId="10" borderId="4" xfId="0" applyFont="1" applyFill="1" applyBorder="1" applyAlignment="1">
      <alignment vertical="top"/>
    </xf>
    <xf numFmtId="165" fontId="4" fillId="10" borderId="1" xfId="1" applyNumberFormat="1" applyFont="1" applyFill="1" applyBorder="1" applyAlignment="1">
      <alignment vertical="top"/>
    </xf>
    <xf numFmtId="0" fontId="4" fillId="11" borderId="1" xfId="0" applyFont="1" applyFill="1" applyBorder="1" applyAlignment="1">
      <alignment vertical="center"/>
    </xf>
    <xf numFmtId="0" fontId="4" fillId="2" borderId="8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vertical="top"/>
    </xf>
    <xf numFmtId="0" fontId="6" fillId="6" borderId="3" xfId="0" applyFont="1" applyFill="1" applyBorder="1" applyAlignment="1">
      <alignment vertical="top"/>
    </xf>
    <xf numFmtId="0" fontId="3" fillId="7" borderId="3" xfId="0" applyFont="1" applyFill="1" applyBorder="1" applyAlignment="1">
      <alignment horizontal="left" vertical="top" wrapText="1"/>
    </xf>
    <xf numFmtId="0" fontId="6" fillId="4" borderId="3" xfId="0" applyFont="1" applyFill="1" applyBorder="1" applyAlignment="1">
      <alignment vertical="top"/>
    </xf>
    <xf numFmtId="0" fontId="3" fillId="4" borderId="3" xfId="0" applyFont="1" applyFill="1" applyBorder="1" applyAlignment="1">
      <alignment vertical="top"/>
    </xf>
    <xf numFmtId="0" fontId="3" fillId="8" borderId="3" xfId="0" applyFont="1" applyFill="1" applyBorder="1" applyAlignment="1">
      <alignment vertical="top"/>
    </xf>
    <xf numFmtId="165" fontId="3" fillId="6" borderId="2" xfId="0" applyNumberFormat="1" applyFont="1" applyFill="1" applyBorder="1" applyAlignment="1">
      <alignment horizontal="left" vertical="top" wrapText="1"/>
    </xf>
    <xf numFmtId="3" fontId="3" fillId="6" borderId="2" xfId="0" applyNumberFormat="1" applyFont="1" applyFill="1" applyBorder="1" applyAlignment="1">
      <alignment vertical="top"/>
    </xf>
    <xf numFmtId="165" fontId="3" fillId="6" borderId="2" xfId="1" applyNumberFormat="1" applyFont="1" applyFill="1" applyBorder="1" applyAlignment="1">
      <alignment vertical="top"/>
    </xf>
    <xf numFmtId="165" fontId="3" fillId="7" borderId="2" xfId="1" applyNumberFormat="1" applyFont="1" applyFill="1" applyBorder="1" applyAlignment="1">
      <alignment vertical="top"/>
    </xf>
    <xf numFmtId="165" fontId="6" fillId="4" borderId="2" xfId="1" applyNumberFormat="1" applyFont="1" applyFill="1" applyBorder="1" applyAlignment="1">
      <alignment vertical="top"/>
    </xf>
    <xf numFmtId="165" fontId="3" fillId="4" borderId="2" xfId="1" applyNumberFormat="1" applyFont="1" applyFill="1" applyBorder="1" applyAlignment="1">
      <alignment vertical="top"/>
    </xf>
    <xf numFmtId="165" fontId="3" fillId="8" borderId="2" xfId="1" applyNumberFormat="1" applyFont="1" applyFill="1" applyBorder="1" applyAlignment="1">
      <alignment vertical="top"/>
    </xf>
    <xf numFmtId="0" fontId="4" fillId="2" borderId="12" xfId="0" applyFont="1" applyFill="1" applyBorder="1" applyAlignment="1">
      <alignment horizontal="center" vertical="center"/>
    </xf>
    <xf numFmtId="165" fontId="4" fillId="2" borderId="6" xfId="1" applyNumberFormat="1" applyFont="1" applyFill="1" applyBorder="1" applyAlignment="1">
      <alignment horizontal="center" vertical="center"/>
    </xf>
    <xf numFmtId="0" fontId="3" fillId="8" borderId="13" xfId="0" applyFont="1" applyFill="1" applyBorder="1" applyAlignment="1">
      <alignment vertical="top"/>
    </xf>
    <xf numFmtId="0" fontId="6" fillId="8" borderId="10" xfId="0" applyFont="1" applyFill="1" applyBorder="1" applyAlignment="1">
      <alignment vertical="top"/>
    </xf>
    <xf numFmtId="0" fontId="3" fillId="8" borderId="10" xfId="0" applyFont="1" applyFill="1" applyBorder="1" applyAlignment="1">
      <alignment vertical="top"/>
    </xf>
    <xf numFmtId="0" fontId="3" fillId="8" borderId="10" xfId="0" applyFont="1" applyFill="1" applyBorder="1" applyAlignment="1">
      <alignment vertical="top" wrapText="1"/>
    </xf>
    <xf numFmtId="0" fontId="3" fillId="8" borderId="10" xfId="0" applyFont="1" applyFill="1" applyBorder="1" applyAlignment="1">
      <alignment horizontal="center" vertical="top"/>
    </xf>
    <xf numFmtId="165" fontId="3" fillId="8" borderId="5" xfId="1" applyNumberFormat="1" applyFont="1" applyFill="1" applyBorder="1" applyAlignment="1">
      <alignment vertical="top"/>
    </xf>
    <xf numFmtId="0" fontId="11" fillId="0" borderId="5" xfId="3" applyFont="1" applyBorder="1" applyAlignment="1">
      <alignment horizontal="left" vertical="top" wrapText="1"/>
    </xf>
    <xf numFmtId="0" fontId="11" fillId="0" borderId="7" xfId="3" applyFont="1" applyBorder="1" applyAlignment="1">
      <alignment horizontal="left" vertical="top" wrapText="1"/>
    </xf>
    <xf numFmtId="0" fontId="11" fillId="0" borderId="6" xfId="3" applyFont="1" applyBorder="1" applyAlignment="1">
      <alignment horizontal="left" vertical="top" wrapText="1"/>
    </xf>
    <xf numFmtId="0" fontId="11" fillId="0" borderId="10" xfId="3" applyFont="1" applyBorder="1" applyAlignment="1">
      <alignment horizontal="center" vertical="top" wrapText="1"/>
    </xf>
    <xf numFmtId="0" fontId="11" fillId="0" borderId="9" xfId="3" applyFont="1" applyBorder="1" applyAlignment="1">
      <alignment horizontal="center" vertical="top" wrapText="1"/>
    </xf>
    <xf numFmtId="0" fontId="11" fillId="0" borderId="8" xfId="3" applyFont="1" applyBorder="1" applyAlignment="1">
      <alignment horizontal="center" vertical="top" wrapText="1"/>
    </xf>
    <xf numFmtId="0" fontId="11" fillId="0" borderId="10" xfId="3" applyFont="1" applyBorder="1" applyAlignment="1">
      <alignment vertical="top" wrapText="1"/>
    </xf>
    <xf numFmtId="165" fontId="11" fillId="12" borderId="10" xfId="4" applyNumberFormat="1" applyFont="1" applyFill="1" applyBorder="1" applyAlignment="1">
      <alignment vertical="top" wrapText="1"/>
    </xf>
    <xf numFmtId="0" fontId="11" fillId="0" borderId="10" xfId="3" applyFont="1" applyBorder="1" applyAlignment="1">
      <alignment horizontal="center" vertical="top"/>
    </xf>
    <xf numFmtId="0" fontId="13" fillId="0" borderId="13" xfId="3" applyFont="1" applyBorder="1" applyAlignment="1">
      <alignment horizontal="center" vertical="top" wrapText="1"/>
    </xf>
    <xf numFmtId="165" fontId="11" fillId="0" borderId="10" xfId="4" applyNumberFormat="1" applyFont="1" applyFill="1" applyBorder="1" applyAlignment="1">
      <alignment horizontal="center" vertical="top"/>
    </xf>
    <xf numFmtId="0" fontId="11" fillId="0" borderId="10" xfId="3" applyFont="1" applyBorder="1" applyAlignment="1">
      <alignment vertical="top"/>
    </xf>
    <xf numFmtId="0" fontId="5" fillId="0" borderId="0" xfId="3" applyFont="1" applyAlignment="1">
      <alignment vertical="top"/>
    </xf>
    <xf numFmtId="0" fontId="22" fillId="0" borderId="0" xfId="3" applyFont="1" applyAlignment="1">
      <alignment horizontal="center" vertical="center" wrapText="1"/>
    </xf>
    <xf numFmtId="0" fontId="23" fillId="0" borderId="0" xfId="3" applyFont="1" applyAlignment="1">
      <alignment horizontal="center" vertical="center" wrapText="1"/>
    </xf>
    <xf numFmtId="0" fontId="14" fillId="0" borderId="0" xfId="3" applyFont="1" applyAlignment="1">
      <alignment vertical="top"/>
    </xf>
    <xf numFmtId="0" fontId="7" fillId="0" borderId="0" xfId="3" applyFont="1" applyAlignment="1">
      <alignment vertical="top"/>
    </xf>
    <xf numFmtId="165" fontId="14" fillId="0" borderId="0" xfId="3" applyNumberFormat="1" applyFont="1" applyAlignment="1">
      <alignment vertical="top"/>
    </xf>
    <xf numFmtId="0" fontId="22" fillId="0" borderId="0" xfId="3" applyFont="1" applyAlignment="1">
      <alignment vertical="top"/>
    </xf>
    <xf numFmtId="0" fontId="5" fillId="14" borderId="8" xfId="3" applyFont="1" applyFill="1" applyBorder="1" applyAlignment="1">
      <alignment horizontal="center" vertical="center" wrapText="1"/>
    </xf>
    <xf numFmtId="165" fontId="5" fillId="14" borderId="8" xfId="4" applyNumberFormat="1" applyFont="1" applyFill="1" applyBorder="1" applyAlignment="1">
      <alignment horizontal="center" vertical="center" wrapText="1"/>
    </xf>
    <xf numFmtId="0" fontId="5" fillId="14" borderId="6" xfId="3" applyFont="1" applyFill="1" applyBorder="1" applyAlignment="1">
      <alignment horizontal="center" vertical="center" wrapText="1"/>
    </xf>
    <xf numFmtId="0" fontId="5" fillId="12" borderId="10" xfId="3" applyFont="1" applyFill="1" applyBorder="1" applyAlignment="1">
      <alignment vertical="top" wrapText="1"/>
    </xf>
    <xf numFmtId="0" fontId="5" fillId="12" borderId="10" xfId="3" applyFont="1" applyFill="1" applyBorder="1" applyAlignment="1">
      <alignment horizontal="center" vertical="top"/>
    </xf>
    <xf numFmtId="0" fontId="5" fillId="12" borderId="10" xfId="3" applyFont="1" applyFill="1" applyBorder="1" applyAlignment="1">
      <alignment horizontal="center" vertical="top" wrapText="1"/>
    </xf>
    <xf numFmtId="165" fontId="5" fillId="12" borderId="10" xfId="4" applyNumberFormat="1" applyFont="1" applyFill="1" applyBorder="1" applyAlignment="1">
      <alignment vertical="top"/>
    </xf>
    <xf numFmtId="165" fontId="5" fillId="12" borderId="10" xfId="3" applyNumberFormat="1" applyFont="1" applyFill="1" applyBorder="1" applyAlignment="1">
      <alignment vertical="top" wrapText="1"/>
    </xf>
    <xf numFmtId="0" fontId="5" fillId="14" borderId="3" xfId="3" applyFont="1" applyFill="1" applyBorder="1" applyAlignment="1">
      <alignment horizontal="center" vertical="center" wrapText="1"/>
    </xf>
    <xf numFmtId="0" fontId="6" fillId="0" borderId="3" xfId="3" applyFont="1" applyBorder="1" applyAlignment="1">
      <alignment vertical="top"/>
    </xf>
    <xf numFmtId="0" fontId="11" fillId="0" borderId="3" xfId="3" applyFont="1" applyBorder="1" applyAlignment="1">
      <alignment vertical="top"/>
    </xf>
    <xf numFmtId="0" fontId="11" fillId="13" borderId="3" xfId="3" applyFont="1" applyFill="1" applyBorder="1" applyAlignment="1">
      <alignment vertical="top"/>
    </xf>
    <xf numFmtId="0" fontId="11" fillId="15" borderId="3" xfId="3" applyFont="1" applyFill="1" applyBorder="1" applyAlignment="1">
      <alignment vertical="top"/>
    </xf>
    <xf numFmtId="0" fontId="6" fillId="13" borderId="3" xfId="3" applyFont="1" applyFill="1" applyBorder="1" applyAlignment="1">
      <alignment vertical="top"/>
    </xf>
    <xf numFmtId="0" fontId="11" fillId="13" borderId="13" xfId="3" applyFont="1" applyFill="1" applyBorder="1" applyAlignment="1">
      <alignment vertical="top"/>
    </xf>
    <xf numFmtId="0" fontId="5" fillId="14" borderId="12" xfId="3" applyFont="1" applyFill="1" applyBorder="1" applyAlignment="1">
      <alignment horizontal="center" vertical="center" wrapText="1"/>
    </xf>
    <xf numFmtId="0" fontId="5" fillId="12" borderId="13" xfId="3" applyFont="1" applyFill="1" applyBorder="1" applyAlignment="1">
      <alignment vertical="top"/>
    </xf>
    <xf numFmtId="0" fontId="25" fillId="0" borderId="1" xfId="0" applyFont="1" applyBorder="1" applyAlignment="1">
      <alignment horizontal="center" vertical="center"/>
    </xf>
    <xf numFmtId="0" fontId="26" fillId="0" borderId="0" xfId="0" applyFont="1"/>
    <xf numFmtId="0" fontId="26" fillId="0" borderId="1" xfId="0" applyFont="1" applyBorder="1" applyAlignment="1">
      <alignment vertical="center"/>
    </xf>
    <xf numFmtId="165" fontId="26" fillId="0" borderId="1" xfId="0" applyNumberFormat="1" applyFont="1" applyBorder="1" applyAlignment="1">
      <alignment vertical="center"/>
    </xf>
    <xf numFmtId="3" fontId="26" fillId="0" borderId="1" xfId="0" applyNumberFormat="1" applyFont="1" applyBorder="1" applyAlignment="1">
      <alignment vertical="center"/>
    </xf>
    <xf numFmtId="0" fontId="26" fillId="0" borderId="1" xfId="0" applyFont="1" applyBorder="1"/>
    <xf numFmtId="3" fontId="26" fillId="0" borderId="1" xfId="0" applyNumberFormat="1" applyFont="1" applyBorder="1"/>
    <xf numFmtId="0" fontId="26" fillId="0" borderId="3" xfId="0" applyFont="1" applyBorder="1" applyAlignment="1">
      <alignment vertical="center"/>
    </xf>
    <xf numFmtId="3" fontId="26" fillId="0" borderId="2" xfId="0" applyNumberFormat="1" applyFont="1" applyBorder="1" applyAlignment="1">
      <alignment vertical="center"/>
    </xf>
    <xf numFmtId="3" fontId="26" fillId="0" borderId="2" xfId="0" applyNumberFormat="1" applyFont="1" applyBorder="1"/>
    <xf numFmtId="0" fontId="25" fillId="0" borderId="12" xfId="0" applyFont="1" applyBorder="1" applyAlignment="1">
      <alignment horizontal="center" vertical="center"/>
    </xf>
    <xf numFmtId="0" fontId="25" fillId="0" borderId="8" xfId="0" applyFont="1" applyBorder="1" applyAlignment="1">
      <alignment horizontal="center" vertical="center"/>
    </xf>
    <xf numFmtId="0" fontId="25" fillId="0" borderId="6" xfId="0" applyFont="1" applyBorder="1" applyAlignment="1">
      <alignment horizontal="center" vertical="center"/>
    </xf>
    <xf numFmtId="0" fontId="26" fillId="0" borderId="13" xfId="0" applyFont="1" applyBorder="1" applyAlignment="1">
      <alignment vertical="center"/>
    </xf>
    <xf numFmtId="0" fontId="26" fillId="0" borderId="10" xfId="0" applyFont="1" applyBorder="1"/>
    <xf numFmtId="0" fontId="26" fillId="0" borderId="10" xfId="0" applyFont="1" applyBorder="1" applyAlignment="1">
      <alignment vertical="center"/>
    </xf>
    <xf numFmtId="3" fontId="26" fillId="0" borderId="10" xfId="0" applyNumberFormat="1" applyFont="1" applyBorder="1"/>
    <xf numFmtId="3" fontId="26" fillId="0" borderId="5" xfId="0" applyNumberFormat="1" applyFont="1" applyBorder="1"/>
    <xf numFmtId="165" fontId="6" fillId="0" borderId="0" xfId="3" applyNumberFormat="1" applyFont="1" applyAlignment="1">
      <alignment horizontal="center"/>
    </xf>
    <xf numFmtId="164" fontId="26" fillId="0" borderId="0" xfId="1" applyFont="1"/>
    <xf numFmtId="165" fontId="26" fillId="0" borderId="1" xfId="0" applyNumberFormat="1" applyFont="1" applyBorder="1" applyAlignment="1">
      <alignment horizontal="right" vertical="center"/>
    </xf>
    <xf numFmtId="0" fontId="11" fillId="0" borderId="10" xfId="3" applyFont="1" applyFill="1" applyBorder="1" applyAlignment="1">
      <alignment vertical="top" wrapText="1"/>
    </xf>
    <xf numFmtId="0" fontId="11" fillId="0" borderId="10" xfId="3" applyFont="1" applyFill="1" applyBorder="1" applyAlignment="1">
      <alignment horizontal="center" vertical="top" wrapText="1"/>
    </xf>
    <xf numFmtId="0" fontId="11" fillId="0" borderId="10" xfId="3" applyFont="1" applyFill="1" applyBorder="1" applyAlignment="1">
      <alignment horizontal="center" vertical="top"/>
    </xf>
    <xf numFmtId="0" fontId="13" fillId="0" borderId="13" xfId="3" applyFont="1" applyFill="1" applyBorder="1" applyAlignment="1">
      <alignment horizontal="center" vertical="top" wrapText="1"/>
    </xf>
    <xf numFmtId="0" fontId="14" fillId="0" borderId="10" xfId="3" applyFont="1" applyFill="1" applyBorder="1" applyAlignment="1">
      <alignment vertical="top" wrapText="1"/>
    </xf>
    <xf numFmtId="0" fontId="4" fillId="0" borderId="13" xfId="3" applyFont="1" applyFill="1" applyBorder="1" applyAlignment="1">
      <alignment vertical="top"/>
    </xf>
    <xf numFmtId="0" fontId="11" fillId="0" borderId="7" xfId="3" applyFont="1" applyFill="1" applyBorder="1" applyAlignment="1">
      <alignment horizontal="left" vertical="top" wrapText="1"/>
    </xf>
    <xf numFmtId="0" fontId="11" fillId="0" borderId="10" xfId="0" applyNumberFormat="1" applyFont="1" applyFill="1" applyBorder="1" applyAlignment="1" applyProtection="1">
      <alignment horizontal="center" vertical="top" wrapText="1"/>
    </xf>
    <xf numFmtId="165" fontId="26" fillId="0" borderId="0" xfId="1" applyNumberFormat="1" applyFont="1"/>
    <xf numFmtId="0" fontId="8" fillId="0" borderId="0" xfId="0" applyFont="1" applyAlignment="1">
      <alignment horizontal="center" vertical="center"/>
    </xf>
    <xf numFmtId="0" fontId="4" fillId="11" borderId="2" xfId="0" applyFont="1" applyFill="1" applyBorder="1" applyAlignment="1">
      <alignment horizontal="center" vertical="top"/>
    </xf>
    <xf numFmtId="0" fontId="4" fillId="11" borderId="11" xfId="0" applyFont="1" applyFill="1" applyBorder="1" applyAlignment="1">
      <alignment horizontal="center" vertical="top"/>
    </xf>
    <xf numFmtId="0" fontId="4" fillId="11" borderId="3" xfId="0" applyFont="1" applyFill="1" applyBorder="1" applyAlignment="1">
      <alignment horizontal="center" vertical="top"/>
    </xf>
    <xf numFmtId="0" fontId="14" fillId="0" borderId="0" xfId="3" applyFont="1" applyAlignment="1">
      <alignment horizontal="center" vertical="top" wrapText="1"/>
    </xf>
    <xf numFmtId="0" fontId="4" fillId="10" borderId="5" xfId="0" applyFont="1" applyFill="1" applyBorder="1" applyAlignment="1">
      <alignment vertical="top"/>
    </xf>
    <xf numFmtId="0" fontId="4" fillId="10" borderId="4" xfId="0" applyFont="1" applyFill="1" applyBorder="1" applyAlignment="1">
      <alignment vertical="top"/>
    </xf>
    <xf numFmtId="165" fontId="4" fillId="10" borderId="1" xfId="1" applyNumberFormat="1" applyFont="1" applyFill="1" applyBorder="1" applyAlignment="1">
      <alignment vertical="top"/>
    </xf>
    <xf numFmtId="0" fontId="4" fillId="11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top"/>
    </xf>
    <xf numFmtId="0" fontId="4" fillId="10" borderId="5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/>
    </xf>
    <xf numFmtId="165" fontId="4" fillId="10" borderId="1" xfId="1" applyNumberFormat="1" applyFont="1" applyFill="1" applyBorder="1" applyAlignment="1">
      <alignment horizontal="center"/>
    </xf>
    <xf numFmtId="0" fontId="4" fillId="5" borderId="2" xfId="0" applyFont="1" applyFill="1" applyBorder="1" applyAlignment="1">
      <alignment horizontal="right" vertical="top"/>
    </xf>
    <xf numFmtId="0" fontId="4" fillId="5" borderId="3" xfId="0" applyFont="1" applyFill="1" applyBorder="1" applyAlignment="1">
      <alignment horizontal="right" vertical="top"/>
    </xf>
    <xf numFmtId="0" fontId="5" fillId="5" borderId="2" xfId="0" applyFont="1" applyFill="1" applyBorder="1" applyAlignment="1">
      <alignment horizontal="right" vertical="top"/>
    </xf>
    <xf numFmtId="0" fontId="5" fillId="5" borderId="3" xfId="0" applyFont="1" applyFill="1" applyBorder="1" applyAlignment="1">
      <alignment horizontal="right" vertical="top"/>
    </xf>
    <xf numFmtId="0" fontId="4" fillId="5" borderId="2" xfId="0" applyFont="1" applyFill="1" applyBorder="1" applyAlignment="1">
      <alignment horizontal="right" vertical="top" wrapText="1"/>
    </xf>
    <xf numFmtId="0" fontId="4" fillId="5" borderId="3" xfId="0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top"/>
    </xf>
    <xf numFmtId="0" fontId="4" fillId="4" borderId="2" xfId="0" applyFont="1" applyFill="1" applyBorder="1" applyAlignment="1">
      <alignment horizontal="right" vertical="center"/>
    </xf>
    <xf numFmtId="0" fontId="4" fillId="4" borderId="11" xfId="0" applyFont="1" applyFill="1" applyBorder="1" applyAlignment="1">
      <alignment horizontal="right" vertical="center"/>
    </xf>
    <xf numFmtId="0" fontId="4" fillId="4" borderId="3" xfId="0" applyFont="1" applyFill="1" applyBorder="1" applyAlignment="1">
      <alignment horizontal="right" vertical="center"/>
    </xf>
    <xf numFmtId="0" fontId="4" fillId="3" borderId="2" xfId="0" applyFont="1" applyFill="1" applyBorder="1" applyAlignment="1">
      <alignment horizontal="right" vertical="center"/>
    </xf>
    <xf numFmtId="0" fontId="4" fillId="3" borderId="11" xfId="0" applyFont="1" applyFill="1" applyBorder="1" applyAlignment="1">
      <alignment horizontal="right" vertical="center"/>
    </xf>
    <xf numFmtId="0" fontId="4" fillId="3" borderId="3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right" vertical="top" wrapText="1"/>
    </xf>
    <xf numFmtId="0" fontId="4" fillId="5" borderId="1" xfId="0" applyFont="1" applyFill="1" applyBorder="1" applyAlignment="1">
      <alignment horizontal="right" vertical="top"/>
    </xf>
    <xf numFmtId="0" fontId="5" fillId="5" borderId="1" xfId="0" applyFont="1" applyFill="1" applyBorder="1" applyAlignment="1">
      <alignment horizontal="right" vertical="top"/>
    </xf>
    <xf numFmtId="0" fontId="4" fillId="4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4" fillId="5" borderId="2" xfId="0" applyFont="1" applyFill="1" applyBorder="1" applyAlignment="1">
      <alignment horizontal="left" vertical="top"/>
    </xf>
    <xf numFmtId="0" fontId="4" fillId="5" borderId="3" xfId="0" applyFont="1" applyFill="1" applyBorder="1" applyAlignment="1">
      <alignment horizontal="left" vertical="top"/>
    </xf>
    <xf numFmtId="0" fontId="11" fillId="0" borderId="0" xfId="3" applyFont="1" applyAlignment="1">
      <alignment horizontal="center" vertical="top" wrapText="1"/>
    </xf>
    <xf numFmtId="0" fontId="11" fillId="0" borderId="5" xfId="3" applyFont="1" applyBorder="1" applyAlignment="1">
      <alignment horizontal="left" vertical="top" wrapText="1"/>
    </xf>
    <xf numFmtId="0" fontId="11" fillId="0" borderId="7" xfId="3" applyFont="1" applyBorder="1" applyAlignment="1">
      <alignment horizontal="left" vertical="top" wrapText="1"/>
    </xf>
    <xf numFmtId="0" fontId="11" fillId="0" borderId="6" xfId="3" applyFont="1" applyBorder="1" applyAlignment="1">
      <alignment horizontal="left" vertical="top" wrapText="1"/>
    </xf>
    <xf numFmtId="0" fontId="11" fillId="0" borderId="10" xfId="3" applyFont="1" applyBorder="1" applyAlignment="1">
      <alignment horizontal="center" vertical="top" wrapText="1"/>
    </xf>
    <xf numFmtId="0" fontId="11" fillId="0" borderId="9" xfId="3" applyFont="1" applyBorder="1" applyAlignment="1">
      <alignment horizontal="center" vertical="top" wrapText="1"/>
    </xf>
    <xf numFmtId="0" fontId="11" fillId="0" borderId="8" xfId="3" applyFont="1" applyBorder="1" applyAlignment="1">
      <alignment horizontal="center" vertical="top" wrapText="1"/>
    </xf>
  </cellXfs>
  <cellStyles count="7">
    <cellStyle name="Comma" xfId="1" builtinId="3"/>
    <cellStyle name="Comma 2" xfId="4" xr:uid="{2CE2CBE3-14EF-4CF6-BA16-A929684AEA9B}"/>
    <cellStyle name="Normal" xfId="0" builtinId="0"/>
    <cellStyle name="Normal 2" xfId="3" xr:uid="{10A1681E-0A54-416F-ADD7-3FBCE20E58E1}"/>
    <cellStyle name="Normal 2 2" xfId="5" xr:uid="{9A12C2C1-DE12-4AD3-A6E4-AEFD488286B7}"/>
    <cellStyle name="จุลภาค 2" xfId="2" xr:uid="{F5526D3C-BF94-44E3-9B29-EB5822D4B943}"/>
    <cellStyle name="ปกติ 2 4" xfId="6" xr:uid="{D8BCB845-1FF4-448A-A461-5FA1279F69B2}"/>
  </cellStyles>
  <dxfs count="10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165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165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165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numFmt numFmtId="165" formatCode="_-* #,##0_-;\-* #,##0_-;_-* &quot;-&quot;??_-;_-@_-"/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8" tint="0.79998168889431442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left" vertical="top" textRotation="0" wrapText="1" indent="0" justifyLastLine="0" shrinkToFit="0" readingOrder="0"/>
      <border diagonalUp="0" diagonalDown="0" outline="0">
        <left style="thin">
          <color indexed="64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left" vertical="top" textRotation="0" wrapText="1" indent="0" justifyLastLine="0" shrinkToFit="0" readingOrder="0"/>
      <border diagonalUp="0" diagonalDown="0">
        <left style="thin">
          <color indexed="64"/>
        </left>
        <right/>
        <top/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numFmt numFmtId="165" formatCode="_-* #,##0_-;\-* #,##0_-;_-* &quot;-&quot;??_-;_-@_-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Wingdings 2"/>
        <family val="1"/>
        <charset val="2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Wingdings 2"/>
        <family val="1"/>
        <charset val="2"/>
        <scheme val="none"/>
      </font>
      <alignment horizontal="center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TH SarabunPSK"/>
        <family val="2"/>
        <scheme val="none"/>
      </font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numFmt numFmtId="165" formatCode="_-* #,##0_-;\-* #,##0_-;_-* &quot;-&quot;??_-;_-@_-"/>
      <fill>
        <patternFill patternType="solid">
          <fgColor indexed="64"/>
          <bgColor theme="8" tint="0.5999938962981048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numFmt numFmtId="165" formatCode="_-* #,##0_-;\-* #,##0_-;_-* &quot;-&quot;??_-;_-@_-"/>
      <fill>
        <patternFill patternType="solid">
          <fgColor indexed="64"/>
          <bgColor theme="8" tint="0.59999389629810485"/>
        </patternFill>
      </fill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DilleniaUPC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DilleniaUPC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rgb="FFFF0000"/>
        <name val="DilleniaUPC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none">
          <fgColor indexed="64"/>
          <bgColor indexed="65"/>
        </patternFill>
      </fill>
      <alignment horizontal="general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fill>
        <patternFill patternType="solid">
          <fgColor indexed="64"/>
          <bgColor theme="0"/>
        </patternFill>
      </fill>
      <alignment horizontal="general" vertical="top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/>
        <vertical/>
        <horizontal/>
      </border>
    </dxf>
    <dxf>
      <border outline="0">
        <left style="thin">
          <color indexed="64"/>
        </lef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DilleniaUPC"/>
        <family val="1"/>
        <scheme val="none"/>
      </font>
      <alignment horizontal="center" vertical="top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6"/>
        <color auto="1"/>
        <name val="TH SarabunPSK"/>
        <family val="2"/>
        <scheme val="none"/>
      </font>
      <fill>
        <patternFill patternType="solid">
          <fgColor indexed="64"/>
          <bgColor rgb="FFFF99FF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numFmt numFmtId="3" formatCode="#,##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numFmt numFmtId="3" formatCode="#,##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TH SarabunPSK"/>
        <family val="2"/>
        <scheme val="none"/>
      </font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H SarabunPSK"/>
        <family val="2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229381f4fee7ef2/1.%20&#3585;&#3618;&#3612;.&#3626;&#3611;/&#3611;&#3619;&#3632;&#3592;&#3635;&#3611;&#3637;%2069/&#3626;&#3606;&#3636;&#3605;&#3636;&#3591;&#3610;&#3621;&#3591;&#3607;&#3640;&#3609;%203%20&#3611;&#3637;/Budget_Master_2567-2570_.xlsx" TargetMode="External"/><Relationship Id="rId1" Type="http://schemas.openxmlformats.org/officeDocument/2006/relationships/externalLinkPath" Target="/5229381f4fee7ef2/1.%20&#3585;&#3618;&#3612;.&#3626;&#3611;/&#3611;&#3619;&#3632;&#3592;&#3635;&#3611;&#3637;%2069/&#3626;&#3606;&#3636;&#3605;&#3636;&#3591;&#3610;&#3621;&#3591;&#3607;&#3640;&#3609;%203%20&#3611;&#3637;/Budget_Master_2567-2570_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สรุปยานพาหนะ 67-70 (2)"/>
      <sheetName val="สรุปภาพรวม 67-70-"/>
      <sheetName val="BudgetData"/>
      <sheetName val="สรุปภาพรวมทั้งหมด 67"/>
      <sheetName val="รวมครุภัณฑ์ 70 (data)"/>
      <sheetName val="BudgetData (สูตร)"/>
      <sheetName val="สรุปยานพาหนะ 67-70"/>
      <sheetName val="สรุป"/>
      <sheetName val="ครุภัณฑ์ 67 (data)"/>
      <sheetName val="ครุภัณฑ์ 68 (data)"/>
      <sheetName val="ครุภัณฑ์ 69 (data)"/>
      <sheetName val="ครุภัณฑ์ 67"/>
      <sheetName val="สิ่งก่อสร้าง 67"/>
      <sheetName val="ครุภัณฑ์ 68"/>
      <sheetName val="สิ่งก่อสร้าง 68"/>
      <sheetName val="ครุภัณฑ์ 69"/>
      <sheetName val="รวมครุภัณฑ์ 70"/>
      <sheetName val="สิ่งก่อสร้าง 69"/>
      <sheetName val="Budget_Master_2567-2570_"/>
    </sheetNames>
    <sheetDataSet>
      <sheetData sheetId="0" refreshError="1"/>
      <sheetData sheetId="1" refreshError="1"/>
      <sheetData sheetId="2" refreshError="1"/>
      <sheetData sheetId="3" refreshError="1"/>
      <sheetData sheetId="4">
        <row r="3">
          <cell r="B3">
            <v>2570</v>
          </cell>
          <cell r="C3" t="str">
            <v>ครุภัณฑ์ยานพาหนะและขนส่ง</v>
          </cell>
          <cell r="G3" t="str">
            <v>รถประจำตำแหน่ง ระดับอธิบดี รองปลัดกระทรวง เอกอัครราชทูตประจำกระทรวง ผู้ตรวจราชการกระทรวง รองเลขาธิการนายกรัฐมนตรีฝ่ายการเมือง เลขานุการรัฐมนตรี ผู้ช่วยเลขานุการรัฐมนตรี หรือผู้ดำรงตำแหน่งอื่นที่มีฐานะเทียบเท่า ปริมาตรกระบอกสูบไม่เกิน 2500 ซีซี หรือกำลังเครื่องยนต์สูงสุดไม่เกิน 160 กิโลวัตต์ หรือกำลังมอเตอร์ไฟฟ้าสูงสุดไม่เกิน 329 กิโลวัตต์</v>
          </cell>
          <cell r="H3" t="str">
            <v>กก.</v>
          </cell>
          <cell r="J3" t="str">
            <v>กรุงเทพมหานคร</v>
          </cell>
          <cell r="L3">
            <v>5028000</v>
          </cell>
        </row>
        <row r="4">
          <cell r="B4">
            <v>2570</v>
          </cell>
          <cell r="C4" t="str">
            <v>ครุภัณฑ์ยานพาหนะและขนส่ง</v>
          </cell>
          <cell r="G4" t="str">
    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    </cell>
          <cell r="H4" t="str">
            <v>กก.</v>
          </cell>
          <cell r="J4" t="str">
            <v>กรุงเทพมหานคร</v>
          </cell>
          <cell r="L4">
            <v>2996000</v>
          </cell>
        </row>
        <row r="5">
          <cell r="B5">
            <v>2570</v>
          </cell>
          <cell r="C5" t="str">
            <v>ครุภัณฑ์ยานพาหนะและขนส่ง</v>
          </cell>
          <cell r="G5" t="str">
    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    </cell>
          <cell r="H5" t="str">
            <v>กก.</v>
          </cell>
          <cell r="J5" t="str">
            <v>กรุงเทพมหานคร</v>
          </cell>
          <cell r="L5">
            <v>1498000</v>
          </cell>
        </row>
        <row r="6">
          <cell r="B6">
            <v>2570</v>
          </cell>
          <cell r="C6" t="str">
            <v>ครุภัณฑ์สำนักงาน</v>
          </cell>
          <cell r="G6" t="str">
            <v xml:space="preserve">เครื่องปรับอากาศ แบบติดผนัง ขนาด 18,000 บีทียู </v>
          </cell>
          <cell r="H6" t="str">
            <v>กก.</v>
          </cell>
          <cell r="J6" t="str">
            <v>กรุงเทพมหานคร</v>
          </cell>
          <cell r="L6">
            <v>172000</v>
          </cell>
        </row>
        <row r="7">
          <cell r="B7">
            <v>2570</v>
          </cell>
          <cell r="C7" t="str">
            <v>ครุภัณฑ์ยานพาหนะและขนส่ง</v>
          </cell>
          <cell r="G7" t="str">
    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    </cell>
          <cell r="H7" t="str">
            <v>กคม.</v>
          </cell>
          <cell r="J7" t="str">
            <v>กรุงเทพมหานคร</v>
          </cell>
          <cell r="L7">
            <v>1498000</v>
          </cell>
        </row>
        <row r="8">
          <cell r="B8">
            <v>2570</v>
          </cell>
          <cell r="C8" t="str">
            <v>ครุภัณฑ์ยานพาหนะและขนส่ง</v>
          </cell>
          <cell r="G8" t="str">
    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    </cell>
          <cell r="H8" t="str">
            <v>กคม.</v>
          </cell>
          <cell r="J8" t="str">
            <v>กรุงเทพมหานคร</v>
          </cell>
          <cell r="L8">
            <v>1498000</v>
          </cell>
        </row>
        <row r="9">
          <cell r="B9">
            <v>2570</v>
          </cell>
          <cell r="C9" t="str">
            <v>ครุภัณฑ์ยานพาหนะและขนส่ง</v>
          </cell>
          <cell r="G9" t="str">
    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    </cell>
          <cell r="H9" t="str">
            <v>กคม.</v>
          </cell>
          <cell r="J9" t="str">
            <v>กรุงเทพมหานคร</v>
          </cell>
          <cell r="L9">
            <v>1498000</v>
          </cell>
        </row>
        <row r="10">
          <cell r="B10">
            <v>2570</v>
          </cell>
          <cell r="C10" t="str">
            <v>ครุภัณฑ์ยานพาหนะและขนส่ง</v>
          </cell>
          <cell r="G10" t="str">
            <v>รถบรรทุก (ดีเซล) ขนาด 1 ตัน ปริมาตรกระบอกสูบ ไม่ต่ำกว่า 2,400 ซีซี หรือกำลังเครื่องยนต์สูงสุดไม่ต่ำกว่า 110 กิโลวัตต์ ขับเคลื่อน 4 ล้อ แบบดับเบิ้ลแค็บ</v>
          </cell>
          <cell r="H10" t="str">
            <v>กคม.</v>
          </cell>
          <cell r="J10" t="str">
            <v>กรุงเทพมหานคร</v>
          </cell>
          <cell r="L10">
            <v>1172000</v>
          </cell>
        </row>
        <row r="11">
          <cell r="B11">
            <v>2570</v>
          </cell>
          <cell r="C11" t="str">
            <v>ครุภัณฑ์ยานพาหนะและขนส่ง</v>
          </cell>
          <cell r="G11" t="str">
            <v>หลังคารถบรรทุก ขนาด 1 ตัน หลังคาไฟเบอร์กลาสหรือเหล็ก</v>
          </cell>
          <cell r="H11" t="str">
            <v>กคม.</v>
          </cell>
          <cell r="J11" t="str">
            <v>กรุงเทพมหานคร</v>
          </cell>
          <cell r="L11">
            <v>35900</v>
          </cell>
        </row>
        <row r="12">
          <cell r="B12">
            <v>2570</v>
          </cell>
          <cell r="C12" t="str">
            <v>ครุภัณฑ์งานบ้านงานครัว</v>
          </cell>
          <cell r="G12" t="str">
            <v>เครื่องซักผ้าแบบธรรมดา ขนาด 15 กิโลกรัม</v>
          </cell>
          <cell r="H12" t="str">
            <v>สคม.ปทุมธานี</v>
          </cell>
          <cell r="J12" t="str">
            <v>ปทุมธานี</v>
          </cell>
          <cell r="L12">
            <v>51000</v>
          </cell>
        </row>
        <row r="13">
          <cell r="B13">
            <v>2570</v>
          </cell>
          <cell r="C13" t="str">
            <v>ครุภัณฑ์งานบ้านงานครัว</v>
          </cell>
          <cell r="G13" t="str">
            <v>เครื่องตัดหญ้าแบบข้อแข็ง</v>
          </cell>
          <cell r="H13" t="str">
            <v>สคม.ปทุมธานี</v>
          </cell>
          <cell r="J13" t="str">
            <v>ปทุมธานี</v>
          </cell>
          <cell r="L13">
            <v>19000</v>
          </cell>
        </row>
        <row r="14">
          <cell r="B14">
            <v>2570</v>
          </cell>
          <cell r="C14" t="str">
            <v>ครุภัณฑ์งานบ้านงานครัว</v>
          </cell>
          <cell r="G14" t="str">
            <v>ปั๊มน้ำอัตโนมัติ ขนาด 200 วัตต์</v>
          </cell>
          <cell r="H14" t="str">
            <v>สคม.ปทุมธานี</v>
          </cell>
          <cell r="J14" t="str">
            <v>ปทุมธานี</v>
          </cell>
          <cell r="L14">
            <v>102400</v>
          </cell>
        </row>
        <row r="15">
          <cell r="B15">
            <v>2570</v>
          </cell>
          <cell r="C15" t="str">
            <v>ครุภัณฑ์สำนักงาน</v>
          </cell>
          <cell r="G15" t="str">
            <v>เครื่องปรับอากาศ แบบแยกส่วน แบบตั้งพื้นหรือแบบแขวน ระบบ (Inverter) ขนาด 30,000 บีทียู</v>
          </cell>
          <cell r="H15" t="str">
            <v>สคม.ปทุมธานี</v>
          </cell>
          <cell r="J15" t="str">
            <v>ปทุมธานี</v>
          </cell>
          <cell r="L15">
            <v>236000</v>
          </cell>
        </row>
        <row r="16">
          <cell r="B16">
            <v>2570</v>
          </cell>
          <cell r="C16" t="str">
            <v>ครุภัณฑ์ยานพาหนะและขนส่ง</v>
          </cell>
          <cell r="G16" t="str">
            <v>รถยนต์โดยสารขนาด 12 ที่นั่ง เครื่องยนต์ดีเซล ปริมาณกระบอกสูบไม่ต่ำกว่า 2,400 ซีซี หรือกำลังเครื่องยนต์สูงสุดไม่ต่ำกว่า 90 กิโลวัตต์</v>
          </cell>
          <cell r="H16" t="str">
            <v>สคม.ปทุมธานี</v>
          </cell>
          <cell r="J16" t="str">
            <v>ปทุมธานี</v>
          </cell>
          <cell r="L16">
            <v>1329000</v>
          </cell>
        </row>
        <row r="17">
          <cell r="B17">
            <v>2570</v>
          </cell>
          <cell r="C17" t="str">
            <v>ครุภัณฑ์โฆษณาและเผยแพร่</v>
          </cell>
          <cell r="G17" t="str">
            <v xml:space="preserve">กล้องถ่ายภาพนิ่งระบบดิจิตอล </v>
          </cell>
          <cell r="H17" t="str">
            <v>สคม.เชียงราย</v>
          </cell>
          <cell r="J17" t="str">
            <v>เชียงราย</v>
          </cell>
          <cell r="L17">
            <v>39900</v>
          </cell>
        </row>
        <row r="18">
          <cell r="B18">
            <v>2570</v>
          </cell>
          <cell r="C18" t="str">
            <v>ครุภัณฑ์ยานพาหนะและขนส่ง</v>
          </cell>
          <cell r="G18" t="str">
            <v>รถบรรทุก (ดีเซล) ขนาด 1 ตัน ปริมาตรกระบอกสูบไม่ต่ำกว่า 2400 ซีซี หรือกำลังขับเครื่องยนต์สูงสุดไม่ต่ำกว่า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</v>
          </cell>
          <cell r="H18" t="str">
            <v>สคม.เชียงราย</v>
          </cell>
          <cell r="J18" t="str">
            <v>เชียงราย</v>
          </cell>
          <cell r="L18">
            <v>1207900</v>
          </cell>
        </row>
        <row r="19">
          <cell r="B19">
            <v>2570</v>
          </cell>
          <cell r="C19" t="str">
            <v>ครุภัณฑ์ยานพาหนะและขนส่ง</v>
          </cell>
          <cell r="G19" t="str">
            <v>รถยนต์ 12 ที่นั่ง เครื่องยนต์ดีเซล ปริมาตรกระบอกสูบ ไม่ต่ำกว่า 2400 ซีซี กำลังเครื่องยนต์สูงสุดไม่ต่ำกว่า 90 กิโลวัตต์</v>
          </cell>
          <cell r="H19" t="str">
            <v>สคม.เชียงราย</v>
          </cell>
          <cell r="J19" t="str">
            <v>เชียงราย</v>
          </cell>
          <cell r="L19">
            <v>1500000</v>
          </cell>
        </row>
        <row r="20">
          <cell r="B20">
            <v>2570</v>
          </cell>
          <cell r="C20" t="str">
            <v>ครุภัณฑ์งานบ้านงานครัว</v>
          </cell>
          <cell r="G20" t="str">
            <v>ตู้เย็น ขนาด 7 คิวบิกฟุต</v>
          </cell>
          <cell r="H20" t="str">
            <v>สคม.เชียงราย</v>
          </cell>
          <cell r="J20" t="str">
            <v>เชียงราย</v>
          </cell>
          <cell r="L20">
            <v>8500</v>
          </cell>
        </row>
        <row r="21">
          <cell r="B21">
            <v>2570</v>
          </cell>
          <cell r="C21" t="str">
            <v>ครุภัณฑ์งานบ้านงานครัว</v>
          </cell>
          <cell r="G21" t="str">
            <v>เตาเผาขยะ</v>
          </cell>
          <cell r="H21" t="str">
            <v>สคม.เชียงราย</v>
          </cell>
          <cell r="J21" t="str">
            <v>เชียงราย</v>
          </cell>
          <cell r="L21">
            <v>192600</v>
          </cell>
        </row>
        <row r="22">
          <cell r="B22">
            <v>2570</v>
          </cell>
          <cell r="C22" t="str">
            <v>ครุภัณฑ์สำนักงาน</v>
          </cell>
          <cell r="G22" t="str">
            <v>ถังดับเพลิง ชนิดผงเคมีแห้ง ขนาด 15 ปอนด์</v>
          </cell>
          <cell r="H22" t="str">
            <v>สคม.ระนอง</v>
          </cell>
          <cell r="J22" t="str">
            <v>ระนอง</v>
          </cell>
          <cell r="L22">
            <v>40800</v>
          </cell>
        </row>
        <row r="23">
          <cell r="B23">
            <v>2570</v>
          </cell>
          <cell r="C23" t="str">
            <v>ครุภัณฑ์สำนักงาน</v>
          </cell>
          <cell r="G23" t="str">
            <v>พัดลมติดผนัง ขนาด 18 นิ้ว</v>
          </cell>
          <cell r="H23" t="str">
            <v>สคม.ระนอง</v>
          </cell>
          <cell r="J23" t="str">
            <v>ระนอง</v>
          </cell>
          <cell r="L23">
            <v>34200</v>
          </cell>
        </row>
        <row r="24">
          <cell r="B24">
            <v>2570</v>
          </cell>
          <cell r="C24" t="str">
            <v>ครุภัณฑ์สำนักงาน</v>
          </cell>
          <cell r="G24" t="str">
            <v>โต๊ะทำงานพร้อมเก้าอี้ระดับ 7-9</v>
          </cell>
          <cell r="H24" t="str">
            <v>สคม.ระนอง</v>
          </cell>
          <cell r="J24" t="str">
            <v>ระนอง</v>
          </cell>
          <cell r="L24">
            <v>24000</v>
          </cell>
        </row>
        <row r="25">
          <cell r="B25">
            <v>2570</v>
          </cell>
          <cell r="C25" t="str">
            <v>ครุภัณฑ์ยานพาหนะและขนส่ง</v>
          </cell>
          <cell r="G25" t="str">
            <v xml:space="preserve"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</v>
          </cell>
          <cell r="H25" t="str">
            <v>สคม.ระนอง</v>
          </cell>
          <cell r="J25" t="str">
            <v>ระนอง</v>
          </cell>
          <cell r="L25">
            <v>1450000</v>
          </cell>
        </row>
        <row r="26">
          <cell r="B26">
            <v>2570</v>
          </cell>
          <cell r="C26" t="str">
            <v>ครุภัณฑ์งานบ้านงานครัว</v>
          </cell>
          <cell r="G26" t="str">
            <v>ตู้เย็น ขนาด 20 คิวบิตฟุต</v>
          </cell>
          <cell r="H26" t="str">
            <v>สคม.ระนอง</v>
          </cell>
          <cell r="J26" t="str">
            <v>ระนอง</v>
          </cell>
          <cell r="L26">
            <v>26000</v>
          </cell>
        </row>
        <row r="27">
          <cell r="B27">
            <v>2570</v>
          </cell>
          <cell r="C27" t="str">
            <v>ครุภัณฑ์ยานพาหนะและขนส่ง</v>
          </cell>
          <cell r="G27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</v>
          </cell>
          <cell r="H27" t="str">
            <v>สคม.สงขลา</v>
          </cell>
          <cell r="J27" t="str">
            <v>สงขลา</v>
          </cell>
          <cell r="L27">
            <v>1172000</v>
          </cell>
        </row>
        <row r="28">
          <cell r="B28">
            <v>2570</v>
          </cell>
          <cell r="C28" t="str">
            <v>ครุภัณฑ์การเกษตร</v>
          </cell>
          <cell r="G28" t="str">
            <v>เครื่องเลื่อยยนต์ รุ่น 5800 ลูกสูบ 58 มิล</v>
          </cell>
          <cell r="H28" t="str">
            <v>สคม.สงขลา</v>
          </cell>
          <cell r="J28" t="str">
            <v>สงขลา</v>
          </cell>
          <cell r="L28">
            <v>3200</v>
          </cell>
        </row>
        <row r="29">
          <cell r="B29">
            <v>2570</v>
          </cell>
          <cell r="C29" t="str">
            <v>ครุภัณฑ์งานบ้านงานครัว</v>
          </cell>
          <cell r="G29" t="str">
            <v>เครื่องฉีดน้ำแรงดันสูง ขนาดแรงดันไม่น้อยกว่า 180 บาร์</v>
          </cell>
          <cell r="H29" t="str">
            <v>สคม.บ้านเกร็ดตระการ</v>
          </cell>
          <cell r="J29" t="str">
            <v>นนทบุรี</v>
          </cell>
          <cell r="L29">
            <v>53500</v>
          </cell>
        </row>
        <row r="30">
          <cell r="B30">
            <v>2570</v>
          </cell>
          <cell r="C30" t="str">
            <v>ครุภัณฑ์สำนักงาน</v>
          </cell>
          <cell r="G30" t="str">
            <v>ตู้เหล็ก 2 ลิ้นชัก</v>
          </cell>
          <cell r="H30" t="str">
            <v>สคม.บ้านเกร็ดตระการ</v>
          </cell>
          <cell r="J30" t="str">
            <v>นนทบุรี</v>
          </cell>
          <cell r="L30">
            <v>498000</v>
          </cell>
        </row>
        <row r="31">
          <cell r="B31">
            <v>2570</v>
          </cell>
          <cell r="C31" t="str">
            <v>ครุภัณฑ์สำนักงาน</v>
          </cell>
          <cell r="G31" t="str">
            <v xml:space="preserve">เครื่องทำลายเอกสาร แบบตัดตรง ทำลายครั้งละ 30 แผ่น </v>
          </cell>
          <cell r="H31" t="str">
            <v>สคม.บ้านเกร็ดตระการ</v>
          </cell>
          <cell r="J31" t="str">
            <v>นนทบุรี</v>
          </cell>
          <cell r="L31">
            <v>63000</v>
          </cell>
        </row>
        <row r="32">
          <cell r="B32">
            <v>2570</v>
          </cell>
          <cell r="C32" t="str">
            <v>ครุภัณฑ์งานบ้านงานครัว</v>
          </cell>
          <cell r="G32" t="str">
            <v xml:space="preserve">ผ้าม่านและอุปกรณ์พร้อมติดตั้งอาคารเรือนนอนผู้รับบริการ </v>
          </cell>
          <cell r="H32" t="str">
            <v>สคม.บ้านนารีสวัสดิ์</v>
          </cell>
          <cell r="J32" t="str">
            <v>นครราชสีมา</v>
          </cell>
          <cell r="L32">
            <v>165000</v>
          </cell>
        </row>
        <row r="33">
          <cell r="B33">
            <v>2570</v>
          </cell>
          <cell r="C33" t="str">
            <v>ครุภัณฑ์การเกษตร</v>
          </cell>
          <cell r="G33" t="str">
            <v>เครื่องสูบน้ำ มอเตอร์ไฟฟ้าสูบน้ำได้ 1,500 ลิตรต่อนาที</v>
          </cell>
          <cell r="H33" t="str">
            <v>สคม.บ้านนารีสวัสดิ์</v>
          </cell>
          <cell r="J33" t="str">
            <v>นครราชสีมา</v>
          </cell>
          <cell r="L33">
            <v>38000</v>
          </cell>
        </row>
        <row r="34">
          <cell r="B34">
            <v>2570</v>
          </cell>
          <cell r="C34" t="str">
            <v>ครุภัณฑ์งานบ้านงานครัว</v>
          </cell>
          <cell r="G34" t="str">
            <v xml:space="preserve">ปั๊มน้ำอัตโนมัติแรงดันคงที่ 150 วัตต์ </v>
          </cell>
          <cell r="H34" t="str">
            <v>สคม.บ้านนารีสวัสดิ์</v>
          </cell>
          <cell r="J34" t="str">
            <v>นครราชสีมา</v>
          </cell>
          <cell r="L34">
            <v>57950</v>
          </cell>
        </row>
        <row r="35">
          <cell r="B35">
            <v>2570</v>
          </cell>
          <cell r="C35" t="str">
            <v>ครุภัณฑ์สำนักงาน</v>
          </cell>
          <cell r="G35" t="str">
            <v xml:space="preserve">ถังน้ำ แบบไฟเบอร์กลาส ขนาดความจุ 1,500 ลิตร </v>
          </cell>
          <cell r="H35" t="str">
            <v>สคม.บ้านนารีสวัสดิ์</v>
          </cell>
          <cell r="J35" t="str">
            <v>นครราชสีมา</v>
          </cell>
          <cell r="L35">
            <v>37500</v>
          </cell>
        </row>
        <row r="36">
          <cell r="B36">
            <v>2570</v>
          </cell>
          <cell r="C36" t="str">
            <v>ครุภัณฑ์งานบ้านงานครัว</v>
          </cell>
          <cell r="G36" t="str">
            <v>เครื่องตัดหญ้า แบบข้อแข็ง</v>
          </cell>
          <cell r="H36" t="str">
            <v>สคม.บ้านนารีสวัสดิ์</v>
          </cell>
          <cell r="J36" t="str">
            <v>นครราชสีมา</v>
          </cell>
          <cell r="L36">
            <v>9500</v>
          </cell>
        </row>
        <row r="37">
          <cell r="B37">
            <v>2570</v>
          </cell>
          <cell r="C37" t="str">
            <v>ครุภัณฑ์การเกษตร</v>
          </cell>
          <cell r="G37" t="str">
            <v xml:space="preserve">เครื่องสูบน้ำแบบหอยโข่ง มอเตอร์ไฟฟ้า สูบน้ำได้ 450 ลิตรต่อนาที </v>
          </cell>
          <cell r="H37" t="str">
            <v>สคม.บ้านศรีสุราษฎร์</v>
          </cell>
          <cell r="J37" t="str">
            <v>สุราษฎร์ธานี</v>
          </cell>
          <cell r="L37">
            <v>9700</v>
          </cell>
        </row>
        <row r="38">
          <cell r="B38">
            <v>2570</v>
          </cell>
          <cell r="C38" t="str">
            <v>ครุภัณฑ์การเกษตร</v>
          </cell>
          <cell r="G38" t="str">
            <v xml:space="preserve">เครื่องสูบน้ำ แบบหอยโข่ง มอเตอร์ไฟฟ้า
</v>
          </cell>
          <cell r="H38" t="str">
            <v>สคม.บ้านสองแคว</v>
          </cell>
          <cell r="J38" t="str">
            <v>พิษณุโลก</v>
          </cell>
          <cell r="L38">
            <v>19800</v>
          </cell>
        </row>
        <row r="39">
          <cell r="B39">
            <v>2570</v>
          </cell>
          <cell r="C39" t="str">
            <v>ครุภัณฑ์การเกษตร</v>
          </cell>
          <cell r="G39" t="str">
            <v>ปั๊มบาดาล</v>
          </cell>
          <cell r="H39" t="str">
            <v>สคม.บ้านสองแคว</v>
          </cell>
          <cell r="J39" t="str">
            <v>พิษณุโลก</v>
          </cell>
          <cell r="L39">
            <v>46200</v>
          </cell>
        </row>
        <row r="40">
          <cell r="B40">
            <v>2570</v>
          </cell>
          <cell r="C40" t="str">
            <v>ครุภัณฑ์โฆษณาและเผยแพร่</v>
          </cell>
          <cell r="G40" t="str">
            <v xml:space="preserve">กล้องถ่ายภาพระบบดิจิตอล </v>
          </cell>
          <cell r="H40" t="str">
            <v>สคม.บ้านสองแคว</v>
          </cell>
          <cell r="J40" t="str">
            <v>พิษณุโลก</v>
          </cell>
          <cell r="L40">
            <v>34900</v>
          </cell>
        </row>
        <row r="41">
          <cell r="B41">
            <v>2570</v>
          </cell>
          <cell r="C41" t="str">
            <v>ครุภัณฑ์คอมพิวเตอร์</v>
          </cell>
          <cell r="G41" t="str">
            <v>โครงการเชื่อมโยงข้อมูลจากระบบฐานข้อมูลบันทึกคดีสำคัญ (CDC) สำนักงานศาลยุติธรรม ข้อมูลการคัดกรองจากระบบ ANTI LABOUR TRAFFICKING ของกระทรวงแรงงาน และระบบฐานข้อมูลขนาดใหญ่ (Big Data) เพื่อบริหารสวัสดิการสังคม กระทรวง พม. กับระบบฐานข้อมูลของประเทศไทย ด้านการดำเนินคดีและการช่วยเหลือผู้เสียหายจากการค้ามนุษย์ (E-AHT)</v>
          </cell>
          <cell r="H41" t="str">
            <v>กคม.</v>
          </cell>
          <cell r="J41" t="str">
            <v>กรุงเทพมหานคร</v>
          </cell>
          <cell r="L41">
            <v>3073000</v>
          </cell>
        </row>
        <row r="42">
          <cell r="B42">
            <v>2570</v>
          </cell>
          <cell r="C42" t="str">
            <v>ครุภัณฑ์คอมพิวเตอร์</v>
          </cell>
          <cell r="G42" t="str">
            <v xml:space="preserve">จัดหาครุภัณฑ์คอมพิวเตอร์และอุปกรณ์สำหรับการปฏิบัติงานป้องกันและแก้ไขปัญหาการค้ามนุษย์ในระดับพื้นที่ </v>
          </cell>
          <cell r="H42" t="str">
            <v>กคม.</v>
          </cell>
          <cell r="J42" t="str">
            <v>กรุงเทพมหานคร</v>
          </cell>
          <cell r="L42">
            <v>748800</v>
          </cell>
        </row>
        <row r="43">
          <cell r="B43">
            <v>2570</v>
          </cell>
          <cell r="C43" t="str">
            <v>ครุภัณฑ์ยานพาหนะและขนส่ง</v>
          </cell>
          <cell r="G43" t="str">
            <v>รถโดยสารขนาด 12 ที่นั่ง (ดีเซล) ปริมาตรกระบอกสูบ
ไม่ต่ำกว่า 2,400 ซีซี    หรือกำลังเครื่องยนต์สูงสุด
ไม่ต่ำกว่า 90 กิโลวัตต์</v>
          </cell>
          <cell r="H43" t="str">
            <v>กตภ.</v>
          </cell>
          <cell r="J43" t="str">
            <v>กรุงเทพมหานคร</v>
          </cell>
          <cell r="L43">
            <v>1498000</v>
          </cell>
        </row>
        <row r="44">
          <cell r="B44">
            <v>2570</v>
          </cell>
          <cell r="C44" t="str">
            <v>ครุภัณฑ์ยานพาหนะและขนส่ง</v>
          </cell>
          <cell r="G44" t="str">
    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    </cell>
          <cell r="H44" t="str">
            <v>กตร.</v>
          </cell>
          <cell r="J44" t="str">
            <v>กรุงเทพมหานคร</v>
          </cell>
          <cell r="L44">
            <v>1498000</v>
          </cell>
        </row>
        <row r="45">
          <cell r="B45">
            <v>2570</v>
          </cell>
          <cell r="C45" t="str">
            <v>ครุภัณฑ์ยานพาหนะและขนส่ง</v>
          </cell>
          <cell r="G45" t="str">
            <v>รถยนต์ไฟฟ้า ประเภทแบตเตอรี่ (BEV) ที่มีขนาดความจุของแบตเตอรี่มากกว่า 60 กิโลวัตต์/ชั่วโมง (kWh) และกำลังมอเตอร์ไฟฟ้าสูงสุดไม่เกิน 150 กิโลวัตต์</v>
          </cell>
          <cell r="H45" t="str">
            <v>กตร.</v>
          </cell>
          <cell r="J45" t="str">
            <v>กรุงเทพมหานคร</v>
          </cell>
          <cell r="L45">
            <v>918000</v>
          </cell>
        </row>
        <row r="46">
          <cell r="B46">
            <v>2570</v>
          </cell>
          <cell r="C46" t="str">
            <v>ครุภัณฑ์คอมพิวเตอร์</v>
          </cell>
          <cell r="G46" t="str">
            <v>รายการพัฒนาระบบตรวจราชการอิเล็กทรอนิกส์ (MSO E-Inspection System) ให้เป็นระบบเว็บแอพพลิเคชั่น (Web-based Application)</v>
          </cell>
          <cell r="H46" t="str">
            <v>กตร.</v>
          </cell>
          <cell r="J46" t="str">
            <v>กรุงเทพมหานคร</v>
          </cell>
          <cell r="L46">
            <v>2000000</v>
          </cell>
        </row>
        <row r="47">
          <cell r="B47">
            <v>2570</v>
          </cell>
          <cell r="C47" t="str">
            <v>ครุภัณฑ์ยานพาหนะและขนส่ง</v>
          </cell>
          <cell r="G47" t="str">
            <v>รถตู้(สำหรับเคลื่อนย้ายผู้ประสบปัญหาทางสังคม) เครื่องยนต์ดีเซล จำนวนไม่น้อยกว่า 4 สูบ แถวเรียง DOHC 16 วาล์ว ปริมาตรกระบอกสูบไม่น้อยกว่า 2700 ซีซี</v>
          </cell>
          <cell r="H47" t="str">
            <v>กตร.</v>
          </cell>
          <cell r="J47" t="str">
            <v>กรุงเทพมหานคร</v>
          </cell>
          <cell r="L47">
            <v>4000000</v>
          </cell>
        </row>
        <row r="48">
          <cell r="B48">
            <v>2570</v>
          </cell>
          <cell r="C48" t="str">
            <v>ครุภัณฑ์ยานพาหนะและขนส่ง</v>
          </cell>
          <cell r="G48" t="str">
            <v>รถยนต์บรรทุกส่วนบุคคลตู้บรรทุก 6 ล้อ พร้อมตู้แบบคอนเทนเนอร์</v>
          </cell>
          <cell r="H48" t="str">
            <v>กตร.</v>
          </cell>
          <cell r="J48" t="str">
            <v>กรุงเทพมหานคร</v>
          </cell>
          <cell r="L48">
            <v>3290000</v>
          </cell>
        </row>
        <row r="49">
          <cell r="B49">
            <v>2570</v>
          </cell>
          <cell r="C49" t="str">
            <v>ครุภัณฑ์ยานพาหนะและขนส่ง</v>
          </cell>
          <cell r="G49" t="str">
            <v>รถยนต์นั่งส่วนบุคคล นั่งสองตอนท้ายบรรทุก ขนาด 1 ตัน ชนิดขับเคลื่อน 4 ล้อ (ปริมาณกระบอกสูบไม่ต่ำกว่า 2,400 ซีซี) หรือกำลังเครื่องยนต์สูงสุดไม่ต่ำกว่า 110 กิโลวัตต์
- หลังคารถบรรทุก ขนาด 1 ตัน หลังคาสำเร็จรูป ชนิดทำด้วยไฟเบอร์กลาสหรือเหล็ก มีช่องลมพร้อมกระจกเลื่อน ฝาท้ายเปิดแบบโช๊คอัพ</v>
          </cell>
          <cell r="H49" t="str">
            <v>กตร.</v>
          </cell>
          <cell r="J49" t="str">
            <v>กรุงเทพมหานคร</v>
          </cell>
          <cell r="L49">
            <v>1207900</v>
          </cell>
        </row>
        <row r="50">
          <cell r="B50">
            <v>2570</v>
          </cell>
          <cell r="C50" t="str">
            <v>ครุภัณฑ์สำนักงาน</v>
          </cell>
          <cell r="G50" t="str">
            <v>เครื่องทำน้ำเย็น แบบต่อท่อ ขนาด 1 ก๊อก</v>
          </cell>
          <cell r="H50" t="str">
            <v>กปส.</v>
          </cell>
          <cell r="J50" t="str">
            <v>กรุงเทพมหานคร</v>
          </cell>
          <cell r="L50">
            <v>13700</v>
          </cell>
        </row>
        <row r="51">
          <cell r="B51">
            <v>2570</v>
          </cell>
          <cell r="C51" t="str">
            <v>ครุภัณฑ์สำนักงาน</v>
          </cell>
          <cell r="G51" t="str">
            <v>เครื่องทำน้ำเย็น แบบต่อท่อ ขนาด 1 ก๊อก</v>
          </cell>
          <cell r="H51" t="str">
            <v>กปส.</v>
          </cell>
          <cell r="J51" t="str">
            <v>กรุงเทพมหานคร</v>
          </cell>
          <cell r="L51">
            <v>13700</v>
          </cell>
        </row>
        <row r="52">
          <cell r="B52">
            <v>2570</v>
          </cell>
          <cell r="C52" t="str">
            <v>ครุภัณฑ์งานบ้านงานครัว</v>
          </cell>
          <cell r="G52" t="str">
            <v>ตู้เย็น ขนาด 5 คิวบิกฟุต</v>
          </cell>
          <cell r="H52" t="str">
            <v>กปส.</v>
          </cell>
          <cell r="J52" t="str">
            <v>กรุงเทพมหานคร</v>
          </cell>
          <cell r="L52">
            <v>6500</v>
          </cell>
        </row>
        <row r="53">
          <cell r="B53">
            <v>2570</v>
          </cell>
          <cell r="C53" t="str">
            <v>ครุภัณฑ์งานบ้านงานครัว</v>
          </cell>
          <cell r="G53" t="str">
            <v>เตาอบไมโครเวฟ</v>
          </cell>
          <cell r="H53" t="str">
            <v>กปส.</v>
          </cell>
          <cell r="J53" t="str">
            <v>กรุงเทพมหานคร</v>
          </cell>
          <cell r="L53">
            <v>7600</v>
          </cell>
        </row>
        <row r="54">
          <cell r="B54">
            <v>2570</v>
          </cell>
          <cell r="C54" t="str">
            <v>ครุภัณฑ์ยานพาหนะและขนส่ง</v>
          </cell>
          <cell r="G54" t="str">
            <v>รถยนต์บรรทุก (ดีเซล) ขนาด 1 ตัน ปริมาตรกระบอกสูบไม่ต่ำกว่า 2,400 ซีซี  หรือกำลังเครื่องยนต์สูงสุด ไม่ต่ำกว่า  110 กิโลวัตต์ ขับเคลื่อน 4 ล้อ (ดับเบิ้ลแค็บ)</v>
          </cell>
          <cell r="H54" t="str">
            <v>กปส.</v>
          </cell>
          <cell r="J54" t="str">
            <v>กรุงเทพมหานคร</v>
          </cell>
          <cell r="L54">
            <v>849500</v>
          </cell>
        </row>
        <row r="55">
          <cell r="B55">
            <v>2570</v>
          </cell>
          <cell r="C55" t="str">
            <v>ครุภัณฑ์โฆษณาและเผยแพร่</v>
          </cell>
          <cell r="G55" t="str">
            <v>กล้องถ่ายภาพนิ่ง พร้อมเลนส์</v>
          </cell>
          <cell r="H55" t="str">
            <v>กปส.</v>
          </cell>
          <cell r="J55" t="str">
            <v>กรุงเทพมหานคร</v>
          </cell>
          <cell r="L55">
            <v>432000</v>
          </cell>
        </row>
        <row r="56">
          <cell r="B56">
            <v>2570</v>
          </cell>
          <cell r="C56" t="str">
            <v>ครุภัณฑ์โฆษณาและเผยแพร่</v>
          </cell>
          <cell r="G56" t="str">
            <v>เลนส์ RF70-200MM F/4L IS USM</v>
          </cell>
          <cell r="H56" t="str">
            <v>กปส.</v>
          </cell>
          <cell r="J56" t="str">
            <v>กรุงเทพมหานคร</v>
          </cell>
          <cell r="L56">
            <v>70190</v>
          </cell>
        </row>
        <row r="57">
          <cell r="B57">
            <v>2570</v>
          </cell>
          <cell r="C57" t="str">
            <v>ครุภัณฑ์โฆษณาและเผยแพร่</v>
          </cell>
          <cell r="G57" t="str">
            <v>ฟิลเตอร์ ขนาด 77 MM</v>
          </cell>
          <cell r="H57" t="str">
            <v>กปส.</v>
          </cell>
          <cell r="J57" t="str">
            <v>กรุงเทพมหานคร</v>
          </cell>
          <cell r="L57">
            <v>2200</v>
          </cell>
        </row>
        <row r="58">
          <cell r="B58">
            <v>2570</v>
          </cell>
          <cell r="C58" t="str">
            <v>ครุภัณฑ์โฆษณาและเผยแพร่</v>
          </cell>
          <cell r="G58" t="str">
            <v>แบตเตอรี่กล้อง</v>
          </cell>
          <cell r="H58" t="str">
            <v>กปส.</v>
          </cell>
          <cell r="J58" t="str">
            <v>กรุงเทพมหานคร</v>
          </cell>
          <cell r="L58">
            <v>19200</v>
          </cell>
        </row>
        <row r="59">
          <cell r="B59">
            <v>2570</v>
          </cell>
          <cell r="C59" t="str">
            <v>ครุภัณฑ์โฆษณาและเผยแพร่</v>
          </cell>
          <cell r="G59" t="str">
            <v>แบตเตอรี่แฟลช</v>
          </cell>
          <cell r="H59" t="str">
            <v>กปส.</v>
          </cell>
          <cell r="J59" t="str">
            <v>กรุงเทพมหานคร</v>
          </cell>
          <cell r="L59">
            <v>18000</v>
          </cell>
        </row>
        <row r="60">
          <cell r="B60">
            <v>2570</v>
          </cell>
          <cell r="C60" t="str">
            <v>ครุภัณฑ์โฆษณาและเผยแพร่</v>
          </cell>
          <cell r="G60" t="str">
            <v>แฟลชกล้อง</v>
          </cell>
          <cell r="H60" t="str">
            <v>กปส.</v>
          </cell>
          <cell r="J60" t="str">
            <v>กรุงเทพมหานคร</v>
          </cell>
          <cell r="L60">
            <v>35000</v>
          </cell>
        </row>
        <row r="61">
          <cell r="B61">
            <v>2570</v>
          </cell>
          <cell r="C61" t="str">
            <v>ครุภัณฑ์โฆษณาและเผยแพร่</v>
          </cell>
          <cell r="G61" t="str">
            <v>เมมโมรี่การ์ด 64 GB</v>
          </cell>
          <cell r="H61" t="str">
            <v>กปส.</v>
          </cell>
          <cell r="J61" t="str">
            <v>กรุงเทพมหานคร</v>
          </cell>
          <cell r="L61">
            <v>8000</v>
          </cell>
        </row>
        <row r="62">
          <cell r="B62">
            <v>2570</v>
          </cell>
          <cell r="C62" t="str">
            <v>ครุภัณฑ์โฆษณาและเผยแพร่</v>
          </cell>
          <cell r="G62" t="str">
            <v xml:space="preserve">ขาตั้งกล้อง </v>
          </cell>
          <cell r="H62" t="str">
            <v>กปส.</v>
          </cell>
          <cell r="J62" t="str">
            <v>กรุงเทพมหานคร</v>
          </cell>
          <cell r="L62">
            <v>12600</v>
          </cell>
        </row>
        <row r="63">
          <cell r="B63">
            <v>2570</v>
          </cell>
          <cell r="C63" t="str">
            <v>ครุภัณฑ์โฆษณาและเผยแพร่</v>
          </cell>
          <cell r="G63" t="str">
            <v xml:space="preserve">ตู้กันชื้น 160 ลิตร </v>
          </cell>
          <cell r="H63" t="str">
            <v>กปส.</v>
          </cell>
          <cell r="J63" t="str">
            <v>กรุงเทพมหานคร</v>
          </cell>
          <cell r="L63">
            <v>25800</v>
          </cell>
        </row>
        <row r="64">
          <cell r="B64">
            <v>2570</v>
          </cell>
          <cell r="C64" t="str">
            <v>ครุภัณฑ์โฆษณาและเผยแพร่</v>
          </cell>
          <cell r="G64" t="str">
            <v>แท่น Podium พร้อมโลโก้กระทรวง</v>
          </cell>
          <cell r="H64" t="str">
            <v>กปส.</v>
          </cell>
          <cell r="J64" t="str">
            <v>กรุงเทพมหานคร</v>
          </cell>
          <cell r="L64">
            <v>120000</v>
          </cell>
        </row>
        <row r="65">
          <cell r="B65">
            <v>2570</v>
          </cell>
          <cell r="C65" t="str">
            <v>ครุภัณฑ์โฆษณาและเผยแพร่</v>
          </cell>
          <cell r="G65" t="str">
            <v xml:space="preserve">ไมค์สำหรับบันทึกเสียง ไมโครโฟนชนิด Dynamic </v>
          </cell>
          <cell r="H65" t="str">
            <v>กปส.</v>
          </cell>
          <cell r="J65" t="str">
            <v>กรุงเทพมหานคร</v>
          </cell>
          <cell r="L65">
            <v>30000</v>
          </cell>
        </row>
        <row r="66">
          <cell r="B66">
            <v>2570</v>
          </cell>
          <cell r="C66" t="str">
            <v>ครุภัณฑ์โฆษณาและเผยแพร่</v>
          </cell>
          <cell r="G66" t="str">
            <v>สายไมโครโฟน แบบ XLR (M) -- XLR (F) ยาว 5 เมตร</v>
          </cell>
          <cell r="H66" t="str">
            <v>กปส.</v>
          </cell>
          <cell r="J66" t="str">
            <v>กรุงเทพมหานคร</v>
          </cell>
          <cell r="L66">
            <v>1400</v>
          </cell>
        </row>
        <row r="67">
          <cell r="B67">
            <v>2570</v>
          </cell>
          <cell r="C67" t="str">
            <v>ครุภัณฑ์โฆษณาและเผยแพร่</v>
          </cell>
          <cell r="G67" t="str">
            <v>ลำโพงมอนิเตอร์ 6.5 นิ้ว</v>
          </cell>
          <cell r="H67" t="str">
            <v>กปส.</v>
          </cell>
          <cell r="J67" t="str">
            <v>กรุงเทพมหานคร</v>
          </cell>
          <cell r="L67">
            <v>45000</v>
          </cell>
        </row>
        <row r="68">
          <cell r="B68">
            <v>2570</v>
          </cell>
          <cell r="C68" t="str">
            <v>ครุภัณฑ์โฆษณาและเผยแพร่</v>
          </cell>
          <cell r="G68" t="str">
            <v xml:space="preserve">ขาตั้งไมโครโฟน 3 ขา </v>
          </cell>
          <cell r="H68" t="str">
            <v>กปส.</v>
          </cell>
          <cell r="J68" t="str">
            <v>กรุงเทพมหานคร</v>
          </cell>
          <cell r="L68">
            <v>10000</v>
          </cell>
        </row>
        <row r="69">
          <cell r="B69">
            <v>2570</v>
          </cell>
          <cell r="C69" t="str">
            <v>ครุภัณฑ์โฆษณาและเผยแพร่</v>
          </cell>
          <cell r="G69" t="str">
            <v>หูฟังสตูดิโอ</v>
          </cell>
          <cell r="H69" t="str">
            <v>กปส.</v>
          </cell>
          <cell r="J69" t="str">
            <v>กรุงเทพมหานคร</v>
          </cell>
          <cell r="L69">
            <v>6000</v>
          </cell>
        </row>
        <row r="70">
          <cell r="B70">
            <v>2570</v>
          </cell>
          <cell r="C70" t="str">
            <v>ครุภัณฑ์โฆษณาและเผยแพร่</v>
          </cell>
          <cell r="G70" t="str">
            <v>ไมโครโฟน</v>
          </cell>
          <cell r="H70" t="str">
            <v>กปส.</v>
          </cell>
          <cell r="J70" t="str">
            <v>กรุงเทพมหานคร</v>
          </cell>
          <cell r="L70">
            <v>14000</v>
          </cell>
        </row>
        <row r="71">
          <cell r="B71">
            <v>2570</v>
          </cell>
          <cell r="C71" t="str">
            <v>ครุภัณฑ์โฆษณาและเผยแพร่</v>
          </cell>
          <cell r="G71" t="str">
            <v>แฟลชสตูดิโอ</v>
          </cell>
          <cell r="H71" t="str">
            <v>กปส.</v>
          </cell>
          <cell r="J71" t="str">
            <v>กรุงเทพมหานคร</v>
          </cell>
          <cell r="L71">
            <v>40000</v>
          </cell>
        </row>
        <row r="72">
          <cell r="B72">
            <v>2570</v>
          </cell>
          <cell r="C72" t="str">
            <v>ครุภัณฑ์โฆษณาและเผยแพร่</v>
          </cell>
          <cell r="G72" t="str">
            <v xml:space="preserve"> แฟลชทริกเกอร์ไร้สาย</v>
          </cell>
          <cell r="H72" t="str">
            <v>กปส.</v>
          </cell>
          <cell r="J72" t="str">
            <v>กรุงเทพมหานคร</v>
          </cell>
          <cell r="L72">
            <v>3000</v>
          </cell>
        </row>
        <row r="73">
          <cell r="B73">
            <v>2570</v>
          </cell>
          <cell r="C73" t="str">
            <v>ครุภัณฑ์โฆษณาและเผยแพร่</v>
          </cell>
          <cell r="G73" t="str">
            <v>อุปกรณ์เสริมไฟสตูดิโอ</v>
          </cell>
          <cell r="H73" t="str">
            <v>กปส.</v>
          </cell>
          <cell r="J73" t="str">
            <v>กรุงเทพมหานคร</v>
          </cell>
          <cell r="L73">
            <v>4000</v>
          </cell>
        </row>
        <row r="74">
          <cell r="B74">
            <v>2570</v>
          </cell>
          <cell r="C74" t="str">
            <v>ครุภัณฑ์โฆษณาและเผยแพร่</v>
          </cell>
          <cell r="G74" t="str">
            <v xml:space="preserve">ขาตั้งไฟ ขนาด 2.8m </v>
          </cell>
          <cell r="H74" t="str">
            <v>กปส.</v>
          </cell>
          <cell r="J74" t="str">
            <v>กรุงเทพมหานคร</v>
          </cell>
          <cell r="L74">
            <v>5000</v>
          </cell>
        </row>
        <row r="75">
          <cell r="B75">
            <v>2570</v>
          </cell>
          <cell r="C75" t="str">
            <v>ครุภัณฑ์โฆษณาและเผยแพร่</v>
          </cell>
          <cell r="G75" t="str">
            <v>เครื่องคอมพิวเตอร์ สำหรับการออกแบบกราฟิก จอแสดงภาพขนาดไม่น้อยกว่า 24 นิ้ว</v>
          </cell>
          <cell r="H75" t="str">
            <v>กปส.</v>
          </cell>
          <cell r="J75" t="str">
            <v>กรุงเทพมหานคร</v>
          </cell>
          <cell r="L75">
            <v>170000</v>
          </cell>
        </row>
        <row r="76">
          <cell r="B76">
            <v>2570</v>
          </cell>
          <cell r="C76" t="str">
            <v>ครุภัณฑ์โฆษณาและเผยแพร่</v>
          </cell>
          <cell r="G76" t="str">
            <v>จอแสดงภาพ ขนาดไม่น้อยกว่า 24 นิ้ว</v>
          </cell>
          <cell r="H76" t="str">
            <v>กปส.</v>
          </cell>
          <cell r="J76" t="str">
            <v>กรุงเทพมหานคร</v>
          </cell>
          <cell r="L76">
            <v>9000</v>
          </cell>
        </row>
        <row r="77">
          <cell r="B77">
            <v>2570</v>
          </cell>
          <cell r="C77" t="str">
            <v>ครุภัณฑ์โฆษณาและเผยแพร่</v>
          </cell>
          <cell r="G77" t="str">
            <v>เครื่องคอมพิวเตอร์โน้ตบุ๊ก 
สำหรับการออกแบบกราฟิก</v>
          </cell>
          <cell r="H77" t="str">
            <v>กปส.</v>
          </cell>
          <cell r="J77" t="str">
            <v>กรุงเทพมหานคร</v>
          </cell>
          <cell r="L77">
            <v>110000</v>
          </cell>
        </row>
        <row r="78">
          <cell r="B78">
            <v>2570</v>
          </cell>
          <cell r="C78" t="str">
            <v>ครุภัณฑ์โฆษณาและเผยแพร่</v>
          </cell>
          <cell r="G78" t="str">
            <v>เครื่องสำรองไฟฟ้า ขนาด 2 kVA</v>
          </cell>
          <cell r="H78" t="str">
            <v>กปส.</v>
          </cell>
          <cell r="J78" t="str">
            <v>กรุงเทพมหานคร</v>
          </cell>
          <cell r="L78">
            <v>22000</v>
          </cell>
        </row>
        <row r="79">
          <cell r="B79">
            <v>2570</v>
          </cell>
          <cell r="C79" t="str">
            <v>ครุภัณฑ์โฆษณาและเผยแพร่</v>
          </cell>
          <cell r="G79" t="str">
            <v>จอแสดงผลแบบสัมผัส ขนาดไม่น้อยกว่า 65 นิ้ว</v>
          </cell>
          <cell r="H79" t="str">
            <v>กปส.</v>
          </cell>
          <cell r="J79" t="str">
            <v>กรุงเทพมหานคร</v>
          </cell>
          <cell r="L79">
            <v>350000</v>
          </cell>
        </row>
        <row r="80">
          <cell r="B80">
            <v>2570</v>
          </cell>
          <cell r="C80" t="str">
            <v>ครุภัณฑ์โฆษณาและเผยแพร่</v>
          </cell>
          <cell r="G80" t="str">
            <v>ตู้คีออส (Digital Signage Kiosk) ขนาดไม่น้อยกว่า 55 นิ้ว</v>
          </cell>
          <cell r="H80" t="str">
            <v>กปส.</v>
          </cell>
          <cell r="J80" t="str">
            <v>กรุงเทพมหานคร</v>
          </cell>
          <cell r="L80">
            <v>148000</v>
          </cell>
        </row>
        <row r="81">
          <cell r="B81">
            <v>2570</v>
          </cell>
          <cell r="C81" t="str">
            <v>ครุภัณฑ์โฆษณาและเผยแพร่</v>
          </cell>
          <cell r="G81" t="str">
            <v>โทรทัศน์แอล อีดี(LED TV) แบบ Smart TV</v>
          </cell>
          <cell r="H81" t="str">
            <v>กปส.</v>
          </cell>
          <cell r="J81" t="str">
            <v>กรุงเทพมหานคร</v>
          </cell>
          <cell r="L81">
            <v>15000</v>
          </cell>
        </row>
        <row r="82">
          <cell r="B82">
            <v>2570</v>
          </cell>
          <cell r="C82" t="str">
            <v>ครุภัณฑ์สำนักงาน</v>
          </cell>
          <cell r="G82" t="str">
            <v xml:space="preserve"> เครื่องถ่ายเอกสารระบบดิจิตอล (ขาว-ดำ) ความเร็ว 40 แผ่นต่อนาที</v>
          </cell>
          <cell r="H82" t="str">
            <v>พมจ.นราธิวาส</v>
          </cell>
          <cell r="J82" t="str">
            <v>นราธิวาส</v>
          </cell>
          <cell r="L82">
            <v>180000</v>
          </cell>
        </row>
        <row r="83">
          <cell r="B83">
            <v>2570</v>
          </cell>
          <cell r="C83" t="str">
            <v>ครุภัณฑ์สำนักงาน</v>
          </cell>
          <cell r="G83" t="str">
            <v xml:space="preserve"> เครื่องถ่ายเอกสารระบบดิจิตอล (ขาว-ดำ) ความเร็ว 40 แผ่นต่อนาที</v>
          </cell>
          <cell r="H83" t="str">
            <v>พมจ.ลำพูน</v>
          </cell>
          <cell r="J83" t="str">
            <v>ลำพูน</v>
          </cell>
          <cell r="L83">
            <v>180000</v>
          </cell>
        </row>
        <row r="84">
          <cell r="B84">
            <v>2570</v>
          </cell>
          <cell r="C84" t="str">
            <v>ครุภัณฑ์สำนักงาน</v>
          </cell>
          <cell r="G84" t="str">
            <v xml:space="preserve"> เครื่องถ่ายเอกสารระบบดิจิตอล (ขาว-ดำ) ความเร็ว 50 แผ่นต่อนาที</v>
          </cell>
          <cell r="H84" t="str">
            <v>พมจ.สมุทรสงคราม</v>
          </cell>
          <cell r="J84" t="str">
            <v>สมุทรสงคราม</v>
          </cell>
          <cell r="L84">
            <v>200000</v>
          </cell>
        </row>
        <row r="85">
          <cell r="B85">
            <v>2570</v>
          </cell>
          <cell r="C85" t="str">
            <v>ครุภัณฑ์สำนักงาน</v>
          </cell>
          <cell r="G85" t="str">
            <v xml:space="preserve"> เครื่องถ่ายเอกสารระบบดิจิตอล (ขาว-ดำ) ความเร็ว 50 แผ่นต่อนาที</v>
          </cell>
          <cell r="H85" t="str">
            <v>พมจ.กาญจนบุรี</v>
          </cell>
          <cell r="J85" t="str">
            <v>กาญจนบุรี</v>
          </cell>
          <cell r="L85">
            <v>200000</v>
          </cell>
        </row>
        <row r="86">
          <cell r="B86">
            <v>2570</v>
          </cell>
          <cell r="C86" t="str">
            <v>ครุภัณฑ์สำนักงาน</v>
          </cell>
          <cell r="G86" t="str">
            <v xml:space="preserve"> เครื่องถ่ายเอกสารระบบดิจิตอล (ขาว-ดำ) ความเร็ว 50 แผ่นต่อนาที</v>
          </cell>
          <cell r="H86" t="str">
            <v>พมจ.ตาก</v>
          </cell>
          <cell r="J86" t="str">
            <v>ตาก</v>
          </cell>
          <cell r="L86">
            <v>200000</v>
          </cell>
        </row>
        <row r="87">
          <cell r="B87">
            <v>2570</v>
          </cell>
          <cell r="C87" t="str">
            <v>ครุภัณฑ์สำนักงาน</v>
          </cell>
          <cell r="G87" t="str">
            <v xml:space="preserve"> เครื่องถ่ายเอกสารระบบดิจิตอล (ขาว-ดำ และสี) ความเร็ว 30 แผ่นต่อนาที</v>
          </cell>
          <cell r="H87" t="str">
            <v>พมจ.ชลบุรี</v>
          </cell>
          <cell r="J87" t="str">
            <v>ชลบุรี</v>
          </cell>
          <cell r="L87">
            <v>250000</v>
          </cell>
        </row>
        <row r="88">
          <cell r="B88">
            <v>2570</v>
          </cell>
          <cell r="C88" t="str">
            <v>ครุภัณฑ์สำนักงาน</v>
          </cell>
          <cell r="G88" t="str">
            <v xml:space="preserve"> เครื่องถ่ายเอกสารระบบดิจิตอล (ขาว-ดำ) ความเร็ว 30 แผ่นต่อนาที</v>
          </cell>
          <cell r="H88" t="str">
            <v>พมจ.สระแก้ว</v>
          </cell>
          <cell r="J88" t="str">
            <v>สระแก้ว</v>
          </cell>
          <cell r="L88">
            <v>120000</v>
          </cell>
        </row>
        <row r="89">
          <cell r="B89">
            <v>2570</v>
          </cell>
          <cell r="C89" t="str">
            <v>ครุภัณฑ์สำนักงาน</v>
          </cell>
          <cell r="G89" t="str">
            <v xml:space="preserve"> เครื่องถ่ายเอกสารระบบดิจิตอล (ขาว-ดำ) ความเร็ว 30 แผ่นต่อนาที</v>
          </cell>
          <cell r="H89" t="str">
            <v>พมจ.อ่างทอง</v>
          </cell>
          <cell r="J89" t="str">
            <v>อ่างทอง</v>
          </cell>
          <cell r="L89">
            <v>120000</v>
          </cell>
        </row>
        <row r="90">
          <cell r="B90">
            <v>2570</v>
          </cell>
          <cell r="C90" t="str">
            <v>ครุภัณฑ์สำนักงาน</v>
          </cell>
          <cell r="G90" t="str">
            <v xml:space="preserve"> เครื่องถ่ายเอกสารระบบดิจิตอล (ขาว-ดำ) ความเร็ว 30 แผ่นต่อนาที</v>
          </cell>
          <cell r="H90" t="str">
            <v>พมจ.ยโสธร</v>
          </cell>
          <cell r="J90" t="str">
            <v>ยโสธร</v>
          </cell>
          <cell r="L90">
            <v>120000</v>
          </cell>
        </row>
        <row r="91">
          <cell r="B91">
            <v>2570</v>
          </cell>
          <cell r="C91" t="str">
            <v>ครุภัณฑ์สำนักงาน</v>
          </cell>
          <cell r="G91" t="str">
            <v>เครื่องพิมพ์สําเนาระบบดิจิทัล ความละเอียด 300 x 600 จุดต่อตารางนิ้ว</v>
          </cell>
          <cell r="H91" t="str">
            <v>พมจ.นราธิวาส</v>
          </cell>
          <cell r="J91" t="str">
            <v>นราธิวาส</v>
          </cell>
          <cell r="L91">
            <v>180000</v>
          </cell>
        </row>
        <row r="92">
          <cell r="B92">
            <v>2570</v>
          </cell>
          <cell r="C92" t="str">
            <v>ครุภัณฑ์สำนักงาน</v>
          </cell>
          <cell r="G92" t="str">
            <v>เครื่องดูดฝุ่น ขนาด 15 ลิตร</v>
          </cell>
          <cell r="H92" t="str">
            <v>พมจ.อุดรธานี</v>
          </cell>
          <cell r="J92" t="str">
            <v>อุดรธานี</v>
          </cell>
          <cell r="L92">
            <v>8600</v>
          </cell>
        </row>
        <row r="93">
          <cell r="B93">
            <v>2570</v>
          </cell>
          <cell r="C93" t="str">
            <v>ครุภัณฑ์สำนักงาน</v>
          </cell>
          <cell r="G93" t="str">
            <v>เครื่องดูดฝุ่น ขนาด 15 ลิตร</v>
          </cell>
          <cell r="H93" t="str">
            <v>พมจ.ลพบุรี</v>
          </cell>
          <cell r="J93" t="str">
            <v>ลพบุรี</v>
          </cell>
          <cell r="L93">
            <v>8000</v>
          </cell>
        </row>
        <row r="94">
          <cell r="B94">
            <v>2570</v>
          </cell>
          <cell r="C94" t="str">
            <v>ครุภัณฑ์สำนักงาน</v>
          </cell>
          <cell r="G94" t="str">
            <v>เครื่องดูดฝุ่น ขนาด 15 ลิตร</v>
          </cell>
          <cell r="H94" t="str">
            <v>พมจ.ระนอง</v>
          </cell>
          <cell r="J94" t="str">
            <v>ระนอง</v>
          </cell>
          <cell r="L94">
            <v>8600</v>
          </cell>
        </row>
        <row r="95">
          <cell r="B95">
            <v>2570</v>
          </cell>
          <cell r="C95" t="str">
            <v>ครุภัณฑ์สำนักงาน</v>
          </cell>
          <cell r="G95" t="str">
            <v>เครื่องดูดฝุ่น ขนาด 15 ลิตร</v>
          </cell>
          <cell r="H95" t="str">
            <v>พมจ.เลย</v>
          </cell>
          <cell r="J95" t="str">
            <v>เลย</v>
          </cell>
          <cell r="L95">
            <v>8600</v>
          </cell>
        </row>
        <row r="96">
          <cell r="B96">
            <v>2570</v>
          </cell>
          <cell r="C96" t="str">
            <v>ครุภัณฑ์สำนักงาน</v>
          </cell>
          <cell r="G96" t="str">
            <v>เครื่องดูดฝุ่น ขนาด 25 ลิตร</v>
          </cell>
          <cell r="H96" t="str">
            <v>พมจ.เชียงใหม่</v>
          </cell>
          <cell r="J96" t="str">
            <v>เชียงใหม่</v>
          </cell>
          <cell r="L96">
            <v>13700</v>
          </cell>
        </row>
        <row r="97">
          <cell r="B97">
            <v>2570</v>
          </cell>
          <cell r="C97" t="str">
            <v>ครุภัณฑ์สำนักงาน</v>
          </cell>
          <cell r="G97" t="str">
            <v>เครื่องดูดฝุ่น ขนาด 25 ลิตร</v>
          </cell>
          <cell r="H97" t="str">
            <v>พมจ.อุตรดิตถ์</v>
          </cell>
          <cell r="J97" t="str">
            <v>อุตรดิตถ์</v>
          </cell>
          <cell r="L97">
            <v>13700</v>
          </cell>
        </row>
        <row r="98">
          <cell r="B98">
            <v>2570</v>
          </cell>
          <cell r="C98" t="str">
            <v>ครุภัณฑ์สำนักงาน</v>
          </cell>
          <cell r="G98" t="str">
            <v>เครื่องดูดฝุ่น ขนาด 25 ลิตร</v>
          </cell>
          <cell r="H98" t="str">
            <v>พมจ.ลำปาง</v>
          </cell>
          <cell r="J98" t="str">
            <v>ลำปาง</v>
          </cell>
          <cell r="L98">
            <v>13700</v>
          </cell>
        </row>
        <row r="99">
          <cell r="B99">
            <v>2570</v>
          </cell>
          <cell r="C99" t="str">
            <v>ครุภัณฑ์สำนักงาน</v>
          </cell>
          <cell r="G99" t="str">
            <v>เครื่องดูดฝุ่น ขนาด 25 ลิตร</v>
          </cell>
          <cell r="H99" t="str">
            <v>พมจ.นครราชสีมา</v>
          </cell>
          <cell r="J99" t="str">
            <v>นครราชสีมา</v>
          </cell>
          <cell r="L99">
            <v>13700</v>
          </cell>
        </row>
        <row r="100">
          <cell r="B100">
            <v>2570</v>
          </cell>
          <cell r="C100" t="str">
            <v>ครุภัณฑ์สำนักงาน</v>
          </cell>
          <cell r="G100" t="str">
            <v>เครื่องดูดฝุ่น ขนาด 25 ลิตร</v>
          </cell>
          <cell r="H100" t="str">
            <v>พมจ.ลำพูน</v>
          </cell>
          <cell r="J100" t="str">
            <v>ลำพูน</v>
          </cell>
          <cell r="L100">
            <v>13800</v>
          </cell>
        </row>
        <row r="101">
          <cell r="B101">
            <v>2570</v>
          </cell>
          <cell r="C101" t="str">
            <v>ครุภัณฑ์สำนักงาน</v>
          </cell>
          <cell r="G101" t="str">
            <v>เครื่องดูดฝุ่น ขนาด 25 ลิตร</v>
          </cell>
          <cell r="H101" t="str">
            <v>พมจ.ตาก</v>
          </cell>
          <cell r="J101" t="str">
            <v>ตาก</v>
          </cell>
          <cell r="L101">
            <v>13700</v>
          </cell>
        </row>
        <row r="102">
          <cell r="B102">
            <v>2570</v>
          </cell>
          <cell r="C102" t="str">
            <v>ครุภัณฑ์สำนักงาน</v>
          </cell>
          <cell r="G102" t="str">
            <v>เครื่องขัดพื้น</v>
          </cell>
          <cell r="H102" t="str">
            <v>พมจ.เลย</v>
          </cell>
          <cell r="J102" t="str">
            <v>เลย</v>
          </cell>
          <cell r="L102">
            <v>21000</v>
          </cell>
        </row>
        <row r="103">
          <cell r="B103">
            <v>2570</v>
          </cell>
          <cell r="C103" t="str">
            <v>ครุภัณฑ์สำนักงาน</v>
          </cell>
          <cell r="G103" t="str">
            <v>เครื่องทําลายเอกสาร แบบตัดละเอียด ทําลายครั้งละ 30 แผ่น</v>
          </cell>
          <cell r="H103" t="str">
            <v>พมจ.ประจวบคีรีขันธ์</v>
          </cell>
          <cell r="J103" t="str">
            <v>ประจวบคีรีขันธ์</v>
          </cell>
          <cell r="L103">
            <v>67000</v>
          </cell>
        </row>
        <row r="104">
          <cell r="B104">
            <v>2570</v>
          </cell>
          <cell r="C104" t="str">
            <v>ครุภัณฑ์สำนักงาน</v>
          </cell>
          <cell r="G104" t="str">
            <v>เครื่องทําลายเอกสาร แบบตัดละเอียด ทําลายครั้งละ 30 แผ่น</v>
          </cell>
          <cell r="H104" t="str">
            <v>พมจ.นครนายก</v>
          </cell>
          <cell r="J104" t="str">
            <v>นครนายก</v>
          </cell>
          <cell r="L104">
            <v>67000</v>
          </cell>
        </row>
        <row r="105">
          <cell r="B105">
            <v>2570</v>
          </cell>
          <cell r="C105" t="str">
            <v>ครุภัณฑ์สำนักงาน</v>
          </cell>
          <cell r="G105" t="str">
            <v>เครื่องทําลายเอกสาร แบบตัดละเอียด ทําลายครั้งละ 30 แผ่น</v>
          </cell>
          <cell r="H105" t="str">
            <v>พมจ.ปทุมธานี</v>
          </cell>
          <cell r="J105" t="str">
            <v>ปทุมธานี</v>
          </cell>
          <cell r="L105">
            <v>67000</v>
          </cell>
        </row>
        <row r="106">
          <cell r="B106">
            <v>2570</v>
          </cell>
          <cell r="C106" t="str">
            <v>ครุภัณฑ์สำนักงาน</v>
          </cell>
          <cell r="G106" t="str">
            <v>เครื่องทําลายเอกสาร แบบตัดละเอียด ทําลายครั้งละ 30 แผ่น</v>
          </cell>
          <cell r="H106" t="str">
            <v>พมจ.อุตรดิตถ์</v>
          </cell>
          <cell r="J106" t="str">
            <v>อุตรดิตถ์</v>
          </cell>
          <cell r="L106">
            <v>67000</v>
          </cell>
        </row>
        <row r="107">
          <cell r="B107">
            <v>2570</v>
          </cell>
          <cell r="C107" t="str">
            <v>ครุภัณฑ์สำนักงาน</v>
          </cell>
          <cell r="G107" t="str">
            <v>เครื่องทําลายเอกสาร แบบตัดละเอียด ทําลายครั้งละ 30 แผ่น</v>
          </cell>
          <cell r="H107" t="str">
            <v>พมจ.นครสวรรค์</v>
          </cell>
          <cell r="J107" t="str">
            <v>นครสวรรค์</v>
          </cell>
          <cell r="L107">
            <v>126000</v>
          </cell>
        </row>
        <row r="108">
          <cell r="B108">
            <v>2570</v>
          </cell>
          <cell r="C108" t="str">
            <v>ครุภัณฑ์สำนักงาน</v>
          </cell>
          <cell r="G108" t="str">
            <v>เครื่องทําลายเอกสาร แบบตัดละเอียด ทําลายครั้งละ 30 แผ่น</v>
          </cell>
          <cell r="H108" t="str">
            <v>พมจ.หนองบัวลำภู</v>
          </cell>
          <cell r="J108" t="str">
            <v>หนองบัวลำภู</v>
          </cell>
          <cell r="L108">
            <v>67000</v>
          </cell>
        </row>
        <row r="109">
          <cell r="B109">
            <v>2570</v>
          </cell>
          <cell r="C109" t="str">
            <v>ครุภัณฑ์สำนักงาน</v>
          </cell>
          <cell r="G109" t="str">
            <v>เครื่องทําลายเอกสาร แบบตัดละเอียด ทําลายครั้งละ 30 แผ่น</v>
          </cell>
          <cell r="H109" t="str">
            <v>พมจ.นครราชสีมา</v>
          </cell>
          <cell r="J109" t="str">
            <v>นครราชสีมา</v>
          </cell>
          <cell r="L109">
            <v>67000</v>
          </cell>
        </row>
        <row r="110">
          <cell r="B110">
            <v>2570</v>
          </cell>
          <cell r="C110" t="str">
            <v>ครุภัณฑ์สำนักงาน</v>
          </cell>
          <cell r="G110" t="str">
            <v>เครื่องทําลายเอกสาร แบบตัดละเอียด ทําลายครั้งละ 30 แผ่น</v>
          </cell>
          <cell r="H110" t="str">
            <v>พมจ.ภูเก็ต</v>
          </cell>
          <cell r="J110" t="str">
            <v>ภูเก็ต</v>
          </cell>
          <cell r="L110">
            <v>67000</v>
          </cell>
        </row>
        <row r="111">
          <cell r="B111">
            <v>2570</v>
          </cell>
          <cell r="C111" t="str">
            <v>ครุภัณฑ์สำนักงาน</v>
          </cell>
          <cell r="G111" t="str">
            <v>เครื่องทําลายเอกสาร แบบตัดละเอียด ทําลายครั้งละ 30 แผ่น</v>
          </cell>
          <cell r="H111" t="str">
            <v>พมจ.สตูล</v>
          </cell>
          <cell r="J111" t="str">
            <v>สตูล</v>
          </cell>
          <cell r="L111">
            <v>67000</v>
          </cell>
        </row>
        <row r="112">
          <cell r="B112">
            <v>2570</v>
          </cell>
          <cell r="C112" t="str">
            <v>ครุภัณฑ์สำนักงาน</v>
          </cell>
          <cell r="G112" t="str">
            <v>เครื่องทําลายเอกสาร แบบตัดละเอียด ทําลายครั้งละ 30 แผ่น</v>
          </cell>
          <cell r="H112" t="str">
            <v>พมจ.ลำพูน</v>
          </cell>
          <cell r="J112" t="str">
            <v>ลำพูน</v>
          </cell>
          <cell r="L112">
            <v>67000</v>
          </cell>
        </row>
        <row r="113">
          <cell r="B113">
            <v>2570</v>
          </cell>
          <cell r="C113" t="str">
            <v>ครุภัณฑ์สำนักงาน</v>
          </cell>
          <cell r="G113" t="str">
            <v>เครื่องทําลายเอกสาร แบบตัดละเอียด ทําลายครั้งละ 30 แผ่น</v>
          </cell>
          <cell r="H113" t="str">
            <v>พมจ.ชุมพร</v>
          </cell>
          <cell r="J113" t="str">
            <v>ชุมพร</v>
          </cell>
          <cell r="L113">
            <v>67000</v>
          </cell>
        </row>
        <row r="114">
          <cell r="B114">
            <v>2570</v>
          </cell>
          <cell r="C114" t="str">
            <v>ครุภัณฑ์สำนักงาน</v>
          </cell>
          <cell r="G114" t="str">
            <v>เครื่องทําลายเอกสาร แบบตัดละเอียด ทําลายครั้งละ 30 แผ่น</v>
          </cell>
          <cell r="H114" t="str">
            <v>พมจ.มหาสารคาม</v>
          </cell>
          <cell r="J114" t="str">
            <v>มหาสารคาม</v>
          </cell>
          <cell r="L114">
            <v>67000</v>
          </cell>
        </row>
        <row r="115">
          <cell r="B115">
            <v>2570</v>
          </cell>
          <cell r="C115" t="str">
            <v>ครุภัณฑ์สำนักงาน</v>
          </cell>
          <cell r="G115" t="str">
            <v>เครื่องทําลายเอกสาร แบบตัดละเอียด ทําลายครั้งละ 20 แผ่น</v>
          </cell>
          <cell r="H115" t="str">
            <v>พมจ.ยโสธร</v>
          </cell>
          <cell r="J115" t="str">
            <v>ยโสธร</v>
          </cell>
          <cell r="L115">
            <v>42600</v>
          </cell>
        </row>
        <row r="116">
          <cell r="B116">
            <v>2570</v>
          </cell>
          <cell r="C116" t="str">
            <v>ครุภัณฑ์สำนักงาน</v>
          </cell>
          <cell r="G116" t="str">
            <v>เครื่องทําลายเอกสาร แบบตัดละเอียด ทําลายครั้งละ 20 แผ่น</v>
          </cell>
          <cell r="H116" t="str">
            <v>พมจ.สิงห์บุรี</v>
          </cell>
          <cell r="J116" t="str">
            <v>สิงห์บุรี</v>
          </cell>
          <cell r="L116">
            <v>42600</v>
          </cell>
        </row>
        <row r="117">
          <cell r="B117">
            <v>2570</v>
          </cell>
          <cell r="C117" t="str">
            <v>ครุภัณฑ์สำนักงาน</v>
          </cell>
          <cell r="G117" t="str">
            <v>เครื่องทําลายเอกสาร แบบตัดละเอียด ทําลายครั้งละ 20 แผ่น</v>
          </cell>
          <cell r="H117" t="str">
            <v>พมจ.อุทัยธานี</v>
          </cell>
          <cell r="J117" t="str">
            <v>อุทัยธานี</v>
          </cell>
          <cell r="L117">
            <v>42600</v>
          </cell>
        </row>
        <row r="118">
          <cell r="B118">
            <v>2570</v>
          </cell>
          <cell r="C118" t="str">
            <v>ครุภัณฑ์สำนักงาน</v>
          </cell>
          <cell r="G118" t="str">
            <v>เครื่องทําลายเอกสาร แบบตัดละเอียด ทําลายครั้งละ 20 แผ่น</v>
          </cell>
          <cell r="H118" t="str">
            <v>พมจ.สระแก้ว</v>
          </cell>
          <cell r="J118" t="str">
            <v>สระแก้ว</v>
          </cell>
          <cell r="L118">
            <v>42600</v>
          </cell>
        </row>
        <row r="119">
          <cell r="B119">
            <v>2570</v>
          </cell>
          <cell r="C119" t="str">
            <v>ครุภัณฑ์สำนักงาน</v>
          </cell>
          <cell r="G119" t="str">
            <v>เครื่องทําลายเอกสาร แบบตัดละเอียด ทําลายครั้งละ 20 แผ่น</v>
          </cell>
          <cell r="H119" t="str">
            <v>พมจ.อำนาจเจริญ</v>
          </cell>
          <cell r="J119" t="str">
            <v>อำนาจเจริญ</v>
          </cell>
          <cell r="L119">
            <v>42600</v>
          </cell>
        </row>
        <row r="120">
          <cell r="B120">
            <v>2570</v>
          </cell>
          <cell r="C120" t="str">
            <v>ครุภัณฑ์สำนักงาน</v>
          </cell>
          <cell r="G120" t="str">
            <v>เครื่องทําลายเอกสาร แบบตัดตรง ทําลายครั้งละ 20 แผ่น</v>
          </cell>
          <cell r="H120" t="str">
            <v>พมจ.นครราชสีมา</v>
          </cell>
          <cell r="J120" t="str">
            <v>นครราชสีมา</v>
          </cell>
          <cell r="L120">
            <v>59400</v>
          </cell>
        </row>
        <row r="121">
          <cell r="B121">
            <v>2570</v>
          </cell>
          <cell r="C121" t="str">
            <v>ครุภัณฑ์สำนักงาน</v>
          </cell>
          <cell r="G121" t="str">
            <v>เครื่องทําลายเอกสาร แบบตัดตรง ทําลายครั้งละ 20 แผ่น</v>
          </cell>
          <cell r="H121" t="str">
            <v>พมจ.นนทบุรี</v>
          </cell>
          <cell r="J121" t="str">
            <v>นนทบุรี</v>
          </cell>
          <cell r="L121">
            <v>29700</v>
          </cell>
        </row>
        <row r="122">
          <cell r="B122">
            <v>2570</v>
          </cell>
          <cell r="C122" t="str">
            <v>ครุภัณฑ์สำนักงาน</v>
          </cell>
          <cell r="G122" t="str">
            <v>เครื่องทําลายเอกสาร แบบตัดตรง ทําลายครั้งละ 20 แผ่น</v>
          </cell>
          <cell r="H122" t="str">
            <v>พมจ.สมุทรปราการ</v>
          </cell>
          <cell r="J122" t="str">
            <v>สมุทรปราการ</v>
          </cell>
          <cell r="L122">
            <v>29700</v>
          </cell>
        </row>
        <row r="123">
          <cell r="B123">
            <v>2570</v>
          </cell>
          <cell r="C123" t="str">
            <v>ครุภัณฑ์สำนักงาน</v>
          </cell>
          <cell r="G123" t="str">
            <v>เครื่องทําลายเอกสาร แบบตัดตรง ทําลายครั้งละ 20 แผ่น</v>
          </cell>
          <cell r="H123" t="str">
            <v>พมจ.ยโสธร</v>
          </cell>
          <cell r="J123" t="str">
            <v>ยโสธร</v>
          </cell>
          <cell r="L123">
            <v>29700</v>
          </cell>
        </row>
        <row r="124">
          <cell r="B124">
            <v>2570</v>
          </cell>
          <cell r="C124" t="str">
            <v>ครุภัณฑ์สำนักงาน</v>
          </cell>
          <cell r="G124" t="str">
            <v>เครื่องทําลายเอกสาร แบบตัดตรง ทําลายครั้งละ 20 แผ่น</v>
          </cell>
          <cell r="H124" t="str">
            <v>พมจ.มุกดาหาร</v>
          </cell>
          <cell r="J124" t="str">
            <v>มุกดาหาร</v>
          </cell>
          <cell r="L124">
            <v>29700</v>
          </cell>
        </row>
        <row r="125">
          <cell r="B125">
            <v>2570</v>
          </cell>
          <cell r="C125" t="str">
            <v>ครุภัณฑ์สำนักงาน</v>
          </cell>
          <cell r="G125" t="str">
            <v>เครื่องทําลายเอกสาร แบบตัดตรง ทําลายครั้งละ 30 แผ่น</v>
          </cell>
          <cell r="H125" t="str">
            <v>พมจ.กาญจนบุรี</v>
          </cell>
          <cell r="J125" t="str">
            <v>กาญจนบุรี</v>
          </cell>
          <cell r="L125">
            <v>63000</v>
          </cell>
        </row>
        <row r="126">
          <cell r="B126">
            <v>2570</v>
          </cell>
          <cell r="C126" t="str">
            <v>ครุภัณฑ์สำนักงาน</v>
          </cell>
          <cell r="G126" t="str">
            <v>เครื่องทําลายเอกสาร แบบตัดตรง ทําลายครั้งละ 30 แผ่น</v>
          </cell>
          <cell r="H126" t="str">
            <v>พมจ.มุกดาหาร</v>
          </cell>
          <cell r="J126" t="str">
            <v>มุกดาหาร</v>
          </cell>
          <cell r="L126">
            <v>63000</v>
          </cell>
        </row>
        <row r="127">
          <cell r="B127">
            <v>2570</v>
          </cell>
          <cell r="C127" t="str">
            <v>ครุภัณฑ์สำนักงาน</v>
          </cell>
          <cell r="G127" t="str">
            <v>เครื่องทําลายเอกสาร แบบตัดตรง ทําลายครั้งละ 10 แผ่น</v>
          </cell>
          <cell r="H127" t="str">
            <v>พมจ.ยโสธร</v>
          </cell>
          <cell r="J127" t="str">
            <v>ยโสธร</v>
          </cell>
          <cell r="L127">
            <v>18200</v>
          </cell>
        </row>
        <row r="128">
          <cell r="B128">
            <v>2570</v>
          </cell>
          <cell r="C128" t="str">
            <v>ครุภัณฑ์สำนักงาน</v>
          </cell>
          <cell r="G128" t="str">
            <v>เครื่องเจาะกระดาษไฟฟ้าและเข้าเล่มมือโยก</v>
          </cell>
          <cell r="H128" t="str">
            <v>พมจ.เลย</v>
          </cell>
          <cell r="J128" t="str">
            <v>เลย</v>
          </cell>
          <cell r="L128">
            <v>18200</v>
          </cell>
        </row>
        <row r="129">
          <cell r="B129">
            <v>2570</v>
          </cell>
          <cell r="C129" t="str">
            <v>ครุภัณฑ์สำนักงาน</v>
          </cell>
          <cell r="G129" t="str">
            <v>ตู้เหล็ก แบบ 2 บาน</v>
          </cell>
          <cell r="H129" t="str">
            <v>พมจ.ปทุมธานี</v>
          </cell>
          <cell r="J129" t="str">
            <v>ปทุมธานี</v>
          </cell>
          <cell r="L129">
            <v>52800</v>
          </cell>
        </row>
        <row r="130">
          <cell r="B130">
            <v>2570</v>
          </cell>
          <cell r="C130" t="str">
            <v>ครุภัณฑ์สำนักงาน</v>
          </cell>
          <cell r="G130" t="str">
            <v>ตู้เหล็ก แบบ 2 บาน</v>
          </cell>
          <cell r="H130" t="str">
            <v>พมจ.นครนายก</v>
          </cell>
          <cell r="J130" t="str">
            <v>นครนายก</v>
          </cell>
          <cell r="L130">
            <v>39600</v>
          </cell>
        </row>
        <row r="131">
          <cell r="B131">
            <v>2570</v>
          </cell>
          <cell r="C131" t="str">
            <v>ครุภัณฑ์สำนักงาน</v>
          </cell>
          <cell r="G131" t="str">
            <v>ตู้เหล็ก แบบ 2 บาน</v>
          </cell>
          <cell r="H131" t="str">
            <v>พมจ.หนองบัวลำภู</v>
          </cell>
          <cell r="J131" t="str">
            <v>หนองบัวลำภู</v>
          </cell>
          <cell r="L131">
            <v>66000</v>
          </cell>
        </row>
        <row r="132">
          <cell r="B132">
            <v>2570</v>
          </cell>
          <cell r="C132" t="str">
            <v>ครุภัณฑ์สำนักงาน</v>
          </cell>
          <cell r="G132" t="str">
            <v>ตู้เหล็ก แบบ 2 บาน</v>
          </cell>
          <cell r="H132" t="str">
            <v>พมจ.ชลบุรี</v>
          </cell>
          <cell r="J132" t="str">
            <v>ชลบุรี</v>
          </cell>
          <cell r="L132">
            <v>33000</v>
          </cell>
        </row>
        <row r="133">
          <cell r="B133">
            <v>2570</v>
          </cell>
          <cell r="C133" t="str">
            <v>ครุภัณฑ์สำนักงาน</v>
          </cell>
          <cell r="G133" t="str">
            <v>ตู้เหล็ก แบบ 2 บาน</v>
          </cell>
          <cell r="H133" t="str">
            <v>พมจ.อำนาจเจริญ</v>
          </cell>
          <cell r="J133" t="str">
            <v>อำนาจเจริญ</v>
          </cell>
          <cell r="L133">
            <v>33000</v>
          </cell>
        </row>
        <row r="134">
          <cell r="B134">
            <v>2570</v>
          </cell>
          <cell r="C134" t="str">
            <v>ครุภัณฑ์สำนักงาน</v>
          </cell>
          <cell r="G134" t="str">
            <v>ตู้เหล็ก แบบ 2 บาน</v>
          </cell>
          <cell r="H134" t="str">
            <v>พมจ.หนองบัวลำภู</v>
          </cell>
          <cell r="J134" t="str">
            <v>หนองบัวลำภู</v>
          </cell>
          <cell r="L134">
            <v>66000</v>
          </cell>
        </row>
        <row r="135">
          <cell r="B135">
            <v>2570</v>
          </cell>
          <cell r="C135" t="str">
            <v>ครุภัณฑ์สำนักงาน</v>
          </cell>
          <cell r="G135" t="str">
            <v>ตู้เหล็ก แบบ 2 บาน</v>
          </cell>
          <cell r="H135" t="str">
            <v>พมจ.เลย</v>
          </cell>
          <cell r="J135" t="str">
            <v>เลย</v>
          </cell>
          <cell r="L135">
            <v>13200</v>
          </cell>
        </row>
        <row r="136">
          <cell r="B136">
            <v>2570</v>
          </cell>
          <cell r="C136" t="str">
            <v>ครุภัณฑ์สำนักงาน</v>
          </cell>
          <cell r="G136" t="str">
            <v>ตู้เหล็ก แบบ 4 ลิ้นชัก</v>
          </cell>
          <cell r="H136" t="str">
            <v>พมจ.หนองบัวลำภู</v>
          </cell>
          <cell r="J136" t="str">
            <v>หนองบัวลำภู</v>
          </cell>
          <cell r="L136">
            <v>72000</v>
          </cell>
        </row>
        <row r="137">
          <cell r="B137">
            <v>2570</v>
          </cell>
          <cell r="C137" t="str">
            <v>ครุภัณฑ์สำนักงาน</v>
          </cell>
          <cell r="G137" t="str">
            <v>ตู้เหล็ก แบบ 4 ลิ้นชัก</v>
          </cell>
          <cell r="H137" t="str">
            <v>พมจ.กาฬสินธุ์</v>
          </cell>
          <cell r="J137" t="str">
            <v>กาฬสินธุ์</v>
          </cell>
          <cell r="L137">
            <v>14400</v>
          </cell>
        </row>
        <row r="138">
          <cell r="B138">
            <v>2570</v>
          </cell>
          <cell r="C138" t="str">
            <v>ครุภัณฑ์สำนักงาน</v>
          </cell>
          <cell r="G138" t="str">
            <v>ตู้เหล็ก แบบ 4 ลิ้นชัก</v>
          </cell>
          <cell r="H138" t="str">
            <v>พมจ.อำนาจเจริญ</v>
          </cell>
          <cell r="J138" t="str">
            <v>อำนาจเจริญ</v>
          </cell>
          <cell r="L138">
            <v>36000</v>
          </cell>
        </row>
        <row r="139">
          <cell r="B139">
            <v>2570</v>
          </cell>
          <cell r="C139" t="str">
            <v>ครุภัณฑ์สำนักงาน</v>
          </cell>
          <cell r="G139" t="str">
            <v xml:space="preserve">โต๊ะทำงานเหล็กสำหรับเจ้าหน้าที่ ขนาด 4 ฟุต </v>
          </cell>
          <cell r="H139" t="str">
            <v>พมจ.ตราด</v>
          </cell>
          <cell r="J139" t="str">
            <v>ตราด</v>
          </cell>
          <cell r="L139">
            <v>62900</v>
          </cell>
        </row>
        <row r="140">
          <cell r="B140">
            <v>2570</v>
          </cell>
          <cell r="C140" t="str">
            <v>ครุภัณฑ์สำนักงาน</v>
          </cell>
          <cell r="G140" t="str">
            <v xml:space="preserve">โต๊ะทำงานเหล็กสำหรับเจ้าหน้าที่ ขนาด 4 ฟุต </v>
          </cell>
          <cell r="H140" t="str">
            <v>พมจ.นนทบุรี</v>
          </cell>
          <cell r="J140" t="str">
            <v>นนทบุรี</v>
          </cell>
          <cell r="L140">
            <v>150000</v>
          </cell>
        </row>
        <row r="141">
          <cell r="B141">
            <v>2570</v>
          </cell>
          <cell r="C141" t="str">
            <v>ครุภัณฑ์สำนักงาน</v>
          </cell>
          <cell r="G141" t="str">
            <v xml:space="preserve">โต๊ะทำงานเหล็กสำหรับเจ้าหน้าที่ ขนาด 4 ฟุต </v>
          </cell>
          <cell r="H141" t="str">
            <v>พมจ.นราธิวาส</v>
          </cell>
          <cell r="J141" t="str">
            <v>นราธิวาส</v>
          </cell>
          <cell r="L141">
            <v>89880</v>
          </cell>
        </row>
        <row r="142">
          <cell r="B142">
            <v>2570</v>
          </cell>
          <cell r="C142" t="str">
            <v>ครุภัณฑ์สำนักงาน</v>
          </cell>
          <cell r="G142" t="str">
            <v xml:space="preserve">โต๊ะทำงานเหล็กสำหรับเจ้าหน้าที่ ขนาด 4 ฟุต </v>
          </cell>
          <cell r="H142" t="str">
            <v>พมจ.อุดรธานี</v>
          </cell>
          <cell r="J142" t="str">
            <v>อุดรธานี</v>
          </cell>
          <cell r="L142">
            <v>140400</v>
          </cell>
        </row>
        <row r="143">
          <cell r="B143">
            <v>2570</v>
          </cell>
          <cell r="C143" t="str">
            <v>ครุภัณฑ์สำนักงาน</v>
          </cell>
          <cell r="G143" t="str">
            <v xml:space="preserve">โต๊ะทำงานเหล็กสำหรับเจ้าหน้าที่ ขนาด 4 ฟุต </v>
          </cell>
          <cell r="H143" t="str">
            <v>พมจ.นครราชสีมา</v>
          </cell>
          <cell r="J143" t="str">
            <v>นครราชสีมา</v>
          </cell>
          <cell r="L143">
            <v>165000</v>
          </cell>
        </row>
        <row r="144">
          <cell r="B144">
            <v>2570</v>
          </cell>
          <cell r="C144" t="str">
            <v>ครุภัณฑ์สำนักงาน</v>
          </cell>
          <cell r="G144" t="str">
            <v>โต๊ะทำงานสำหรับเจ้าหน้าที่</v>
          </cell>
          <cell r="H144" t="str">
            <v>พมจ.ปทุมธานี</v>
          </cell>
          <cell r="J144" t="str">
            <v>ปทุมธานี</v>
          </cell>
          <cell r="L144">
            <v>247500</v>
          </cell>
        </row>
        <row r="145">
          <cell r="B145">
            <v>2570</v>
          </cell>
          <cell r="C145" t="str">
            <v>ครุภัณฑ์สำนักงาน</v>
          </cell>
          <cell r="G145" t="str">
            <v>โต๊ะทำงานสำหรับเจ้าหน้าที่</v>
          </cell>
          <cell r="H145" t="str">
            <v>พมจ.อุดรธานี</v>
          </cell>
          <cell r="J145" t="str">
            <v>อุดรธานี</v>
          </cell>
          <cell r="L145">
            <v>35100</v>
          </cell>
        </row>
        <row r="146">
          <cell r="B146">
            <v>2570</v>
          </cell>
          <cell r="C146" t="str">
            <v>ครุภัณฑ์สำนักงาน</v>
          </cell>
          <cell r="G146" t="str">
            <v>โต๊ะทำงานสำหรับเจ้าหน้าที่</v>
          </cell>
          <cell r="H146" t="str">
            <v>พมจ.ลำปาง</v>
          </cell>
          <cell r="J146" t="str">
            <v>ลำปาง</v>
          </cell>
          <cell r="L146">
            <v>3500</v>
          </cell>
        </row>
        <row r="147">
          <cell r="B147">
            <v>2570</v>
          </cell>
          <cell r="C147" t="str">
            <v>ครุภัณฑ์สำนักงาน</v>
          </cell>
          <cell r="G147" t="str">
            <v>โต๊ะทำงานสำหรับเจ้าหน้าที่</v>
          </cell>
          <cell r="H147" t="str">
            <v>พมจ.ชลบุรี</v>
          </cell>
          <cell r="J147" t="str">
            <v>ชลบุรี</v>
          </cell>
          <cell r="L147">
            <v>132000</v>
          </cell>
        </row>
        <row r="148">
          <cell r="B148">
            <v>2570</v>
          </cell>
          <cell r="C148" t="str">
            <v>ครุภัณฑ์สำนักงาน</v>
          </cell>
          <cell r="G148" t="str">
            <v>โต๊ะทำงานสำหรับเจ้าหน้าที่</v>
          </cell>
          <cell r="H148" t="str">
            <v>พมจ.สุโขทัย</v>
          </cell>
          <cell r="J148" t="str">
            <v>สุโขทัย</v>
          </cell>
          <cell r="L148">
            <v>74030</v>
          </cell>
        </row>
        <row r="149">
          <cell r="B149">
            <v>2570</v>
          </cell>
          <cell r="C149" t="str">
            <v>ครุภัณฑ์สำนักงาน</v>
          </cell>
          <cell r="G149" t="str">
            <v>โต๊ะทำงานสำหรับเจ้าหน้าที่</v>
          </cell>
          <cell r="H149" t="str">
            <v>พมจ.สุพรรณบุรี</v>
          </cell>
          <cell r="J149" t="str">
            <v>สุพรรณบุรี</v>
          </cell>
          <cell r="L149">
            <v>79500</v>
          </cell>
        </row>
        <row r="150">
          <cell r="B150">
            <v>2570</v>
          </cell>
          <cell r="C150" t="str">
            <v>ครุภัณฑ์สำนักงาน</v>
          </cell>
          <cell r="G150" t="str">
            <v>โต๊ะทำงานสำหรับเจ้าหน้าที่</v>
          </cell>
          <cell r="H150" t="str">
            <v>พมจ.อ่างทอง</v>
          </cell>
          <cell r="J150" t="str">
            <v>อ่างทอง</v>
          </cell>
          <cell r="L150">
            <v>38000</v>
          </cell>
        </row>
        <row r="151">
          <cell r="B151">
            <v>2570</v>
          </cell>
          <cell r="C151" t="str">
            <v>ครุภัณฑ์สำนักงาน</v>
          </cell>
          <cell r="G151" t="str">
            <v>โต๊ะทำงานสำหรับเจ้าหน้าที่</v>
          </cell>
          <cell r="H151" t="str">
            <v>พมจ.เชียงราย</v>
          </cell>
          <cell r="J151" t="str">
            <v>เชียงราย</v>
          </cell>
          <cell r="L151">
            <v>50000</v>
          </cell>
        </row>
        <row r="152">
          <cell r="B152">
            <v>2570</v>
          </cell>
          <cell r="C152" t="str">
            <v>ครุภัณฑ์สำนักงาน</v>
          </cell>
          <cell r="G152" t="str">
            <v>โต๊ะประชุมพร้อมเก้าอี้</v>
          </cell>
          <cell r="H152" t="str">
            <v>พมจ.สุโขทัย</v>
          </cell>
          <cell r="J152" t="str">
            <v>สุโขทัย</v>
          </cell>
          <cell r="L152">
            <v>110570</v>
          </cell>
        </row>
        <row r="153">
          <cell r="B153">
            <v>2570</v>
          </cell>
          <cell r="C153" t="str">
            <v>ครุภัณฑ์สำนักงาน</v>
          </cell>
          <cell r="G153" t="str">
            <v>โต๊ะห้องประชุม</v>
          </cell>
          <cell r="H153" t="str">
            <v>พมจ.ตราด</v>
          </cell>
          <cell r="J153" t="str">
            <v>ตราด</v>
          </cell>
          <cell r="L153">
            <v>13980</v>
          </cell>
        </row>
        <row r="154">
          <cell r="B154">
            <v>2570</v>
          </cell>
          <cell r="C154" t="str">
            <v>ครุภัณฑ์สำนักงาน</v>
          </cell>
          <cell r="G154" t="str">
            <v>โต๊ะห้องประชุม</v>
          </cell>
          <cell r="H154" t="str">
            <v>พมจ.ตรัง</v>
          </cell>
          <cell r="J154" t="str">
            <v>ตรัง</v>
          </cell>
          <cell r="L154">
            <v>9800</v>
          </cell>
        </row>
        <row r="155">
          <cell r="B155">
            <v>2570</v>
          </cell>
          <cell r="C155" t="str">
            <v>ครุภัณฑ์สำนักงาน</v>
          </cell>
          <cell r="G155" t="str">
            <v>โต๊ะห้องประชุม</v>
          </cell>
          <cell r="H155" t="str">
            <v>พมจ.มหาสารคาม</v>
          </cell>
          <cell r="J155" t="str">
            <v>มหาสารคาม</v>
          </cell>
          <cell r="L155">
            <v>22400</v>
          </cell>
        </row>
        <row r="156">
          <cell r="B156">
            <v>2570</v>
          </cell>
          <cell r="C156" t="str">
            <v>ครุภัณฑ์สำนักงาน</v>
          </cell>
          <cell r="G156" t="str">
            <v>โต๊ะห้องประชุมโล่ง</v>
          </cell>
          <cell r="H156" t="str">
            <v>พมจ.มหาสารคาม</v>
          </cell>
          <cell r="J156" t="str">
            <v>มหาสารคาม</v>
          </cell>
          <cell r="L156">
            <v>2200</v>
          </cell>
        </row>
        <row r="157">
          <cell r="B157">
            <v>2570</v>
          </cell>
          <cell r="C157" t="str">
            <v>ครุภัณฑ์สำนักงาน</v>
          </cell>
          <cell r="G157" t="str">
            <v>โต๊ะพับอเนกประสงค์หน้าขาวขาโครเมียม ขนาด 60x150x75 cm</v>
          </cell>
          <cell r="H157" t="str">
            <v>พมจ.ศรีสะเกษ</v>
          </cell>
          <cell r="J157" t="str">
            <v>ศรีสะเกษ</v>
          </cell>
          <cell r="L157">
            <v>18000</v>
          </cell>
        </row>
        <row r="158">
          <cell r="B158">
            <v>2570</v>
          </cell>
          <cell r="C158" t="str">
            <v>ครุภัณฑ์สำนักงาน</v>
          </cell>
          <cell r="G158" t="str">
            <v>เก้าอี้สำหรับผู้บริหาร</v>
          </cell>
          <cell r="H158" t="str">
            <v>พมจ.ราชบุรี</v>
          </cell>
          <cell r="J158" t="str">
            <v>ราชบุรี</v>
          </cell>
          <cell r="L158">
            <v>13900</v>
          </cell>
        </row>
        <row r="159">
          <cell r="B159">
            <v>2570</v>
          </cell>
          <cell r="C159" t="str">
            <v>ครุภัณฑ์สำนักงาน</v>
          </cell>
          <cell r="G159" t="str">
            <v>เก้าอี้ทำงานสำหรับเจ้าหน้าที่</v>
          </cell>
          <cell r="H159" t="str">
            <v>พมจ.ตราด</v>
          </cell>
          <cell r="J159" t="str">
            <v>ตราด</v>
          </cell>
          <cell r="L159">
            <v>52350</v>
          </cell>
        </row>
        <row r="160">
          <cell r="B160">
            <v>2570</v>
          </cell>
          <cell r="C160" t="str">
            <v>ครุภัณฑ์สำนักงาน</v>
          </cell>
          <cell r="G160" t="str">
            <v>เก้าอี้ทำงานสำหรับเจ้าหน้าที่</v>
          </cell>
          <cell r="H160" t="str">
            <v>พมจ.มุกดาหาร</v>
          </cell>
          <cell r="J160" t="str">
            <v>มุกดาหาร</v>
          </cell>
          <cell r="L160">
            <v>42000</v>
          </cell>
        </row>
        <row r="161">
          <cell r="B161">
            <v>2570</v>
          </cell>
          <cell r="C161" t="str">
            <v>ครุภัณฑ์สำนักงาน</v>
          </cell>
          <cell r="G161" t="str">
            <v>เก้าอี้ทำงานสำหรับเจ้าหน้าที่</v>
          </cell>
          <cell r="H161" t="str">
            <v>พมจ.อุบลราชธานี</v>
          </cell>
          <cell r="J161" t="str">
            <v>อุบลราชธานี</v>
          </cell>
          <cell r="L161">
            <v>116000</v>
          </cell>
        </row>
        <row r="162">
          <cell r="B162">
            <v>2570</v>
          </cell>
          <cell r="C162" t="str">
            <v>ครุภัณฑ์สำนักงาน</v>
          </cell>
          <cell r="G162" t="str">
            <v>เก้าอี้ทำงานสำหรับเจ้าหน้าที่</v>
          </cell>
          <cell r="H162" t="str">
            <v>พมจ.ลำปาง</v>
          </cell>
          <cell r="J162" t="str">
            <v>ลำปาง</v>
          </cell>
          <cell r="L162">
            <v>14900</v>
          </cell>
        </row>
        <row r="163">
          <cell r="B163">
            <v>2570</v>
          </cell>
          <cell r="C163" t="str">
            <v>ครุภัณฑ์สำนักงาน</v>
          </cell>
          <cell r="G163" t="str">
            <v>เก้าอี้ทำงานสำหรับเจ้าหน้าที่</v>
          </cell>
          <cell r="H163" t="str">
            <v>พมจ.นราธิวาส</v>
          </cell>
          <cell r="J163" t="str">
            <v>นราธิวาส</v>
          </cell>
          <cell r="L163">
            <v>85600</v>
          </cell>
        </row>
        <row r="164">
          <cell r="B164">
            <v>2570</v>
          </cell>
          <cell r="C164" t="str">
            <v>ครุภัณฑ์สำนักงาน</v>
          </cell>
          <cell r="G164" t="str">
            <v>เก้าอี้ทำงานสำหรับเจ้าหน้าที่</v>
          </cell>
          <cell r="H164" t="str">
            <v>พมจ.กาฬสินธุ์</v>
          </cell>
          <cell r="J164" t="str">
            <v>กาฬสินธุ์</v>
          </cell>
          <cell r="L164">
            <v>126000</v>
          </cell>
        </row>
        <row r="165">
          <cell r="B165">
            <v>2570</v>
          </cell>
          <cell r="C165" t="str">
            <v>ครุภัณฑ์สำนักงาน</v>
          </cell>
          <cell r="G165" t="str">
            <v>เก้าอี้ทำงานสำหรับเจ้าหน้าที่</v>
          </cell>
          <cell r="H165" t="str">
            <v>พมจ.สุพรรณบุรี</v>
          </cell>
          <cell r="J165" t="str">
            <v>สุพรรณบุรี</v>
          </cell>
          <cell r="L165">
            <v>10000</v>
          </cell>
        </row>
        <row r="166">
          <cell r="B166">
            <v>2570</v>
          </cell>
          <cell r="C166" t="str">
            <v>ครุภัณฑ์สำนักงาน</v>
          </cell>
          <cell r="G166" t="str">
            <v>เก้าอี้ทำงานสำหรับเจ้าหน้าที่</v>
          </cell>
          <cell r="H166" t="str">
            <v>พมจ.สุโขทัย</v>
          </cell>
          <cell r="J166" t="str">
            <v>สุโขทัย</v>
          </cell>
          <cell r="L166">
            <v>45810</v>
          </cell>
        </row>
        <row r="167">
          <cell r="B167">
            <v>2570</v>
          </cell>
          <cell r="C167" t="str">
            <v>ครุภัณฑ์สำนักงาน</v>
          </cell>
          <cell r="G167" t="str">
            <v>เก้าอี้ทำงานสำหรับเจ้าหน้าที่</v>
          </cell>
          <cell r="H167" t="str">
            <v>พมจ.เชียงราย</v>
          </cell>
          <cell r="J167" t="str">
            <v>เชียงราย</v>
          </cell>
          <cell r="L167">
            <v>60000</v>
          </cell>
        </row>
        <row r="168">
          <cell r="B168">
            <v>2570</v>
          </cell>
          <cell r="C168" t="str">
            <v>ครุภัณฑ์สำนักงาน</v>
          </cell>
          <cell r="G168" t="str">
            <v>เก้าอี้เหล็กบุนวม</v>
          </cell>
          <cell r="H168" t="str">
            <v>พมจ.สุพรรณบุรี</v>
          </cell>
          <cell r="J168" t="str">
            <v>สุพรรณบุรี</v>
          </cell>
          <cell r="L168">
            <v>22500</v>
          </cell>
        </row>
        <row r="169">
          <cell r="B169">
            <v>2570</v>
          </cell>
          <cell r="C169" t="str">
            <v>ครุภัณฑ์สำนักงาน</v>
          </cell>
          <cell r="G169" t="str">
            <v>เก้าอี้เหล็กบุนวม</v>
          </cell>
          <cell r="H169" t="str">
            <v>พมจ.ราชบุรี</v>
          </cell>
          <cell r="J169" t="str">
            <v>ราชบุรี</v>
          </cell>
          <cell r="L169">
            <v>3400</v>
          </cell>
        </row>
        <row r="170">
          <cell r="B170">
            <v>2570</v>
          </cell>
          <cell r="C170" t="str">
            <v>ครุภัณฑ์สำนักงาน</v>
          </cell>
          <cell r="G170" t="str">
            <v>เก้าอี้เหล็กบุนวม</v>
          </cell>
          <cell r="H170" t="str">
            <v xml:space="preserve">พมจ.สุรินทร์ </v>
          </cell>
          <cell r="J170" t="str">
            <v xml:space="preserve">สุรินทร์ </v>
          </cell>
          <cell r="L170">
            <v>13800</v>
          </cell>
        </row>
        <row r="171">
          <cell r="B171">
            <v>2570</v>
          </cell>
          <cell r="C171" t="str">
            <v>ครุภัณฑ์สำนักงาน</v>
          </cell>
          <cell r="G171" t="str">
            <v>เก้าอี้ห้องประชุม</v>
          </cell>
          <cell r="H171" t="str">
            <v>พมจ.ตราด</v>
          </cell>
          <cell r="J171" t="str">
            <v>ตราด</v>
          </cell>
          <cell r="L171">
            <v>32890</v>
          </cell>
        </row>
        <row r="172">
          <cell r="B172">
            <v>2570</v>
          </cell>
          <cell r="C172" t="str">
            <v>ครุภัณฑ์สำนักงาน</v>
          </cell>
          <cell r="G172" t="str">
            <v>เก้าอี้ห้องประชุม</v>
          </cell>
          <cell r="H172" t="str">
            <v>พมจ.ตรัง</v>
          </cell>
          <cell r="J172" t="str">
            <v>ตรัง</v>
          </cell>
          <cell r="L172">
            <v>66000</v>
          </cell>
        </row>
        <row r="173">
          <cell r="B173">
            <v>2570</v>
          </cell>
          <cell r="C173" t="str">
            <v>ครุภัณฑ์สำนักงาน</v>
          </cell>
          <cell r="G173" t="str">
            <v>เก้าอี้ห้องประชุม</v>
          </cell>
          <cell r="H173" t="str">
            <v>พมจ.นราธิวาส</v>
          </cell>
          <cell r="J173" t="str">
            <v>นราธิวาส</v>
          </cell>
          <cell r="L173">
            <v>85600</v>
          </cell>
        </row>
        <row r="174">
          <cell r="B174">
            <v>2570</v>
          </cell>
          <cell r="C174" t="str">
            <v>ครุภัณฑ์สำนักงาน</v>
          </cell>
          <cell r="G174" t="str">
            <v>เก้าอี้ห้องประชุม</v>
          </cell>
          <cell r="H174" t="str">
            <v>พมจ.มหาสารคาม</v>
          </cell>
          <cell r="J174" t="str">
            <v>มหาสารคาม</v>
          </cell>
          <cell r="L174">
            <v>24000</v>
          </cell>
        </row>
        <row r="175">
          <cell r="B175">
            <v>2570</v>
          </cell>
          <cell r="C175" t="str">
            <v>ครุภัณฑ์สำนักงาน</v>
          </cell>
          <cell r="G175" t="str">
            <v>โต๊ะพร้อมเก้าอี้สำหรับผู้มาติดต่อราชการ</v>
          </cell>
          <cell r="H175" t="str">
            <v>พมจ.ราชบุรี</v>
          </cell>
          <cell r="J175" t="str">
            <v>ราชบุรี</v>
          </cell>
          <cell r="L175">
            <v>22500</v>
          </cell>
        </row>
        <row r="176">
          <cell r="B176">
            <v>2570</v>
          </cell>
          <cell r="C176" t="str">
            <v>ครุภัณฑ์สำนักงาน</v>
          </cell>
          <cell r="G176" t="str">
            <v>เครื่องปรับอากาศ แบบแยกส่วน (ราคารวมค่าติดตั้ง) แบบตั้งพื้นหรือแบบแขวน (ระบบ Inverter) ขนาด 18000 บีทียู</v>
          </cell>
          <cell r="H176" t="str">
            <v>พมจ.ประจวบคีรีขันธ์</v>
          </cell>
          <cell r="J176" t="str">
            <v>ประจวบคีรีขันธ์</v>
          </cell>
          <cell r="L176">
            <v>33500</v>
          </cell>
        </row>
        <row r="177">
          <cell r="B177">
            <v>2570</v>
          </cell>
          <cell r="C177" t="str">
            <v>ครุภัณฑ์สำนักงาน</v>
          </cell>
          <cell r="G177" t="str">
            <v>เครื่องปรับอากาศ แบบแยกส่วน (ราคารวมค่าติดตั้ง) แบบติดผนัง (ระบบ Inverter) ขนาด 18000 บีทียู</v>
          </cell>
          <cell r="H177" t="str">
            <v>พมจ.นนทบุรี</v>
          </cell>
          <cell r="J177" t="str">
            <v>นนทบุรี</v>
          </cell>
          <cell r="L177">
            <v>195300</v>
          </cell>
        </row>
        <row r="178">
          <cell r="B178">
            <v>2570</v>
          </cell>
          <cell r="C178" t="str">
            <v>ครุภัณฑ์สำนักงาน</v>
          </cell>
          <cell r="G178" t="str">
            <v>เครื่องปรับอากาศ แบบแยกส่วน (ราคารวมค่าติดตั้ง) แบบตั้งพื้นหรือแบบแขวน ขนาด 18000 บีทียู</v>
          </cell>
          <cell r="H178" t="str">
            <v>พมจ.ตราด</v>
          </cell>
          <cell r="J178" t="str">
            <v>ตราด</v>
          </cell>
          <cell r="L178">
            <v>28600</v>
          </cell>
        </row>
        <row r="179">
          <cell r="B179">
            <v>2570</v>
          </cell>
          <cell r="C179" t="str">
            <v>ครุภัณฑ์สำนักงาน</v>
          </cell>
          <cell r="G179" t="str">
            <v>เครื่องปรับอากาศ แบบแยกส่วน (ราคารวมค่าติดตั้ง) แบบตั้งพื้นหรือแบบแขวน ขนาด 20000 บีทียู</v>
          </cell>
          <cell r="H179" t="str">
            <v>พมจ.นครศรีธรรมราช</v>
          </cell>
          <cell r="J179" t="str">
            <v>นครศรีธรรมราช</v>
          </cell>
          <cell r="L179">
            <v>61800</v>
          </cell>
        </row>
        <row r="180">
          <cell r="B180">
            <v>2570</v>
          </cell>
          <cell r="C180" t="str">
            <v>ครุภัณฑ์สำนักงาน</v>
          </cell>
          <cell r="G180" t="str">
            <v>เครื่องปรับอากาศ แบบแยกส่วน (ราคารวมค่าติดตั้ง) แบบตั้งพื้นหรือแบบแขวน ขนาด 20000 บีทียู</v>
          </cell>
          <cell r="H180" t="str">
            <v>พมจ.อ่างทอง</v>
          </cell>
          <cell r="J180" t="str">
            <v>อ่างทอง</v>
          </cell>
          <cell r="L180">
            <v>30900</v>
          </cell>
        </row>
        <row r="181">
          <cell r="B181">
            <v>2570</v>
          </cell>
          <cell r="C181" t="str">
            <v>ครุภัณฑ์สำนักงาน</v>
          </cell>
          <cell r="G181" t="str">
            <v>เครื่องปรับอากาศ แบบแยกส่วน (ราคารวมค่าติดตั้ง) แบบติดผนัง (ระบบ Inverter) ขนาด 24000 บีทียู</v>
          </cell>
          <cell r="H181" t="str">
            <v>พมจ.ชลบุรี</v>
          </cell>
          <cell r="J181" t="str">
            <v>ชลบุรี</v>
          </cell>
          <cell r="L181">
            <v>227400</v>
          </cell>
        </row>
        <row r="182">
          <cell r="B182">
            <v>2570</v>
          </cell>
          <cell r="C182" t="str">
            <v>ครุภัณฑ์สำนักงาน</v>
          </cell>
          <cell r="G182" t="str">
            <v>เครื่องปรับอากาศ แบบแยกส่วน (ราคารวมค่าติดตั้ง) แบบติดพนัง  (ระบบ Inverter) ขนาด 24000 บีทียู</v>
          </cell>
          <cell r="H182" t="str">
            <v>พมจ.สมุทรปราการ</v>
          </cell>
          <cell r="J182" t="str">
            <v>สมุทรปราการ</v>
          </cell>
          <cell r="L182">
            <v>37900</v>
          </cell>
        </row>
        <row r="183">
          <cell r="B183">
            <v>2570</v>
          </cell>
          <cell r="C183" t="str">
            <v>ครุภัณฑ์สำนักงาน</v>
          </cell>
          <cell r="G183" t="str">
            <v>เครื่องปรับอากาศ แบบแยกส่วน (ราคารวมค่าติดตั้ง) แบบตั้งพื้นหรือแบบแขวน (ระบบ Inverter) ขนาด 24000 บีทียู</v>
          </cell>
          <cell r="H183" t="str">
            <v>พมจ.อุบลราชธานี</v>
          </cell>
          <cell r="J183" t="str">
            <v>อุบลราชธานี</v>
          </cell>
          <cell r="L183">
            <v>204500</v>
          </cell>
        </row>
        <row r="184">
          <cell r="B184">
            <v>2570</v>
          </cell>
          <cell r="C184" t="str">
            <v>ครุภัณฑ์สำนักงาน</v>
          </cell>
          <cell r="G184" t="str">
            <v>เครื่องปรับอากาศ แบบแยกส่วน (ราคารวมค่าติดตั้ง) แบบตั้งพื้นหรือแบบแขวน (ระบบ Inverter) ขนาด 24000 บีทียู</v>
          </cell>
          <cell r="H184" t="str">
            <v>พมจ.เชียงราย</v>
          </cell>
          <cell r="J184" t="str">
            <v>เชียงราย</v>
          </cell>
          <cell r="L184">
            <v>81800</v>
          </cell>
        </row>
        <row r="185">
          <cell r="B185">
            <v>2570</v>
          </cell>
          <cell r="C185" t="str">
            <v>ครุภัณฑ์สำนักงาน</v>
          </cell>
          <cell r="G185" t="str">
            <v>เครื่องปรับอากาศ แบบแยกส่วน (ราคารวมค่าติดตั้ง) แบบตั้งพื้นหรือแบบแขวน (ระบบ Inverter) ขนาด 24000 บีทียู</v>
          </cell>
          <cell r="H185" t="str">
            <v>พมจ.ยโสธร</v>
          </cell>
          <cell r="J185" t="str">
            <v>ยโสธร</v>
          </cell>
          <cell r="L185">
            <v>163600</v>
          </cell>
        </row>
        <row r="186">
          <cell r="B186">
            <v>2570</v>
          </cell>
          <cell r="C186" t="str">
            <v>ครุภัณฑ์สำนักงาน</v>
          </cell>
          <cell r="G186" t="str">
            <v>เครื่องปรับอากาศ แบบแยกส่วน (ราคารวมค่าติดตั้ง) แบบตั้งพื้นหรือแบบแขวน ขนาด 26000 บีทียู</v>
          </cell>
          <cell r="H186" t="str">
            <v>พมจ.ปทุมธานี</v>
          </cell>
          <cell r="J186" t="str">
            <v>ปทุมธานี</v>
          </cell>
          <cell r="L186">
            <v>290400</v>
          </cell>
        </row>
        <row r="187">
          <cell r="B187">
            <v>2570</v>
          </cell>
          <cell r="C187" t="str">
            <v>ครุภัณฑ์สำนักงาน</v>
          </cell>
          <cell r="G187" t="str">
            <v>เครื่องปรับอากาศ แบบแยกส่วน (ราคารวมค่าติดตั้ง) แบบตั้งพื้นหรือแบบแขวน (ระบบ Inverter) ขนาด 30000 บีทียู</v>
          </cell>
          <cell r="H187" t="str">
            <v>พมจ.กาฬสินธุ์</v>
          </cell>
          <cell r="J187" t="str">
            <v>กาฬสินธุ์</v>
          </cell>
          <cell r="L187">
            <v>435000</v>
          </cell>
        </row>
        <row r="188">
          <cell r="B188">
            <v>2570</v>
          </cell>
          <cell r="C188" t="str">
            <v>ครุภัณฑ์สำนักงาน</v>
          </cell>
          <cell r="G188" t="str">
            <v>เครื่องปรับอากาศ แบบแยกส่วน (ราคารวมค่าติดตั้ง) แบบตั้งพื้นหรือแบบแขวน (ระบบ Inverter) ขนาด 36000 บีทียู</v>
          </cell>
          <cell r="H188" t="str">
            <v>พมจ.สุพรรณบุรี</v>
          </cell>
          <cell r="J188" t="str">
            <v>สุพรรณบุรี</v>
          </cell>
          <cell r="L188">
            <v>428800</v>
          </cell>
        </row>
        <row r="189">
          <cell r="B189">
            <v>2570</v>
          </cell>
          <cell r="C189" t="str">
            <v>ครุภัณฑ์สำนักงาน</v>
          </cell>
          <cell r="G189" t="str">
            <v>เครื่องปรับอากาศ แบบแยกส่วน (ราคารวมค่าติดตั้ง) แบบตั้งพื้นหรือแบบแขวน (ระบบ Inverter) ขนาด 36000 บีทียู</v>
          </cell>
          <cell r="H189" t="str">
            <v>พมจ.สตูล</v>
          </cell>
          <cell r="J189" t="str">
            <v>สตูล</v>
          </cell>
          <cell r="L189">
            <v>53600</v>
          </cell>
        </row>
        <row r="190">
          <cell r="B190">
            <v>2570</v>
          </cell>
          <cell r="C190" t="str">
            <v>ครุภัณฑ์สำนักงาน</v>
          </cell>
          <cell r="G190" t="str">
            <v>เครื่องปรับอากาศ แบบแยกส่วน (ราคารวมค่าติดตั้ง) แบบตั้งพื้นหรือแบบแขวน (ระบบ Inverter) ขนาด 40000 บีทียู</v>
          </cell>
          <cell r="H190" t="str">
            <v>พมจ.นครราชสีมา</v>
          </cell>
          <cell r="J190" t="str">
            <v>นครราชสีมา</v>
          </cell>
          <cell r="L190">
            <v>165000</v>
          </cell>
        </row>
        <row r="191">
          <cell r="B191">
            <v>2570</v>
          </cell>
          <cell r="C191" t="str">
            <v>ครุภัณฑ์สำนักงาน</v>
          </cell>
          <cell r="G191" t="str">
            <v>เครื่องปรับอากาศ แบบแยกส่วน (ราคารวมค่าติดตั้ง) แบบตั้งพื้นหรือแบบแขวน (ระบบ Inverter) ขนาด 40000 บีทียู</v>
          </cell>
          <cell r="H191" t="str">
            <v>พมจ.สระบุรี</v>
          </cell>
          <cell r="J191" t="str">
            <v>สระบุรี</v>
          </cell>
          <cell r="L191">
            <v>163200</v>
          </cell>
        </row>
        <row r="192">
          <cell r="B192">
            <v>2570</v>
          </cell>
          <cell r="C192" t="str">
            <v>ครุภัณฑ์สำนักงาน</v>
          </cell>
          <cell r="G192" t="str">
            <v>เครื่องฟอกอากาศ แบบฝังใต้เพดาน หรือแบบติดผนัง (ไม่รวมค่าติดตั้ง) ขนาดความเร็วของแรงลมระดับสูงไม่ต่ำกว่า 1000 ซีเอฟเอ็ม</v>
          </cell>
          <cell r="H192" t="str">
            <v>พมจ.เชียงใหม่</v>
          </cell>
          <cell r="J192" t="str">
            <v>เชียงใหม่</v>
          </cell>
          <cell r="L192">
            <v>217600</v>
          </cell>
        </row>
        <row r="193">
          <cell r="B193">
            <v>2570</v>
          </cell>
          <cell r="C193" t="str">
            <v>ครุภัณฑ์สำนักงาน</v>
          </cell>
          <cell r="G193" t="str">
            <v>เครื่องสแกนลายนิ้วมือชนิดบันทึกเวลาเข้าออกงาน</v>
          </cell>
          <cell r="H193" t="str">
            <v>พมจ.สุรินทร์</v>
          </cell>
          <cell r="J193" t="str">
            <v>สุรินทร์</v>
          </cell>
          <cell r="L193">
            <v>8000</v>
          </cell>
        </row>
        <row r="194">
          <cell r="B194">
            <v>2570</v>
          </cell>
          <cell r="C194" t="str">
            <v>ครุภัณฑ์สำนักงาน</v>
          </cell>
          <cell r="G194" t="str">
            <v>โต๊ะหมู่บูชา</v>
          </cell>
          <cell r="H194" t="str">
            <v xml:space="preserve">พมจ.สุรินทร์ </v>
          </cell>
          <cell r="J194" t="str">
            <v xml:space="preserve">สุรินทร์ </v>
          </cell>
          <cell r="L194">
            <v>9400</v>
          </cell>
        </row>
        <row r="195">
          <cell r="B195">
            <v>2570</v>
          </cell>
          <cell r="C195" t="str">
            <v>ครุภัณฑ์สำนักงาน</v>
          </cell>
          <cell r="G195" t="str">
            <v>โต๊ะหมู่บูชา</v>
          </cell>
          <cell r="H195" t="str">
            <v>พมจ.เชียงราย</v>
          </cell>
          <cell r="J195" t="str">
            <v>เชียงราย</v>
          </cell>
          <cell r="L195">
            <v>9400</v>
          </cell>
        </row>
        <row r="196">
          <cell r="B196">
            <v>2570</v>
          </cell>
          <cell r="C196" t="str">
            <v>ครุภัณฑ์สำนักงาน</v>
          </cell>
          <cell r="G196" t="str">
            <v xml:space="preserve">ตู้สาขาโทรศัพท์ </v>
          </cell>
          <cell r="H196" t="str">
            <v>พมจ.นครราชสีมา</v>
          </cell>
          <cell r="J196" t="str">
            <v>นครราชสีมา</v>
          </cell>
          <cell r="L196">
            <v>40000</v>
          </cell>
        </row>
        <row r="197">
          <cell r="B197">
            <v>2570</v>
          </cell>
          <cell r="C197" t="str">
            <v>ครุภัณฑ์สำนักงาน</v>
          </cell>
          <cell r="G197" t="str">
            <v xml:space="preserve">ตู้สาขาโทรศัพท์ </v>
          </cell>
          <cell r="H197" t="str">
            <v>พมจ.ยะลา</v>
          </cell>
          <cell r="J197" t="str">
            <v>ยะลา</v>
          </cell>
          <cell r="L197">
            <v>39150</v>
          </cell>
        </row>
        <row r="198">
          <cell r="B198">
            <v>2570</v>
          </cell>
          <cell r="C198" t="str">
            <v>ครุภัณฑ์สำนักงาน</v>
          </cell>
          <cell r="G198" t="str">
            <v>พัดลมติดผนัง</v>
          </cell>
          <cell r="H198" t="str">
            <v>พมจ.กาฬสินธุ์</v>
          </cell>
          <cell r="J198" t="str">
            <v>กาฬสินธุ์</v>
          </cell>
          <cell r="L198">
            <v>18000</v>
          </cell>
        </row>
        <row r="199">
          <cell r="B199">
            <v>2570</v>
          </cell>
          <cell r="C199" t="str">
            <v>ครุภัณฑ์สำนักงาน</v>
          </cell>
          <cell r="G199" t="str">
            <v>พัดลมติดผนัง</v>
          </cell>
          <cell r="H199" t="str">
            <v>พมจ.มหาสารคาม</v>
          </cell>
          <cell r="J199" t="str">
            <v>มหาสารคาม</v>
          </cell>
          <cell r="L199">
            <v>12980</v>
          </cell>
        </row>
        <row r="200">
          <cell r="B200">
            <v>2570</v>
          </cell>
          <cell r="C200" t="str">
            <v>ครุภัณฑ์สำนักงาน</v>
          </cell>
          <cell r="G200" t="str">
            <v xml:space="preserve">พัดลมสไลด์ ขนาด 16 นิ้ว </v>
          </cell>
          <cell r="H200" t="str">
            <v>พมจ.นครสวรรค์</v>
          </cell>
          <cell r="J200" t="str">
            <v>นครสวรรค์</v>
          </cell>
          <cell r="L200">
            <v>3000</v>
          </cell>
        </row>
        <row r="201">
          <cell r="B201">
            <v>2570</v>
          </cell>
          <cell r="C201" t="str">
            <v>ครุภัณฑ์สำนักงาน</v>
          </cell>
          <cell r="G201" t="str">
            <v>เครื่องสแกนลายนิ้วมือชนิดบันทึกเวลาเข้าออกงาน</v>
          </cell>
          <cell r="H201" t="str">
            <v>พมจ.ลพบุรี</v>
          </cell>
          <cell r="J201" t="str">
            <v>ลพบุรี</v>
          </cell>
          <cell r="L201">
            <v>8600</v>
          </cell>
        </row>
        <row r="202">
          <cell r="B202">
            <v>2570</v>
          </cell>
          <cell r="C202" t="str">
            <v>ครุภัณฑ์สำนักงาน</v>
          </cell>
          <cell r="G202" t="str">
            <v>เครื่องสแกนลายนิ้วมือชนิดบันทึกเวลาเข้าออกงาน</v>
          </cell>
          <cell r="H202" t="str">
            <v xml:space="preserve">พมจ.สุรินทร์ </v>
          </cell>
          <cell r="J202" t="str">
            <v xml:space="preserve">สุรินทร์ </v>
          </cell>
          <cell r="L202">
            <v>8600</v>
          </cell>
        </row>
        <row r="203">
          <cell r="B203">
            <v>2570</v>
          </cell>
          <cell r="C203" t="str">
            <v>ครุภัณฑ์สำนักงาน</v>
          </cell>
          <cell r="G203" t="str">
            <v>เครื่องสแกนเนอร์ HP Scanjet Prt 2000s2 Sheet-feed</v>
          </cell>
          <cell r="H203" t="str">
            <v>พมจ.ปทุมธานี</v>
          </cell>
          <cell r="J203" t="str">
            <v>ปทุมธานี</v>
          </cell>
          <cell r="L203">
            <v>54000</v>
          </cell>
        </row>
        <row r="204">
          <cell r="B204">
            <v>2570</v>
          </cell>
          <cell r="C204" t="str">
            <v>ครุภัณฑ์สำนักงาน</v>
          </cell>
          <cell r="G204" t="str">
            <v>เครื่องสแกนเนอร์ HP Scanjet Prt 2000s2 Sheet-feed</v>
          </cell>
          <cell r="H204" t="str">
            <v>พมจ.ปทุมธานี</v>
          </cell>
          <cell r="J204" t="str">
            <v>ปทุมธานี</v>
          </cell>
          <cell r="L204">
            <v>54000</v>
          </cell>
        </row>
        <row r="205">
          <cell r="B205">
            <v>2570</v>
          </cell>
          <cell r="C205" t="str">
            <v>ครุภัณฑ์สำนักงาน</v>
          </cell>
          <cell r="G205" t="str">
            <v>เครื่องสแกนเนอร์ HP Scanjet Prt 2000s2 Sheet-feed</v>
          </cell>
          <cell r="H205" t="str">
            <v>พมจ.สุราษฎร์ธานี</v>
          </cell>
          <cell r="J205" t="str">
            <v>สุราษฎร์ธานี</v>
          </cell>
          <cell r="L205">
            <v>9900</v>
          </cell>
        </row>
        <row r="206">
          <cell r="B206">
            <v>2570</v>
          </cell>
          <cell r="C206" t="str">
            <v>ครุภัณฑ์สำนักงาน</v>
          </cell>
          <cell r="G206" t="str">
            <v>เครื่องสแกนเนอร์สำหรับเก็บเอกสารระดับศูนย์บริการ</v>
          </cell>
          <cell r="H206" t="str">
            <v>พมจ.พะเยา</v>
          </cell>
          <cell r="J206" t="str">
            <v>พะเยา</v>
          </cell>
          <cell r="L206">
            <v>12840</v>
          </cell>
        </row>
        <row r="207">
          <cell r="B207">
            <v>2570</v>
          </cell>
          <cell r="C207" t="str">
            <v>ครุภัณฑ์สำนักงาน</v>
          </cell>
          <cell r="G207" t="str">
            <v>เครื่องสแกนเนอร์สำหรับเก็บเอกสารระดับศูนย์บริการ</v>
          </cell>
          <cell r="H207" t="str">
            <v>พมจ.พะเยา</v>
          </cell>
          <cell r="J207" t="str">
            <v>พะเยา</v>
          </cell>
          <cell r="L207">
            <v>3628</v>
          </cell>
        </row>
        <row r="208">
          <cell r="B208">
            <v>2570</v>
          </cell>
          <cell r="C208" t="str">
            <v>ครุภัณฑ์สำนักงาน</v>
          </cell>
          <cell r="G208" t="str">
            <v xml:space="preserve">ถังดับเพลิง ชนิดผงเคมีแห้ง ขนาด 15 ปอนด์ </v>
          </cell>
          <cell r="H208" t="str">
            <v>พมจ.สุราษฎร์ธานี</v>
          </cell>
          <cell r="J208" t="str">
            <v>สุราษฎร์ธานี</v>
          </cell>
          <cell r="L208">
            <v>3600</v>
          </cell>
        </row>
        <row r="209">
          <cell r="B209">
            <v>2570</v>
          </cell>
          <cell r="C209" t="str">
            <v>ครุภัณฑ์สำนักงาน</v>
          </cell>
          <cell r="G209" t="str">
            <v xml:space="preserve">ถังดับเพลิง ชนิดผงเคมีแห้ง ขนาด 15 ปอนด์ </v>
          </cell>
          <cell r="H209" t="str">
            <v>พมจ.น่าน</v>
          </cell>
          <cell r="J209" t="str">
            <v>น่าน</v>
          </cell>
          <cell r="L209">
            <v>4400</v>
          </cell>
        </row>
        <row r="210">
          <cell r="B210">
            <v>2570</v>
          </cell>
          <cell r="C210" t="str">
            <v>ครุภัณฑ์สำนักงาน</v>
          </cell>
          <cell r="G210" t="str">
            <v>โทรศัพท์ไร้สาย</v>
          </cell>
          <cell r="H210" t="str">
            <v>พมจ.นครปฐม</v>
          </cell>
          <cell r="J210" t="str">
            <v>นครปฐม</v>
          </cell>
          <cell r="L210">
            <v>5950</v>
          </cell>
        </row>
        <row r="211">
          <cell r="B211">
            <v>2570</v>
          </cell>
          <cell r="C211" t="str">
            <v>ครุภัณฑ์สำนักงาน</v>
          </cell>
          <cell r="G211" t="str">
            <v>โทรศัพท์ไร้สาย</v>
          </cell>
          <cell r="H211" t="str">
            <v>พมจ.นครสวรรค์</v>
          </cell>
          <cell r="J211" t="str">
            <v>นครสวรรค์</v>
          </cell>
          <cell r="L211">
            <v>8800</v>
          </cell>
        </row>
        <row r="212">
          <cell r="B212">
            <v>2570</v>
          </cell>
          <cell r="C212" t="str">
            <v>ครุภัณฑ์สำนักงาน</v>
          </cell>
          <cell r="G212" t="str">
            <v>โทรศัพท์ไร้สาย</v>
          </cell>
          <cell r="H212" t="str">
            <v>พมจ.สตูล</v>
          </cell>
          <cell r="J212" t="str">
            <v>สตูล</v>
          </cell>
          <cell r="L212">
            <v>5200</v>
          </cell>
        </row>
        <row r="213">
          <cell r="B213">
            <v>2570</v>
          </cell>
          <cell r="C213" t="str">
            <v>ครุภัณฑ์โฆษณาและเผยแพร่</v>
          </cell>
          <cell r="G213" t="str">
            <v>กล้องถ่ายภาพรูปดิจิตอล ยี่ห้อ Canon eos RP เลนส์ Canon EF70-200 mm r/2.8 l IS lll usm</v>
          </cell>
          <cell r="H213" t="str">
            <v>พมจ.ประจวบคีรีขันธ์</v>
          </cell>
          <cell r="J213" t="str">
            <v>ประจวบคีรีขันธ์</v>
          </cell>
          <cell r="L213">
            <v>93400</v>
          </cell>
        </row>
        <row r="214">
          <cell r="B214">
            <v>2570</v>
          </cell>
          <cell r="C214" t="str">
            <v>ครุภัณฑ์โฆษณาและเผยแพร่</v>
          </cell>
          <cell r="G214" t="str">
            <v>กล้องถ่ายภาพรูปดิจิตอล ยี่ห้อ Canon eos R8 MKll Body 2 เลนส์ Canon rf 24-70 mmf28 ls usm</v>
          </cell>
          <cell r="H214" t="str">
            <v>พมจ.มุกดาหาร</v>
          </cell>
          <cell r="J214" t="str">
            <v>มุกดาหาร</v>
          </cell>
          <cell r="L214">
            <v>72890</v>
          </cell>
        </row>
        <row r="215">
          <cell r="B215">
            <v>2570</v>
          </cell>
          <cell r="C215" t="str">
            <v>ครุภัณฑ์โฆษณาและเผยแพร่</v>
          </cell>
          <cell r="G215" t="str">
            <v>กล้องถ่ายภาพรูปดิจิตอล ยี่ห้อ Canon eos R6 MKll Body 2 เลนส์ Canon rf 24-105 f/4-7.1 IS STM</v>
          </cell>
          <cell r="H215" t="str">
            <v>พมจ.สกลนคร</v>
          </cell>
          <cell r="J215" t="str">
            <v>สกลนคร</v>
          </cell>
          <cell r="L215">
            <v>92390</v>
          </cell>
        </row>
        <row r="216">
          <cell r="B216">
            <v>2570</v>
          </cell>
          <cell r="C216" t="str">
            <v>ครุภัณฑ์โฆษณาและเผยแพร่</v>
          </cell>
          <cell r="G216" t="str">
            <v>กล้องถ่ายภาพรูปดิจิตอล ยี่ห้อ Canon eos R6 MKll Body 2 เลนส์ Canon rf 24-105 f/4-7.1 IS STM</v>
          </cell>
          <cell r="H216" t="str">
            <v>พมจ.ชุมพร</v>
          </cell>
          <cell r="J216" t="str">
            <v>ชุมพร</v>
          </cell>
          <cell r="L216">
            <v>100000</v>
          </cell>
        </row>
        <row r="217">
          <cell r="B217">
            <v>2570</v>
          </cell>
          <cell r="C217" t="str">
            <v>ครุภัณฑ์โฆษณาและเผยแพร่</v>
          </cell>
          <cell r="G217" t="str">
            <v>กล้องถ่ายภาพระบบดิจิตอล</v>
          </cell>
          <cell r="H217" t="str">
            <v>พมจ.ยโสธร</v>
          </cell>
          <cell r="J217" t="str">
            <v>ยโสธร</v>
          </cell>
          <cell r="L217">
            <v>150000</v>
          </cell>
        </row>
        <row r="218">
          <cell r="B218">
            <v>2570</v>
          </cell>
          <cell r="C218" t="str">
            <v>ครุภัณฑ์โฆษณาและเผยแพร่</v>
          </cell>
          <cell r="G218" t="str">
            <v>กล้องถ่ายภาพระบบดิจิตอล</v>
          </cell>
          <cell r="H218" t="str">
            <v>พมจ.ยะลา</v>
          </cell>
          <cell r="J218" t="str">
            <v>ยะลา</v>
          </cell>
          <cell r="L218">
            <v>65000</v>
          </cell>
        </row>
        <row r="219">
          <cell r="B219">
            <v>2570</v>
          </cell>
          <cell r="C219" t="str">
            <v>ครุภัณฑ์โฆษณาและเผยแพร่</v>
          </cell>
          <cell r="G219" t="str">
            <v>กล้องถ่ายภาพระบบดิจิตอล</v>
          </cell>
          <cell r="H219" t="str">
            <v>พมจ.พะเยา</v>
          </cell>
          <cell r="J219" t="str">
            <v>พะเยา</v>
          </cell>
          <cell r="L219">
            <v>11000</v>
          </cell>
        </row>
        <row r="220">
          <cell r="B220">
            <v>2570</v>
          </cell>
          <cell r="C220" t="str">
            <v>ครุภัณฑ์โฆษณาและเผยแพร่</v>
          </cell>
          <cell r="G220" t="str">
            <v>กล้องถ่ายภาพนิ่ง Canon EOS R50</v>
          </cell>
          <cell r="H220" t="str">
            <v>พมจ.นครสวรรค์</v>
          </cell>
          <cell r="J220" t="str">
            <v>นครสวรรค์</v>
          </cell>
          <cell r="L220">
            <v>69790</v>
          </cell>
        </row>
        <row r="221">
          <cell r="B221">
            <v>2570</v>
          </cell>
          <cell r="C221" t="str">
            <v>ครุภัณฑ์โฆษณาและเผยแพร่</v>
          </cell>
          <cell r="G221" t="str">
            <v>กล้องถ่ายภาพนิ่ง Canon EOS R50</v>
          </cell>
          <cell r="H221" t="str">
            <v>พมจ.นครสวรรค์</v>
          </cell>
          <cell r="J221" t="str">
            <v>นครสวรรค์</v>
          </cell>
          <cell r="L221">
            <v>69790</v>
          </cell>
        </row>
        <row r="222">
          <cell r="B222">
            <v>2570</v>
          </cell>
          <cell r="C222" t="str">
            <v>ครุภัณฑ์โฆษณาและเผยแพร่</v>
          </cell>
          <cell r="G222" t="str">
            <v>กล้องถ่ายภาพนิ่ง Canon EOS R50</v>
          </cell>
          <cell r="H222" t="str">
            <v>พมจ.เพชรบุรี</v>
          </cell>
          <cell r="J222" t="str">
            <v>เพชรบุรี</v>
          </cell>
          <cell r="L222">
            <v>39266</v>
          </cell>
        </row>
        <row r="223">
          <cell r="B223">
            <v>2570</v>
          </cell>
          <cell r="C223" t="str">
            <v>ครุภัณฑ์โฆษณาและเผยแพร่</v>
          </cell>
          <cell r="G223" t="str">
            <v>กล้องถ่ายภาพนิ่ง Mirrorless ระบบดิจิตอล (เซ็นเซอร์ CMOS)</v>
          </cell>
          <cell r="H223" t="str">
            <v>พมจ.สุพรรณบุรี</v>
          </cell>
          <cell r="J223" t="str">
            <v>สุพรรณบุรี</v>
          </cell>
          <cell r="L223">
            <v>39900</v>
          </cell>
        </row>
        <row r="224">
          <cell r="B224">
            <v>2570</v>
          </cell>
          <cell r="C224" t="str">
            <v>ครุภัณฑ์โฆษณาและเผยแพร่</v>
          </cell>
          <cell r="G224" t="str">
            <v>กล้องถ่ายวีดีโอ</v>
          </cell>
          <cell r="H224" t="str">
            <v>พมจ.ภูเก็ต</v>
          </cell>
          <cell r="J224" t="str">
            <v>ภูเก็ต</v>
          </cell>
          <cell r="L224">
            <v>22720</v>
          </cell>
        </row>
        <row r="225">
          <cell r="B225">
            <v>2570</v>
          </cell>
          <cell r="C225" t="str">
            <v>ครุภัณฑ์โฆษณาและเผยแพร่</v>
          </cell>
          <cell r="G225" t="str">
            <v>กล้องวงจรปิด</v>
          </cell>
          <cell r="H225" t="str">
            <v xml:space="preserve">พมจ.กระบี่ </v>
          </cell>
          <cell r="J225" t="str">
            <v xml:space="preserve">กระบี่ </v>
          </cell>
          <cell r="L225">
            <v>20000</v>
          </cell>
        </row>
        <row r="226">
          <cell r="B226">
            <v>2570</v>
          </cell>
          <cell r="C226" t="str">
            <v>ครุภัณฑ์โฆษณาและเผยแพร่</v>
          </cell>
          <cell r="G226" t="str">
            <v>กล้องติดรถยนต์</v>
          </cell>
          <cell r="H226" t="str">
            <v>พมจ.ลำปาง</v>
          </cell>
          <cell r="J226" t="str">
            <v>ลำปาง</v>
          </cell>
          <cell r="L226">
            <v>30000</v>
          </cell>
        </row>
        <row r="227">
          <cell r="B227">
            <v>2570</v>
          </cell>
          <cell r="C227" t="str">
            <v>ครุภัณฑ์โฆษณาและเผยแพร่</v>
          </cell>
          <cell r="G227" t="str">
            <v>เครื่องมัลติมีเดียโปรเจคเตอร์ ระดับ XGA ขนาด 4000 ANSI Lumens</v>
          </cell>
          <cell r="H227" t="str">
            <v>พมจ.ลำปาง</v>
          </cell>
          <cell r="J227" t="str">
            <v>ลำปาง</v>
          </cell>
          <cell r="L227">
            <v>26500</v>
          </cell>
        </row>
        <row r="228">
          <cell r="B228">
            <v>2570</v>
          </cell>
          <cell r="C228" t="str">
            <v>ครุภัณฑ์โฆษณาและเผยแพร่</v>
          </cell>
          <cell r="G228" t="str">
            <v>เครื่องมัลติมีเดียโปรเจคเตอร์ ระดับ XGA ขนาด 4000 ANSI Lumens</v>
          </cell>
          <cell r="H228" t="str">
            <v>พมจ.ระนอง</v>
          </cell>
          <cell r="J228" t="str">
            <v>ระนอง</v>
          </cell>
          <cell r="L228">
            <v>29900</v>
          </cell>
        </row>
        <row r="229">
          <cell r="B229">
            <v>2570</v>
          </cell>
          <cell r="C229" t="str">
            <v>ครุภัณฑ์โฆษณาและเผยแพร่</v>
          </cell>
          <cell r="G229" t="str">
            <v>เครื่องมัลติมีเดียโปรเจคเตอร์ ระดับ XGA ขนาด 4000 ANSI Lumens</v>
          </cell>
          <cell r="H229" t="str">
            <v>พมจ.สิงห์บุรี</v>
          </cell>
          <cell r="J229" t="str">
            <v>สิงห์บุรี</v>
          </cell>
          <cell r="L229">
            <v>29900</v>
          </cell>
        </row>
        <row r="230">
          <cell r="B230">
            <v>2570</v>
          </cell>
          <cell r="C230" t="str">
            <v>ครุภัณฑ์โฆษณาและเผยแพร่</v>
          </cell>
          <cell r="G230" t="str">
            <v>เครื่องมัลติมีเดียโปรเจคเตอร์ ระดับ XGA ขนาด 4000 ANSI Lumens</v>
          </cell>
          <cell r="H230" t="str">
            <v>พมจ.จันทบุรี</v>
          </cell>
          <cell r="J230" t="str">
            <v>จันทบุรี</v>
          </cell>
          <cell r="L230">
            <v>29900</v>
          </cell>
        </row>
        <row r="231">
          <cell r="B231">
            <v>2570</v>
          </cell>
          <cell r="C231" t="str">
            <v>ครุภัณฑ์โฆษณาและเผยแพร่</v>
          </cell>
          <cell r="G231" t="str">
            <v>เครื่องมัลติมีเดียโปรเจคเตอร์ ระดับ XGA ขนาด 4000 ANSI Lumens</v>
          </cell>
          <cell r="H231" t="str">
            <v>พมจ.ชัยภุมิ</v>
          </cell>
          <cell r="J231" t="str">
            <v>ชัยภูมิ</v>
          </cell>
          <cell r="L231">
            <v>29900</v>
          </cell>
        </row>
        <row r="232">
          <cell r="B232">
            <v>2570</v>
          </cell>
          <cell r="C232" t="str">
            <v>ครุภัณฑ์โฆษณาและเผยแพร่</v>
          </cell>
          <cell r="G232" t="str">
            <v>เครื่องมัลติมีเดียโปรเจคเตอร์ ระดับ XGA ขนาด 4500 ANSI Lumens</v>
          </cell>
          <cell r="H232" t="str">
            <v>พมจ.สุพรรณบุรี</v>
          </cell>
          <cell r="J232" t="str">
            <v>สุพรรณบุรี</v>
          </cell>
          <cell r="L232">
            <v>43100</v>
          </cell>
        </row>
        <row r="233">
          <cell r="B233">
            <v>2570</v>
          </cell>
          <cell r="C233" t="str">
            <v>ครุภัณฑ์โฆษณาและเผยแพร่</v>
          </cell>
          <cell r="G233" t="str">
            <v>เครื่องมัลติมีเดียโปรเจคเตอร์ ระดับ XGA ขนาด 4500 ANSI Lumens</v>
          </cell>
          <cell r="H233" t="str">
            <v>พมจ.ศรีสะเกษ</v>
          </cell>
          <cell r="J233" t="str">
            <v>ศรีสะเกษ</v>
          </cell>
          <cell r="L233">
            <v>91800</v>
          </cell>
        </row>
        <row r="234">
          <cell r="B234">
            <v>2570</v>
          </cell>
          <cell r="C234" t="str">
            <v>ครุภัณฑ์โฆษณาและเผยแพร่</v>
          </cell>
          <cell r="G234" t="str">
            <v>เครื่องมัลติมีเดียโปรเจคเตอร์ ระดับ XGA ขนาด 4500 ANSI Lumens</v>
          </cell>
          <cell r="H234" t="str">
            <v>พมจ.อุบลราชธานี</v>
          </cell>
          <cell r="J234" t="str">
            <v>อุบลราชธานี</v>
          </cell>
          <cell r="L234">
            <v>65800</v>
          </cell>
        </row>
        <row r="235">
          <cell r="B235">
            <v>2570</v>
          </cell>
          <cell r="C235" t="str">
            <v>ครุภัณฑ์โฆษณาและเผยแพร่</v>
          </cell>
          <cell r="G235" t="str">
            <v>เครื่องมัลติมีเดียโปรเจคเตอร์ ระดับ XGA ขนาด 5000 ANSI Lumens</v>
          </cell>
          <cell r="H235" t="str">
            <v>พมจ.นครราชสีมา</v>
          </cell>
          <cell r="J235" t="str">
            <v>นครราชสีมา</v>
          </cell>
          <cell r="L235">
            <v>48600</v>
          </cell>
        </row>
        <row r="236">
          <cell r="B236">
            <v>2570</v>
          </cell>
          <cell r="C236" t="str">
            <v>ครุภัณฑ์โฆษณาและเผยแพร่</v>
          </cell>
          <cell r="G236" t="str">
            <v>เครื่องมัลติมีเดียโปรเจคเตอร์ ระดับ XGA ขนาด 5000 ANSI Lumens</v>
          </cell>
          <cell r="H236" t="str">
            <v>พมจ.นครราชสีมา</v>
          </cell>
          <cell r="J236" t="str">
            <v>นครราชสีมา</v>
          </cell>
          <cell r="L236">
            <v>14900</v>
          </cell>
        </row>
        <row r="237">
          <cell r="B237">
            <v>2570</v>
          </cell>
          <cell r="C237" t="str">
            <v>ครุภัณฑ์โฆษณาและเผยแพร่</v>
          </cell>
          <cell r="G237" t="str">
            <v>เครื่องมัลติมีเดียโปรเจคเตอร์ ระดับ XGA ขนาด 5000 ANSI Lumens</v>
          </cell>
          <cell r="H237" t="str">
            <v>พมจ.อ่างทอง</v>
          </cell>
          <cell r="J237" t="str">
            <v>อ่างทอง</v>
          </cell>
          <cell r="L237">
            <v>48600</v>
          </cell>
        </row>
        <row r="238">
          <cell r="B238">
            <v>2570</v>
          </cell>
          <cell r="C238" t="str">
            <v>ครุภัณฑ์โฆษณาและเผยแพร่</v>
          </cell>
          <cell r="G238" t="str">
            <v>เครื่องมัลติมีเดียโปรเจคเตอร์ ระดับ XGA ขนาด 5000 ANSI Lumens</v>
          </cell>
          <cell r="H238" t="str">
            <v>พมจ.ปราจีนบุรี</v>
          </cell>
          <cell r="J238" t="str">
            <v>ปราจีนบุรี</v>
          </cell>
          <cell r="L238">
            <v>145800</v>
          </cell>
        </row>
        <row r="239">
          <cell r="B239">
            <v>2570</v>
          </cell>
          <cell r="C239" t="str">
            <v>ครุภัณฑ์โฆษณาและเผยแพร่</v>
          </cell>
          <cell r="G239" t="str">
            <v>จอรับภาพ ชนิดมอเตอร์ไฟฟ้า ขนาดเส้นทะแยงมุม 120 นิ้ว</v>
          </cell>
          <cell r="H239" t="str">
            <v>พมจ.ระยอง</v>
          </cell>
          <cell r="J239" t="str">
            <v>ระยอง</v>
          </cell>
          <cell r="L239">
            <v>14900</v>
          </cell>
        </row>
        <row r="240">
          <cell r="B240">
            <v>2570</v>
          </cell>
          <cell r="C240" t="str">
            <v>ครุภัณฑ์โฆษณาและเผยแพร่</v>
          </cell>
          <cell r="G240" t="str">
            <v>จอรับภาพ ชนิดมอเตอร์ไฟฟ้า ขนาดเส้นทะแยงมุม 120 นิ้ว</v>
          </cell>
          <cell r="H240" t="str">
            <v>พมจ.ระนอง</v>
          </cell>
          <cell r="J240" t="str">
            <v>ระนอง</v>
          </cell>
          <cell r="L240">
            <v>14900</v>
          </cell>
        </row>
        <row r="241">
          <cell r="B241">
            <v>2570</v>
          </cell>
          <cell r="C241" t="str">
            <v>ครุภัณฑ์โฆษณาและเผยแพร่</v>
          </cell>
          <cell r="G241" t="str">
            <v>จอรับภาพ ชนิดมอเตอร์ไฟฟ้า ขนาดเส้นทะแยงมุม 180 นิ้ว</v>
          </cell>
          <cell r="H241" t="str">
            <v>พมจ.จันทบุรี</v>
          </cell>
          <cell r="J241" t="str">
            <v>จันทบุรี</v>
          </cell>
          <cell r="L241">
            <v>34900</v>
          </cell>
        </row>
        <row r="242">
          <cell r="B242">
            <v>2570</v>
          </cell>
          <cell r="C242" t="str">
            <v>ครุภัณฑ์โฆษณาและเผยแพร่</v>
          </cell>
          <cell r="G242" t="str">
            <v>จอรับภาพ ชนิดมอเตอร์ไฟฟ้า ขนาดเส้นทะแยงมุม 200 นิ้ว</v>
          </cell>
          <cell r="H242" t="str">
            <v>พมจ.ศรีสะเกษ</v>
          </cell>
          <cell r="J242" t="str">
            <v>ศรีสะเกษ</v>
          </cell>
          <cell r="L242">
            <v>45000</v>
          </cell>
        </row>
        <row r="243">
          <cell r="B243">
            <v>2570</v>
          </cell>
          <cell r="C243" t="str">
            <v>ครุภัณฑ์โฆษณาและเผยแพร่</v>
          </cell>
          <cell r="G243" t="str">
            <v xml:space="preserve">โทรทัศน์ แอล อี ดี (LED TV) แบบ Smart TV ระดับความละเอียดจอภาพ 3840 x 2160 พิกเซล ขนาด 43 นิ้ว </v>
          </cell>
          <cell r="H243" t="str">
            <v>พมจ.ประจวบคีรีขันธ์</v>
          </cell>
          <cell r="J243" t="str">
            <v>ประจวบคีรีขันธ์</v>
          </cell>
          <cell r="L243">
            <v>15000</v>
          </cell>
        </row>
        <row r="244">
          <cell r="B244">
            <v>2570</v>
          </cell>
          <cell r="C244" t="str">
            <v>ครุภัณฑ์โฆษณาและเผยแพร่</v>
          </cell>
          <cell r="G244" t="str">
            <v xml:space="preserve">โทรทัศน์ แอล อี ดี (LED TV) แบบ Smart TV ระดับความละเอียดจอภาพ 3840 x 2160 พิกเซล ขนาด 55 นิ้ว </v>
          </cell>
          <cell r="H244" t="str">
            <v>พมจ.กาฬสินธุ์</v>
          </cell>
          <cell r="J244" t="str">
            <v>กาฬสินธุ์</v>
          </cell>
          <cell r="L244">
            <v>46000</v>
          </cell>
        </row>
        <row r="245">
          <cell r="B245">
            <v>2570</v>
          </cell>
          <cell r="C245" t="str">
            <v>ครุภัณฑ์โฆษณาและเผยแพร่</v>
          </cell>
          <cell r="G245" t="str">
            <v xml:space="preserve">โทรทัศน์ แอล อี ดี (LED TV) แบบ Smart TV ระดับความละเอียดจอภาพ 3840 x 2160 พิกเซล ขนาด 55 นิ้ว </v>
          </cell>
          <cell r="H245" t="str">
            <v>พมจ.อ่างทอง</v>
          </cell>
          <cell r="J245" t="str">
            <v>อ่างทอง</v>
          </cell>
          <cell r="L245">
            <v>23000</v>
          </cell>
        </row>
        <row r="246">
          <cell r="B246">
            <v>2570</v>
          </cell>
          <cell r="C246" t="str">
            <v>ครุภัณฑ์โฆษณาและเผยแพร่</v>
          </cell>
          <cell r="G246" t="str">
            <v xml:space="preserve">โทรทัศน์ แอล อี ดี (LED TV) แบบ Smart TV ระดับความละเอียดจอภาพ 3840 x 2160 พิกเซล ขนาด 50 นิ้ว </v>
          </cell>
          <cell r="H246" t="str">
            <v>พมจ.ระนอง</v>
          </cell>
          <cell r="J246" t="str">
            <v>ระนอง</v>
          </cell>
          <cell r="L246">
            <v>19000</v>
          </cell>
        </row>
        <row r="247">
          <cell r="B247">
            <v>2570</v>
          </cell>
          <cell r="C247" t="str">
            <v>ครุภัณฑ์โฆษณาและเผยแพร่</v>
          </cell>
          <cell r="G247" t="str">
            <v xml:space="preserve">โทรทัศน์ แอล อี ดี (LED TV) แบบ Smart TV ระดับความละเอียดจอภาพ 3840 x 2160 พิกเซล ขนาด 75 นิ้ว </v>
          </cell>
          <cell r="H247" t="str">
            <v>พมจ.นครนายก</v>
          </cell>
          <cell r="J247" t="str">
            <v>นครนายก</v>
          </cell>
          <cell r="L247">
            <v>45000</v>
          </cell>
        </row>
        <row r="248">
          <cell r="B248">
            <v>2570</v>
          </cell>
          <cell r="C248" t="str">
            <v>ครุภัณฑ์โฆษณาและเผยแพร่</v>
          </cell>
          <cell r="G248" t="str">
            <v xml:space="preserve">โทรทัศน์ แอล อี ดี (LED TV) แบบ Smart TV ระดับความละเอียดจอภาพ 3840 x 2160 พิกเซล ขนาด 75 นิ้ว </v>
          </cell>
          <cell r="H248" t="str">
            <v>พมจ.ลำพูน</v>
          </cell>
          <cell r="J248" t="str">
            <v>ลำพูน</v>
          </cell>
          <cell r="L248">
            <v>45000</v>
          </cell>
        </row>
        <row r="249">
          <cell r="B249">
            <v>2570</v>
          </cell>
          <cell r="C249" t="str">
            <v>ครุภัณฑ์โฆษณาและเผยแพร่</v>
          </cell>
          <cell r="G249" t="str">
            <v xml:space="preserve">โทรทัศน์ แอล อี ดี (LED TV) แบบ Smart TV ระดับความละเอียดจอภาพ 3840 x 2160 พิกเซล ขนาด 75 นิ้ว </v>
          </cell>
          <cell r="H249" t="str">
            <v>พมจ.ราชบุรี</v>
          </cell>
          <cell r="J249" t="str">
            <v>ราชบุรี</v>
          </cell>
          <cell r="L249">
            <v>45000</v>
          </cell>
        </row>
        <row r="250">
          <cell r="B250">
            <v>2570</v>
          </cell>
          <cell r="C250" t="str">
            <v>ครุภัณฑ์โฆษณาและเผยแพร่</v>
          </cell>
          <cell r="G250" t="str">
            <v xml:space="preserve">โทรทัศน์ แอล อี ดี (LED TV) แบบ Smart TV ระดับความละเอียดจอภาพ 3840 x 2160 พิกเซล ขนาด 75 นิ้ว </v>
          </cell>
          <cell r="H250" t="str">
            <v>พมจ.ศรีสะเกษ</v>
          </cell>
          <cell r="J250" t="str">
            <v>ศรีสะเกษ</v>
          </cell>
          <cell r="L250">
            <v>45000</v>
          </cell>
        </row>
        <row r="251">
          <cell r="B251">
            <v>2570</v>
          </cell>
          <cell r="C251" t="str">
            <v>ครุภัณฑ์โฆษณาและเผยแพร่</v>
          </cell>
          <cell r="G251" t="str">
            <v xml:space="preserve"> โทรทัศน์ แอล อี ดี   (LED TV) แบบ Smart TV ระดับความละเอียดจอภาพ 3840 x 2160 พิกเซล ขนาด 65 นิ้ว </v>
          </cell>
          <cell r="H251" t="str">
            <v>พมจ.อุตรดิตถ์</v>
          </cell>
          <cell r="J251" t="str">
            <v>อุตรดิตถ์</v>
          </cell>
          <cell r="L251">
            <v>30000</v>
          </cell>
        </row>
        <row r="252">
          <cell r="B252">
            <v>2570</v>
          </cell>
          <cell r="C252" t="str">
            <v>ครุภัณฑ์โฆษณาและเผยแพร่</v>
          </cell>
          <cell r="G252" t="str">
            <v xml:space="preserve"> โทรทัศน์ แอล อี ดี   (LED TV) แบบ Smart TV ระดับความละเอียดจอภาพ 3840 x 2160 พิกเซล ขนาด 65 นิ้ว </v>
          </cell>
          <cell r="H252" t="str">
            <v>พมจ.สระแก้ว</v>
          </cell>
          <cell r="J252" t="str">
            <v>สระแก้ว</v>
          </cell>
          <cell r="L252">
            <v>60000</v>
          </cell>
        </row>
        <row r="253">
          <cell r="B253">
            <v>2570</v>
          </cell>
          <cell r="C253" t="str">
            <v>ครุภัณฑ์โฆษณาและเผยแพร่</v>
          </cell>
          <cell r="G253" t="str">
            <v xml:space="preserve"> โทรทัศน์ แอล อี ดี (LED TV) แบบ Smart TV ระดับความละเอียดจอภาพ 3840 x 2160 พิกเซล ขนาด 65 นิ้ว </v>
          </cell>
          <cell r="H253" t="str">
            <v xml:space="preserve">พมจ.กาญจนบุรี </v>
          </cell>
          <cell r="J253" t="str">
            <v xml:space="preserve">กาญจนบุรี </v>
          </cell>
          <cell r="L253">
            <v>30000</v>
          </cell>
        </row>
        <row r="254">
          <cell r="B254">
            <v>2570</v>
          </cell>
          <cell r="C254" t="str">
            <v>ครุภัณฑ์งานบ้านงานครัว</v>
          </cell>
          <cell r="G254" t="str">
            <v>ตู้เย็น 9 คิวบิกฟุต</v>
          </cell>
          <cell r="H254" t="str">
            <v>พมจ.อุตรดิตถ์</v>
          </cell>
          <cell r="J254" t="str">
            <v>อุตรดิตถ์</v>
          </cell>
          <cell r="L254">
            <v>13000</v>
          </cell>
        </row>
        <row r="255">
          <cell r="B255">
            <v>2570</v>
          </cell>
          <cell r="C255" t="str">
            <v>ครุภัณฑ์งานบ้านงานครัว</v>
          </cell>
          <cell r="G255" t="str">
            <v>ตู้เย็น 9 คิวบิกฟุต</v>
          </cell>
          <cell r="H255" t="str">
            <v>พมจ.ระนอง</v>
          </cell>
          <cell r="J255" t="str">
            <v>ระนอง</v>
          </cell>
          <cell r="L255">
            <v>13000</v>
          </cell>
        </row>
        <row r="256">
          <cell r="B256">
            <v>2570</v>
          </cell>
          <cell r="C256" t="str">
            <v>ครุภัณฑ์งานบ้านงานครัว</v>
          </cell>
          <cell r="G256" t="str">
            <v>ตู้เย็น 9 คิวบิกฟุต</v>
          </cell>
          <cell r="H256" t="str">
            <v>พมจ.เพชรบุรี</v>
          </cell>
          <cell r="J256" t="str">
            <v>เพชรบุรี</v>
          </cell>
          <cell r="L256">
            <v>13000</v>
          </cell>
        </row>
        <row r="257">
          <cell r="B257">
            <v>2570</v>
          </cell>
          <cell r="C257" t="str">
            <v>ครุภัณฑ์งานบ้านงานครัว</v>
          </cell>
          <cell r="G257" t="str">
            <v>ตู้เย็น 9 คิวบิกฟุต</v>
          </cell>
          <cell r="H257" t="str">
            <v>พมจ.อำนาจเจริญ</v>
          </cell>
          <cell r="J257" t="str">
            <v>อำนาจเจริญ</v>
          </cell>
          <cell r="L257">
            <v>13000</v>
          </cell>
        </row>
        <row r="258">
          <cell r="B258">
            <v>2570</v>
          </cell>
          <cell r="C258" t="str">
            <v>ครุภัณฑ์งานบ้านงานครัว</v>
          </cell>
          <cell r="G258" t="str">
            <v>ตู้เย็น 13 คิวบิกฟุต</v>
          </cell>
          <cell r="H258" t="str">
            <v>พมจ.อุตรดิตถ์</v>
          </cell>
          <cell r="J258" t="str">
            <v>อุตรดิตถ์</v>
          </cell>
          <cell r="L258">
            <v>18500</v>
          </cell>
        </row>
        <row r="259">
          <cell r="B259">
            <v>2570</v>
          </cell>
          <cell r="C259" t="str">
            <v>ครุภัณฑ์งานบ้านงานครัว</v>
          </cell>
          <cell r="G259" t="str">
            <v>เครื่องทำน้ำร้อน-น้ำเย็น แบบต่อท่อ ขนาด 2 ก๊อก</v>
          </cell>
          <cell r="H259" t="str">
            <v>พมจ.จันทบุรี</v>
          </cell>
          <cell r="J259" t="str">
            <v>จันทบุรี</v>
          </cell>
          <cell r="L259">
            <v>23000</v>
          </cell>
        </row>
        <row r="260">
          <cell r="B260">
            <v>2570</v>
          </cell>
          <cell r="C260" t="str">
            <v>ครุภัณฑ์งานบ้านงานครัว</v>
          </cell>
          <cell r="G260" t="str">
            <v>เครื่องทำน้ำร้อน-น้ำเย็น แบบต่อท่อ ขนาด 2 ก๊อก</v>
          </cell>
          <cell r="H260" t="str">
            <v>พมจ.นครสวรรค์</v>
          </cell>
          <cell r="J260" t="str">
            <v>นครสวรรค์</v>
          </cell>
          <cell r="L260">
            <v>23000</v>
          </cell>
        </row>
        <row r="261">
          <cell r="B261">
            <v>2570</v>
          </cell>
          <cell r="C261" t="str">
            <v>ครุภัณฑ์งานบ้านงานครัว</v>
          </cell>
          <cell r="G261" t="str">
            <v>เครื่องทำน้ำร้อน-น้ำเย็น แบบต่อท่อ ขนาด 2 ก๊อก</v>
          </cell>
          <cell r="H261" t="str">
            <v>พมจ.พระนครศรีอยุธยา</v>
          </cell>
          <cell r="J261" t="str">
            <v>พระนครศรีอยุธยา</v>
          </cell>
          <cell r="L261">
            <v>23000</v>
          </cell>
        </row>
        <row r="262">
          <cell r="B262">
            <v>2570</v>
          </cell>
          <cell r="C262" t="str">
            <v>ครุภัณฑ์งานบ้านงานครัว</v>
          </cell>
          <cell r="G262" t="str">
            <v>เครื่องทำน้ำร้อน-น้ำเย็น แบบต่อท่อ ขนาด 2 ก๊อก</v>
          </cell>
          <cell r="H262" t="str">
            <v>พมจ.สมุทรสงคราม</v>
          </cell>
          <cell r="J262" t="str">
            <v>สมุทรสงคราม</v>
          </cell>
          <cell r="L262">
            <v>23000</v>
          </cell>
        </row>
        <row r="263">
          <cell r="B263">
            <v>2570</v>
          </cell>
          <cell r="C263" t="str">
            <v>ครุภัณฑ์งานบ้านงานครัว</v>
          </cell>
          <cell r="G263" t="str">
            <v>ตู้ทำน้ำเย็นแบบธรรมดา</v>
          </cell>
          <cell r="H263" t="str">
            <v>พมจ.นครปฐม</v>
          </cell>
          <cell r="J263" t="str">
            <v>นครปฐม</v>
          </cell>
          <cell r="L263">
            <v>4390</v>
          </cell>
        </row>
        <row r="264">
          <cell r="B264">
            <v>2570</v>
          </cell>
          <cell r="C264" t="str">
            <v>ครุภัณฑ์งานบ้านงานครัว</v>
          </cell>
          <cell r="G264" t="str">
            <v>ตู้ทำน้ำเย็นแบบธรรมดา</v>
          </cell>
          <cell r="H264" t="str">
            <v>พมจ.น่าน</v>
          </cell>
          <cell r="J264" t="str">
            <v>น่าน</v>
          </cell>
          <cell r="L264">
            <v>4390</v>
          </cell>
        </row>
        <row r="265">
          <cell r="B265">
            <v>2570</v>
          </cell>
          <cell r="C265" t="str">
            <v>ครุภัณฑ์งานบ้านงานครัว</v>
          </cell>
          <cell r="G265" t="str">
            <v>ตู้ทำน้ำเย็นแบบธรรมดา</v>
          </cell>
          <cell r="H265" t="str">
            <v>พมจ.นครราชสีมา</v>
          </cell>
          <cell r="J265" t="str">
            <v>นครราชสีมา</v>
          </cell>
          <cell r="L265">
            <v>10600</v>
          </cell>
        </row>
        <row r="266">
          <cell r="B266">
            <v>2570</v>
          </cell>
          <cell r="C266" t="str">
            <v>ครุภัณฑ์งานบ้านงานครัว</v>
          </cell>
          <cell r="G266" t="str">
            <v>ตู้ทำน้ำเย็นแบบธรรมดา</v>
          </cell>
          <cell r="H266" t="str">
            <v>พมจ.สุพรรณบุรี</v>
          </cell>
          <cell r="J266" t="str">
            <v>สุพรรณบุรี</v>
          </cell>
          <cell r="L266">
            <v>5500</v>
          </cell>
        </row>
        <row r="267">
          <cell r="B267">
            <v>2570</v>
          </cell>
          <cell r="C267" t="str">
            <v>ครุภัณฑ์งานบ้านงานครัว</v>
          </cell>
          <cell r="G267" t="str">
            <v>ตู้ทำน้ำเย็นแบบธรรมดา</v>
          </cell>
          <cell r="H267" t="str">
            <v>พมจ.เชียงใหม่</v>
          </cell>
          <cell r="J267" t="str">
            <v>เชียงใหม่</v>
          </cell>
          <cell r="L267">
            <v>23000</v>
          </cell>
        </row>
        <row r="268">
          <cell r="B268">
            <v>2570</v>
          </cell>
          <cell r="C268" t="str">
            <v>ครุภัณฑ์งานบ้านงานครัว</v>
          </cell>
          <cell r="G268" t="str">
            <v>เครื่องตัดหญ้า แบบรถเข็น</v>
          </cell>
          <cell r="H268" t="str">
            <v>พมจ.สุราษฎร์ธานี</v>
          </cell>
          <cell r="J268" t="str">
            <v>สุราษฎร์ธานี</v>
          </cell>
          <cell r="L268">
            <v>13600</v>
          </cell>
        </row>
        <row r="269">
          <cell r="B269">
            <v>2570</v>
          </cell>
          <cell r="C269" t="str">
            <v>ครุภัณฑ์งานบ้านงานครัว</v>
          </cell>
          <cell r="G269" t="str">
            <v>เครื่องตัดหญ้า แบบข้อแข็ง</v>
          </cell>
          <cell r="H269" t="str">
            <v>พมจ.ชัยภูมิ</v>
          </cell>
          <cell r="J269" t="str">
            <v>ชัยภูมิ</v>
          </cell>
          <cell r="L269">
            <v>9500</v>
          </cell>
        </row>
        <row r="270">
          <cell r="B270">
            <v>2570</v>
          </cell>
          <cell r="C270" t="str">
            <v>ครุภัณฑ์งานบ้านงานครัว</v>
          </cell>
          <cell r="G270" t="str">
            <v>เครื่องตัดหญ้า แบบข้ออ่อน</v>
          </cell>
          <cell r="H270" t="str">
            <v>พมจ.อุบลราชธานี</v>
          </cell>
          <cell r="J270" t="str">
            <v>อุบลราชธานี</v>
          </cell>
          <cell r="L270">
            <v>10600</v>
          </cell>
        </row>
        <row r="271">
          <cell r="B271">
            <v>2570</v>
          </cell>
          <cell r="C271" t="str">
            <v>ครุภัณฑ์งานบ้านงานครัว</v>
          </cell>
          <cell r="G271" t="str">
            <v>เตาอบไมโครเวฟ</v>
          </cell>
          <cell r="H271" t="str">
            <v>พมจ.อำนาจเจริญ</v>
          </cell>
          <cell r="J271" t="str">
            <v>อำนาจเจริญ</v>
          </cell>
          <cell r="L271">
            <v>7600</v>
          </cell>
        </row>
        <row r="272">
          <cell r="B272">
            <v>2570</v>
          </cell>
          <cell r="C272" t="str">
            <v>ครุภัณฑ์งานบ้านงานครัว</v>
          </cell>
          <cell r="G272" t="str">
            <v>ผ้าม่านพร้อมติดตั้ง</v>
          </cell>
          <cell r="H272" t="str">
            <v>พมจ.พะเยา</v>
          </cell>
          <cell r="J272" t="str">
            <v>พะเยา</v>
          </cell>
          <cell r="L272">
            <v>28000</v>
          </cell>
        </row>
        <row r="273">
          <cell r="B273">
            <v>2570</v>
          </cell>
          <cell r="C273" t="str">
            <v>ครุภัณฑ์ไฟฟ้าและวิทยุ</v>
          </cell>
          <cell r="G273" t="str">
            <v>เครื่องเสียงสำหรับห้องประชุม ไมโครโฟน พร้อมอุปกรณ์ประกอบ</v>
          </cell>
          <cell r="H273" t="str">
            <v>พมจ.อุบลราชธานี</v>
          </cell>
          <cell r="J273" t="str">
            <v>อุบลราชธานี</v>
          </cell>
          <cell r="L273">
            <v>45800</v>
          </cell>
        </row>
        <row r="274">
          <cell r="B274">
            <v>2570</v>
          </cell>
          <cell r="C274" t="str">
            <v>ครุภัณฑ์ไฟฟ้าและวิทยุ</v>
          </cell>
          <cell r="G274" t="str">
            <v>เครื่องเสียงสำหรับห้องประชุม ไมโครโฟน พร้อมอุปกรณ์ประกอบ</v>
          </cell>
          <cell r="H274" t="str">
            <v>พมจ.ราชบุรี</v>
          </cell>
          <cell r="J274" t="str">
            <v>ราชบุรี</v>
          </cell>
          <cell r="L274">
            <v>150900</v>
          </cell>
        </row>
        <row r="275">
          <cell r="B275">
            <v>2570</v>
          </cell>
          <cell r="C275" t="str">
            <v>ครุภัณฑ์ไฟฟ้าและวิทยุ</v>
          </cell>
          <cell r="G275" t="str">
            <v>เครื่องเสียงสำหรับห้องประชุม ไมโครโฟน พร้อมอุปกรณ์ประกอบ</v>
          </cell>
          <cell r="H275" t="str">
            <v>พมจ.หนองบัวลำภู</v>
          </cell>
          <cell r="J275" t="str">
            <v>หนองบัวลำภู</v>
          </cell>
          <cell r="L275">
            <v>120000</v>
          </cell>
        </row>
        <row r="276">
          <cell r="B276">
            <v>2570</v>
          </cell>
          <cell r="C276" t="str">
            <v>ครุภัณฑ์ไฟฟ้าและวิทยุ</v>
          </cell>
          <cell r="G276" t="str">
            <v>เครื่องเสียงสำหรับห้องประชุม ไมโครโฟน พร้อมอุปกรณ์ประกอบ</v>
          </cell>
          <cell r="H276" t="str">
            <v>พมจ.กาฬสินธุ์</v>
          </cell>
          <cell r="J276" t="str">
            <v>กาฬสินธุ์</v>
          </cell>
          <cell r="L276">
            <v>140000</v>
          </cell>
        </row>
        <row r="277">
          <cell r="B277">
            <v>2570</v>
          </cell>
          <cell r="C277" t="str">
            <v>ครุภัณฑ์ไฟฟ้าและวิทยุ</v>
          </cell>
          <cell r="G277" t="str">
            <v>เครื่องเสียงสำหรับห้องประชุม ไมโครโฟน พร้อมอุปกรณ์ประกอบ</v>
          </cell>
          <cell r="H277" t="str">
            <v>พมจ.ตรัง</v>
          </cell>
          <cell r="J277" t="str">
            <v>ตรัง</v>
          </cell>
          <cell r="L277">
            <v>64100</v>
          </cell>
        </row>
        <row r="278">
          <cell r="B278">
            <v>2570</v>
          </cell>
          <cell r="C278" t="str">
            <v>ครุภัณฑ์ไฟฟ้าและวิทยุ</v>
          </cell>
          <cell r="G278" t="str">
            <v>เครื่องเสียงสำหรับห้องประชุม ไมโครโฟน พร้อมอุปกรณ์ประกอบ</v>
          </cell>
          <cell r="H278" t="str">
            <v>พมจ.ศรีสะเกษ</v>
          </cell>
          <cell r="J278" t="str">
            <v>ศรีสะเกษ</v>
          </cell>
          <cell r="L278">
            <v>60500</v>
          </cell>
        </row>
        <row r="279">
          <cell r="B279">
            <v>2570</v>
          </cell>
          <cell r="C279" t="str">
            <v>ครุภัณฑ์ไฟฟ้าและวิทยุ</v>
          </cell>
          <cell r="G279" t="str">
            <v>เครื่องเสียงสำหรับห้องประชุม ไมโครโฟน พร้อมอุปกรณ์ประกอบ</v>
          </cell>
          <cell r="H279" t="str">
            <v>พมจ.พะเยา</v>
          </cell>
          <cell r="J279" t="str">
            <v>พะเยา</v>
          </cell>
          <cell r="L279">
            <v>280650</v>
          </cell>
        </row>
        <row r="280">
          <cell r="B280">
            <v>2570</v>
          </cell>
          <cell r="C280" t="str">
            <v>ครุภัณฑ์ไฟฟ้าและวิทยุ</v>
          </cell>
          <cell r="G280" t="str">
            <v>เครื่องเสียงจัดกิจกรรมเคลื่อนที่ พร้อมอุปกรณ์</v>
          </cell>
          <cell r="H280" t="str">
            <v>พมจ.นครปฐม</v>
          </cell>
          <cell r="J280" t="str">
            <v>นครปฐม</v>
          </cell>
          <cell r="L280">
            <v>4990</v>
          </cell>
        </row>
        <row r="281">
          <cell r="B281">
            <v>2570</v>
          </cell>
          <cell r="C281" t="str">
            <v>ครุภัณฑ์ไฟฟ้าและวิทยุ</v>
          </cell>
          <cell r="G281" t="str">
            <v>เครื่องเสียงจัดกิจกรรมเคลื่อนที่ พร้อมอุปกรณ์</v>
          </cell>
          <cell r="H281" t="str">
            <v>พมจ.กาฬสินธุ์</v>
          </cell>
          <cell r="J281" t="str">
            <v>กาฬสินธุ์</v>
          </cell>
          <cell r="L281">
            <v>75000</v>
          </cell>
        </row>
        <row r="282">
          <cell r="B282">
            <v>2570</v>
          </cell>
          <cell r="C282" t="str">
            <v>ครุภัณฑ์ไฟฟ้าและวิทยุ</v>
          </cell>
          <cell r="G282" t="str">
            <v>เครื่องเสียงจัดกิจกรรมเคลื่อนที่ พร้อมอุปกรณ์</v>
          </cell>
          <cell r="H282" t="str">
            <v>พมจ.มุกดาหาร</v>
          </cell>
          <cell r="J282" t="str">
            <v>มุกดาหาร</v>
          </cell>
          <cell r="L282">
            <v>36300</v>
          </cell>
        </row>
        <row r="283">
          <cell r="B283">
            <v>2570</v>
          </cell>
          <cell r="C283" t="str">
            <v>ครุภัณฑ์ไฟฟ้าและวิทยุ</v>
          </cell>
          <cell r="G283" t="str">
            <v>เครื่องเสียงจัดกิจกรรมเคลื่อนที่ พร้อมอุปกรณ์</v>
          </cell>
          <cell r="H283" t="str">
            <v>พมจ.ประจวบคีรีขันธ์</v>
          </cell>
          <cell r="J283" t="str">
            <v>ประจวบคีรีขันธ์</v>
          </cell>
          <cell r="L283">
            <v>9900</v>
          </cell>
        </row>
        <row r="284">
          <cell r="B284">
            <v>2570</v>
          </cell>
          <cell r="C284" t="str">
            <v>ครุภัณฑ์ไฟฟ้าและวิทยุ</v>
          </cell>
          <cell r="G284" t="str">
            <v>เครื่องเสียงจัดกิจกรรมเคลื่อนที่</v>
          </cell>
          <cell r="H284" t="str">
            <v>พมจ.เพชรบุรี</v>
          </cell>
          <cell r="J284" t="str">
            <v>เพชรบุรี</v>
          </cell>
          <cell r="L284">
            <v>9133</v>
          </cell>
        </row>
        <row r="285">
          <cell r="B285">
            <v>2570</v>
          </cell>
          <cell r="C285" t="str">
            <v>ครุภัณฑ์ไฟฟ้าและวิทยุ</v>
          </cell>
          <cell r="G285" t="str">
            <v>เครื่องเสียงจัดกิจกรรมเคลื่อนที่</v>
          </cell>
          <cell r="H285" t="str">
            <v>พมจ.เชียงใหม่</v>
          </cell>
          <cell r="J285" t="str">
            <v>เชียงใหม่</v>
          </cell>
          <cell r="L285">
            <v>39000</v>
          </cell>
        </row>
        <row r="286">
          <cell r="B286">
            <v>2570</v>
          </cell>
          <cell r="C286" t="str">
            <v>ครุภัณฑ์ไฟฟ้าและวิทยุ</v>
          </cell>
          <cell r="G286" t="str">
            <v>เครื่องเสียงจัดกิจกรรมเคลื่อนที่</v>
          </cell>
          <cell r="H286" t="str">
            <v>พมจ.น่าน</v>
          </cell>
          <cell r="J286" t="str">
            <v>น่าน</v>
          </cell>
          <cell r="L286">
            <v>6900</v>
          </cell>
        </row>
        <row r="287">
          <cell r="B287">
            <v>2570</v>
          </cell>
          <cell r="C287" t="str">
            <v>ครุภัณฑ์ไฟฟ้าและวิทยุ</v>
          </cell>
          <cell r="G287" t="str">
            <v>ชุดไมโครโฟนไร้สาย</v>
          </cell>
          <cell r="H287" t="str">
            <v>พมจ.เพชรบุรี</v>
          </cell>
          <cell r="J287" t="str">
            <v>เพชรบุรี</v>
          </cell>
          <cell r="L287">
            <v>4133</v>
          </cell>
        </row>
        <row r="288">
          <cell r="B288">
            <v>2570</v>
          </cell>
          <cell r="C288" t="str">
            <v>ครุภัณฑ์ไฟฟ้าและวิทยุ</v>
          </cell>
          <cell r="G288" t="str">
            <v>ชุดไมโครโฟนห้องประชุม</v>
          </cell>
          <cell r="H288" t="str">
            <v>พมจ.ลำปาง</v>
          </cell>
          <cell r="J288" t="str">
            <v>ลำปาง</v>
          </cell>
          <cell r="L288">
            <v>29000</v>
          </cell>
        </row>
        <row r="289">
          <cell r="B289">
            <v>2570</v>
          </cell>
          <cell r="C289" t="str">
            <v>ครุภัณฑ์ไฟฟ้าและวิทยุ</v>
          </cell>
          <cell r="G289" t="str">
            <v>ชุดไมโครโฟนห้องประชุม</v>
          </cell>
          <cell r="H289" t="str">
            <v>พมจ.มหาสารคาม</v>
          </cell>
          <cell r="J289" t="str">
            <v>มหาสารคาม</v>
          </cell>
          <cell r="L289">
            <v>42500</v>
          </cell>
        </row>
        <row r="290">
          <cell r="B290">
            <v>2570</v>
          </cell>
          <cell r="C290" t="str">
            <v>ครุภัณฑ์ไฟฟ้าและวิทยุ</v>
          </cell>
          <cell r="G290" t="str">
            <v>ชุดไมโครโฟนห้องประชุม</v>
          </cell>
          <cell r="H290" t="str">
            <v>พมจ.เพชรบุรี</v>
          </cell>
          <cell r="J290" t="str">
            <v>เพชรบุรี</v>
          </cell>
          <cell r="L290">
            <v>76000</v>
          </cell>
        </row>
        <row r="291">
          <cell r="B291">
            <v>2570</v>
          </cell>
          <cell r="C291" t="str">
            <v>ครุภัณฑ์ไฟฟ้าและวิทยุ</v>
          </cell>
          <cell r="G291" t="str">
            <v>ชุดไมโครโฟนห้องประชุม</v>
          </cell>
          <cell r="H291" t="str">
            <v>พมจ.มุกดาหาร</v>
          </cell>
          <cell r="J291" t="str">
            <v>มุกดาหาร</v>
          </cell>
          <cell r="L291">
            <v>76000</v>
          </cell>
        </row>
        <row r="292">
          <cell r="B292">
            <v>2570</v>
          </cell>
          <cell r="C292" t="str">
            <v>ครุภัณฑ์ไฟฟ้าและวิทยุ</v>
          </cell>
          <cell r="G292" t="str">
            <v>ชุดไมโครโฟนห้องประชุม</v>
          </cell>
          <cell r="H292" t="str">
            <v>พมจ.นราธิวาส</v>
          </cell>
          <cell r="J292" t="str">
            <v>นราธิวาส</v>
          </cell>
          <cell r="L292">
            <v>90980</v>
          </cell>
        </row>
        <row r="293">
          <cell r="B293">
            <v>2570</v>
          </cell>
          <cell r="C293" t="str">
            <v>ครุภัณฑ์ไฟฟ้าและวิทยุ</v>
          </cell>
          <cell r="G293" t="str">
            <v>ชุดไมโครโฟนห้องประชุม</v>
          </cell>
          <cell r="H293" t="str">
            <v>พมจ.กาฬสินธุ์</v>
          </cell>
          <cell r="J293" t="str">
            <v>กาฬสินธุ์</v>
          </cell>
          <cell r="L293">
            <v>140000</v>
          </cell>
        </row>
        <row r="294">
          <cell r="B294">
            <v>2570</v>
          </cell>
          <cell r="C294" t="str">
            <v>ครุภัณฑ์ไฟฟ้าและวิทยุ</v>
          </cell>
          <cell r="G294" t="str">
            <v>เครื่องงรับ - ส่งวิทยุ ระบบ VHF/FM ชนิดมือถือ 5 วัตต์</v>
          </cell>
          <cell r="H294" t="str">
            <v>พมจ.พระนครศรีอยุธยา</v>
          </cell>
          <cell r="J294" t="str">
            <v>พระนครศรีอยุธยา</v>
          </cell>
          <cell r="L294">
            <v>72000</v>
          </cell>
        </row>
        <row r="295">
          <cell r="B295">
            <v>2570</v>
          </cell>
          <cell r="C295" t="str">
            <v>ครุภัณฑ์ยานพาหนะและขนส่ง</v>
          </cell>
          <cell r="G295" t="str">
            <v>รถโดยสารขนาด 12 ที่นั่ง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295" t="str">
            <v>พมจ.จันทบุรี</v>
          </cell>
          <cell r="J295" t="str">
            <v>จันทบุรี</v>
          </cell>
          <cell r="L295">
            <v>1498000</v>
          </cell>
        </row>
        <row r="296">
          <cell r="B296">
            <v>2570</v>
          </cell>
          <cell r="C296" t="str">
            <v>ครุภัณฑ์ยานพาหนะและขนส่ง</v>
          </cell>
          <cell r="G296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296" t="str">
            <v>พมจ.ชัยนาท</v>
          </cell>
          <cell r="J296" t="str">
            <v>ชัยนาท</v>
          </cell>
          <cell r="L296">
            <v>1498000</v>
          </cell>
        </row>
        <row r="297">
          <cell r="B297">
            <v>2570</v>
          </cell>
          <cell r="C297" t="str">
            <v>ครุภัณฑ์ยานพาหนะและขนส่ง</v>
          </cell>
          <cell r="G297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297" t="str">
            <v>พมจ.นราธิวาส</v>
          </cell>
          <cell r="J297" t="str">
            <v>นราธิวาส</v>
          </cell>
          <cell r="L297">
            <v>1498000</v>
          </cell>
        </row>
        <row r="298">
          <cell r="B298">
            <v>2570</v>
          </cell>
          <cell r="C298" t="str">
            <v>ครุภัณฑ์ยานพาหนะและขนส่ง</v>
          </cell>
          <cell r="G298" t="str">
            <v>รถโดยสารขนาด 12 ที่นัjง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298" t="str">
            <v>พมจ.ปัตตานี</v>
          </cell>
          <cell r="J298" t="str">
            <v>ปัตตานี</v>
          </cell>
          <cell r="L298">
            <v>1498000</v>
          </cell>
        </row>
        <row r="299">
          <cell r="B299">
            <v>2570</v>
          </cell>
          <cell r="C299" t="str">
            <v>ครุภัณฑ์ยานพาหนะและขนส่ง</v>
          </cell>
          <cell r="G299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299" t="str">
            <v>พมจ.พัทลุง</v>
          </cell>
          <cell r="J299" t="str">
            <v>พัทลุง</v>
          </cell>
          <cell r="L299">
            <v>1498000</v>
          </cell>
        </row>
        <row r="300">
          <cell r="B300">
            <v>2570</v>
          </cell>
          <cell r="C300" t="str">
            <v>ครุภัณฑ์ยานพาหนะและขนส่ง</v>
          </cell>
          <cell r="G300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00" t="str">
            <v>พมจ.สระแก้ว</v>
          </cell>
          <cell r="J300" t="str">
            <v>สระแก้ว</v>
          </cell>
          <cell r="L300">
            <v>1498000</v>
          </cell>
        </row>
        <row r="301">
          <cell r="B301">
            <v>2570</v>
          </cell>
          <cell r="C301" t="str">
            <v>ครุภัณฑ์ยานพาหนะและขนส่ง</v>
          </cell>
          <cell r="G301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01" t="str">
            <v>พมจ.สิงห์บุรี</v>
          </cell>
          <cell r="J301" t="str">
            <v>สิงห์บุรี</v>
          </cell>
          <cell r="L301">
            <v>1498000</v>
          </cell>
        </row>
        <row r="302">
          <cell r="B302">
            <v>2570</v>
          </cell>
          <cell r="C302" t="str">
            <v>ครุภัณฑ์ยานพาหนะและขนส่ง</v>
          </cell>
          <cell r="G302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02" t="str">
            <v>พมจ.สุรินทร์</v>
          </cell>
          <cell r="J302" t="str">
            <v>สุรินทร์</v>
          </cell>
          <cell r="L302">
            <v>1498000</v>
          </cell>
        </row>
        <row r="303">
          <cell r="B303">
            <v>2570</v>
          </cell>
          <cell r="C303" t="str">
            <v>ครุภัณฑ์ยานพาหนะและขนส่ง</v>
          </cell>
          <cell r="G303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03" t="str">
            <v>พมจ.อุตรดิตถ์</v>
          </cell>
          <cell r="J303" t="str">
            <v>อุตรดิตถ์</v>
          </cell>
          <cell r="L303">
            <v>1498000</v>
          </cell>
        </row>
        <row r="304">
          <cell r="B304">
            <v>2570</v>
          </cell>
          <cell r="C304" t="str">
            <v>ครุภัณฑ์ยานพาหนะและขนส่ง</v>
          </cell>
          <cell r="G304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04" t="str">
            <v>พมจ.ปราจีนบุรี</v>
          </cell>
          <cell r="J304" t="str">
            <v>ปราจีนบุรี</v>
          </cell>
          <cell r="L304">
            <v>1498000</v>
          </cell>
        </row>
        <row r="305">
          <cell r="B305">
            <v>2570</v>
          </cell>
          <cell r="C305" t="str">
            <v>ครุภัณฑ์ยานพาหนะและขนส่ง</v>
          </cell>
          <cell r="G305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05" t="str">
            <v>พมจ.สระบุรี</v>
          </cell>
          <cell r="J305" t="str">
            <v>สระบุรี</v>
          </cell>
          <cell r="L305">
            <v>1498000</v>
          </cell>
        </row>
        <row r="306">
          <cell r="B306">
            <v>2570</v>
          </cell>
          <cell r="C306" t="str">
            <v>ครุภัณฑ์ยานพาหนะและขนส่ง</v>
          </cell>
          <cell r="G306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06" t="str">
            <v>พมจ.ลำพูน</v>
          </cell>
          <cell r="J306" t="str">
            <v>ลำพูน</v>
          </cell>
          <cell r="L306">
            <v>1498000</v>
          </cell>
        </row>
        <row r="307">
          <cell r="B307">
            <v>2570</v>
          </cell>
          <cell r="C307" t="str">
            <v>ครุภัณฑ์ยานพาหนะและขนส่ง</v>
          </cell>
          <cell r="G307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07" t="str">
            <v>พมจ.หนองบัวลำภู</v>
          </cell>
          <cell r="J307" t="str">
            <v>หนองบัวลำภู</v>
          </cell>
          <cell r="L307">
            <v>1498000</v>
          </cell>
        </row>
        <row r="308">
          <cell r="B308">
            <v>2570</v>
          </cell>
          <cell r="C308" t="str">
            <v>ครุภัณฑ์ยานพาหนะและขนส่ง</v>
          </cell>
          <cell r="G308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08" t="str">
            <v>พมจ.ชุมพร</v>
          </cell>
          <cell r="J308" t="str">
            <v>ชุมพร</v>
          </cell>
          <cell r="L308">
            <v>1498000</v>
          </cell>
        </row>
        <row r="309">
          <cell r="B309">
            <v>2570</v>
          </cell>
          <cell r="C309" t="str">
            <v>ครุภัณฑ์ยานพาหนะและขนส่ง</v>
          </cell>
          <cell r="G309" t="str">
            <v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09" t="str">
            <v>พมจ.กาฬสินธุ์</v>
          </cell>
          <cell r="J309" t="str">
            <v>กาฬสินธุ์</v>
          </cell>
          <cell r="L309">
            <v>1498000</v>
          </cell>
        </row>
        <row r="310">
          <cell r="B310">
            <v>2570</v>
          </cell>
          <cell r="C310" t="str">
            <v>ครุภัณฑ์ยานพาหนะและขนส่ง</v>
          </cell>
          <cell r="G310" t="str">
            <v>รถโดยสารขนาด 12 ที่นั่ง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10" t="str">
            <v>พมจ.นครราชสีมา</v>
          </cell>
          <cell r="J310" t="str">
            <v xml:space="preserve">นครราชสีมา </v>
          </cell>
          <cell r="L310">
            <v>1498000</v>
          </cell>
        </row>
        <row r="311">
          <cell r="B311">
            <v>2570</v>
          </cell>
          <cell r="C311" t="str">
            <v>ครุภัณฑ์ยานพาหนะและขนส่ง</v>
          </cell>
          <cell r="G311" t="str">
    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    </cell>
          <cell r="H311" t="str">
            <v>พมจ.อุบลราชธานี</v>
          </cell>
          <cell r="J311" t="str">
            <v xml:space="preserve">อุบลราชธานี </v>
          </cell>
          <cell r="L311">
            <v>1498000</v>
          </cell>
        </row>
        <row r="312">
          <cell r="B312">
            <v>2570</v>
          </cell>
          <cell r="C312" t="str">
            <v>ครุภัณฑ์ยานพาหนะและขนส่ง</v>
          </cell>
          <cell r="G312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12" t="str">
            <v>พมจ.นราธิวาส</v>
          </cell>
          <cell r="J312" t="str">
            <v>นราธิวาส</v>
          </cell>
          <cell r="L312">
            <v>970900</v>
          </cell>
        </row>
        <row r="313">
          <cell r="B313">
            <v>2570</v>
          </cell>
          <cell r="C313" t="str">
            <v>ครุภัณฑ์ยานพาหนะและขนส่ง</v>
          </cell>
          <cell r="G313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13" t="str">
            <v>พมจ.ลำปาง</v>
          </cell>
          <cell r="J313" t="str">
            <v>ลำปาง</v>
          </cell>
          <cell r="L313">
            <v>970900</v>
          </cell>
        </row>
        <row r="314">
          <cell r="B314">
            <v>2570</v>
          </cell>
          <cell r="C314" t="str">
            <v>ครุภัณฑ์ยานพาหนะและขนส่ง</v>
          </cell>
          <cell r="G314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14" t="str">
            <v>พมจ.ยะลา</v>
          </cell>
          <cell r="J314" t="str">
            <v>ยะลา</v>
          </cell>
          <cell r="L314">
            <v>970900</v>
          </cell>
        </row>
        <row r="315">
          <cell r="B315">
            <v>2570</v>
          </cell>
          <cell r="C315" t="str">
            <v>ครุภัณฑ์ยานพาหนะและขนส่ง</v>
          </cell>
          <cell r="G315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15" t="str">
            <v>พมจ.อุดรธานี</v>
          </cell>
          <cell r="J315" t="str">
            <v>อุดรธานี</v>
          </cell>
          <cell r="L315">
            <v>970900</v>
          </cell>
        </row>
        <row r="316">
          <cell r="B316">
            <v>2570</v>
          </cell>
          <cell r="C316" t="str">
            <v>ครุภัณฑ์ยานพาหนะและขนส่ง</v>
          </cell>
          <cell r="G316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16" t="str">
            <v>พมจ.สมุทรสงคราม</v>
          </cell>
          <cell r="J316" t="str">
            <v>สมุทรสงคราม</v>
          </cell>
          <cell r="L316">
            <v>970900</v>
          </cell>
        </row>
        <row r="317">
          <cell r="B317">
            <v>2570</v>
          </cell>
          <cell r="C317" t="str">
            <v>ครุภัณฑ์ยานพาหนะและขนส่ง</v>
          </cell>
          <cell r="G317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17" t="str">
            <v>พมจ.สุโขทัย</v>
          </cell>
          <cell r="J317" t="str">
            <v>สุโขทัย</v>
          </cell>
          <cell r="L317">
            <v>970900</v>
          </cell>
        </row>
        <row r="318">
          <cell r="B318">
            <v>2570</v>
          </cell>
          <cell r="C318" t="str">
            <v>ครุภัณฑ์ยานพาหนะและขนส่ง</v>
          </cell>
          <cell r="G318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18" t="str">
            <v>พมจ.ชลบุรี</v>
          </cell>
          <cell r="J318" t="str">
            <v>ชลบุรี</v>
          </cell>
          <cell r="L318">
            <v>970900</v>
          </cell>
        </row>
        <row r="319">
          <cell r="B319">
            <v>2570</v>
          </cell>
          <cell r="C319" t="str">
            <v>ครุภัณฑ์ยานพาหนะและขนส่ง</v>
          </cell>
          <cell r="G319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19" t="str">
            <v>พมจ.สตูล</v>
          </cell>
          <cell r="J319" t="str">
            <v>สตูล</v>
          </cell>
          <cell r="L319">
            <v>970900</v>
          </cell>
        </row>
        <row r="320">
          <cell r="B320">
            <v>2570</v>
          </cell>
          <cell r="C320" t="str">
            <v>ครุภัณฑ์ยานพาหนะและขนส่ง</v>
          </cell>
          <cell r="G320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20" t="str">
            <v>พมจ.สตูล</v>
          </cell>
          <cell r="J320" t="str">
            <v>สตูล</v>
          </cell>
          <cell r="L320">
            <v>970900</v>
          </cell>
        </row>
        <row r="321">
          <cell r="B321">
            <v>2570</v>
          </cell>
          <cell r="C321" t="str">
            <v>ครุภัณฑ์ยานพาหนะและขนส่ง</v>
          </cell>
          <cell r="G321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21" t="str">
            <v>พมจ.สตูล</v>
          </cell>
          <cell r="J321" t="str">
            <v>สตูล</v>
          </cell>
          <cell r="L321">
            <v>970900</v>
          </cell>
        </row>
        <row r="322">
          <cell r="B322">
            <v>2570</v>
          </cell>
          <cell r="C322" t="str">
            <v>ครุภัณฑ์ยานพาหนะและขนส่ง</v>
          </cell>
          <cell r="G322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22" t="str">
            <v>พมจ.สตูล</v>
          </cell>
          <cell r="J322" t="str">
            <v>สตูล</v>
          </cell>
          <cell r="L322">
            <v>970900</v>
          </cell>
        </row>
        <row r="323">
          <cell r="B323">
            <v>2570</v>
          </cell>
          <cell r="C323" t="str">
            <v>ครุภัณฑ์ยานพาหนะและขนส่ง</v>
          </cell>
          <cell r="G323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23" t="str">
            <v>พมจ.สตูล</v>
          </cell>
          <cell r="J323" t="str">
            <v>สตูล</v>
          </cell>
          <cell r="L323">
            <v>970900</v>
          </cell>
        </row>
        <row r="324">
          <cell r="B324">
            <v>2570</v>
          </cell>
          <cell r="C324" t="str">
            <v>ครุภัณฑ์ยานพาหนะและขนส่ง</v>
          </cell>
          <cell r="G324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24" t="str">
            <v>พมจ.ปทุมธานี</v>
          </cell>
          <cell r="J324" t="str">
            <v>ปทุมธานี</v>
          </cell>
          <cell r="L324">
            <v>970900</v>
          </cell>
        </row>
        <row r="325">
          <cell r="B325">
            <v>2570</v>
          </cell>
          <cell r="C325" t="str">
            <v>ครุภัณฑ์ยานพาหนะและขนส่ง</v>
          </cell>
          <cell r="G325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25" t="str">
            <v>พมจ.สมุทรปราการ</v>
          </cell>
          <cell r="J325" t="str">
            <v>สมุทรปราการ</v>
          </cell>
          <cell r="L325">
            <v>970900</v>
          </cell>
        </row>
        <row r="326">
          <cell r="B326">
            <v>2570</v>
          </cell>
          <cell r="C326" t="str">
            <v>ครุภัณฑ์ยานพาหนะและขนส่ง</v>
          </cell>
          <cell r="G326" t="str">
    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    </cell>
          <cell r="H326" t="str">
            <v>พมจ.สระบุรี</v>
          </cell>
          <cell r="J326" t="str">
            <v>สระบุรี</v>
          </cell>
          <cell r="L326">
            <v>970900</v>
          </cell>
        </row>
        <row r="327">
          <cell r="B327">
            <v>2570</v>
          </cell>
          <cell r="C327" t="str">
            <v>ครุภัณฑ์ยานพาหนะและขนส่ง</v>
          </cell>
          <cell r="G327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27" t="str">
            <v>พมจ.อุตรดิตถ์</v>
          </cell>
          <cell r="J327" t="str">
            <v>อุตรดิตถ์</v>
          </cell>
          <cell r="L327">
            <v>1207900</v>
          </cell>
        </row>
        <row r="328">
          <cell r="B328">
            <v>2570</v>
          </cell>
          <cell r="C328" t="str">
            <v>ครุภัณฑ์ยานพาหนะและขนส่ง</v>
          </cell>
          <cell r="G328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28" t="str">
            <v>พมจ.พังงา</v>
          </cell>
          <cell r="J328" t="str">
            <v xml:space="preserve">พังงา </v>
          </cell>
          <cell r="L328">
            <v>1207900</v>
          </cell>
        </row>
        <row r="329">
          <cell r="B329">
            <v>2570</v>
          </cell>
          <cell r="C329" t="str">
            <v>ครุภัณฑ์ยานพาหนะและขนส่ง</v>
          </cell>
          <cell r="G329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29" t="str">
            <v>พมจ.ชัยภูมิ</v>
          </cell>
          <cell r="J329" t="str">
            <v>ชัยภูมิ</v>
          </cell>
          <cell r="L329">
            <v>1207900</v>
          </cell>
        </row>
        <row r="330">
          <cell r="B330">
            <v>2570</v>
          </cell>
          <cell r="C330" t="str">
            <v>ครุภัณฑ์ยานพาหนะและขนส่ง</v>
          </cell>
          <cell r="G330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30" t="str">
            <v>พมจ.เชียงใหม่</v>
          </cell>
          <cell r="J330" t="str">
            <v>เชียงใหม่</v>
          </cell>
          <cell r="L330">
            <v>1207900</v>
          </cell>
        </row>
        <row r="331">
          <cell r="B331">
            <v>2570</v>
          </cell>
          <cell r="C331" t="str">
            <v>ครุภัณฑ์ยานพาหนะและขนส่ง</v>
          </cell>
          <cell r="G331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31" t="str">
            <v>พมจ.สระแก้ว</v>
          </cell>
          <cell r="J331" t="str">
            <v>สระแก้ว</v>
          </cell>
          <cell r="L331">
            <v>1207900</v>
          </cell>
        </row>
        <row r="332">
          <cell r="B332">
            <v>2570</v>
          </cell>
          <cell r="C332" t="str">
            <v>ครุภัณฑ์ยานพาหนะและขนส่ง</v>
          </cell>
          <cell r="G332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32" t="str">
            <v>พมจ.สตูล</v>
          </cell>
          <cell r="J332" t="str">
            <v>สตูล</v>
          </cell>
          <cell r="L332">
            <v>1207900</v>
          </cell>
        </row>
        <row r="333">
          <cell r="B333">
            <v>2570</v>
          </cell>
          <cell r="C333" t="str">
            <v>ครุภัณฑ์ยานพาหนะและขนส่ง</v>
          </cell>
          <cell r="G333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33" t="str">
            <v>พมจ.สตูล</v>
          </cell>
          <cell r="J333" t="str">
            <v>สตูล</v>
          </cell>
          <cell r="L333">
            <v>1207900</v>
          </cell>
        </row>
        <row r="334">
          <cell r="B334">
            <v>2570</v>
          </cell>
          <cell r="C334" t="str">
            <v>ครุภัณฑ์ยานพาหนะและขนส่ง</v>
          </cell>
          <cell r="G334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34" t="str">
            <v>พมจ.จันทบุรี</v>
          </cell>
          <cell r="J334" t="str">
            <v>จันทบุรี</v>
          </cell>
          <cell r="L334">
            <v>1207900</v>
          </cell>
        </row>
        <row r="335">
          <cell r="B335">
            <v>2570</v>
          </cell>
          <cell r="C335" t="str">
            <v>ครุภัณฑ์ยานพาหนะและขนส่ง</v>
          </cell>
          <cell r="G335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35" t="str">
            <v>พมจ.เชียงราย</v>
          </cell>
          <cell r="J335" t="str">
            <v>เชียงราย</v>
          </cell>
          <cell r="L335">
            <v>1207900</v>
          </cell>
        </row>
        <row r="336">
          <cell r="B336">
            <v>2570</v>
          </cell>
          <cell r="C336" t="str">
            <v>ครุภัณฑ์ยานพาหนะและขนส่ง</v>
          </cell>
          <cell r="G336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36" t="str">
            <v>พมจ.น่าน</v>
          </cell>
          <cell r="J336" t="str">
            <v>น่าน</v>
          </cell>
          <cell r="L336">
            <v>1207900</v>
          </cell>
        </row>
        <row r="337">
          <cell r="B337">
            <v>2570</v>
          </cell>
          <cell r="C337" t="str">
            <v>ครุภัณฑ์ยานพาหนะและขนส่ง</v>
          </cell>
          <cell r="G337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37" t="str">
            <v>พมจ.สกลนคร</v>
          </cell>
          <cell r="J337" t="str">
            <v>สกลนคร</v>
          </cell>
          <cell r="L337">
            <v>1207900</v>
          </cell>
        </row>
        <row r="338">
          <cell r="B338">
            <v>2570</v>
          </cell>
          <cell r="C338" t="str">
            <v>ครุภัณฑ์ยานพาหนะและขนส่ง</v>
          </cell>
          <cell r="G338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38" t="str">
            <v>พมจ.สุพรรณบุรี</v>
          </cell>
          <cell r="J338" t="str">
            <v>สุพรรณบุรี</v>
          </cell>
          <cell r="L338">
            <v>1207900</v>
          </cell>
        </row>
        <row r="339">
          <cell r="B339">
            <v>2570</v>
          </cell>
          <cell r="C339" t="str">
            <v>ครุภัณฑ์ยานพาหนะและขนส่ง</v>
          </cell>
          <cell r="G339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39" t="str">
            <v>พมจ.อุทัยธานี</v>
          </cell>
          <cell r="J339" t="str">
            <v>อุทัยธานี</v>
          </cell>
          <cell r="L339">
            <v>1207900</v>
          </cell>
        </row>
        <row r="340">
          <cell r="B340">
            <v>2570</v>
          </cell>
          <cell r="C340" t="str">
            <v>ครุภัณฑ์ยานพาหนะและขนส่ง</v>
          </cell>
          <cell r="G340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40" t="str">
            <v>พมจ.ลำพูน</v>
          </cell>
          <cell r="J340" t="str">
            <v>ลำพูน</v>
          </cell>
          <cell r="L340">
            <v>1207900</v>
          </cell>
        </row>
        <row r="341">
          <cell r="B341">
            <v>2570</v>
          </cell>
          <cell r="C341" t="str">
            <v>ครุภัณฑ์ยานพาหนะและขนส่ง</v>
          </cell>
          <cell r="G341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41" t="str">
            <v>พมจ.ลพบุรี</v>
          </cell>
          <cell r="J341" t="str">
            <v>ลพบุรี</v>
          </cell>
          <cell r="L341">
            <v>1207900</v>
          </cell>
        </row>
        <row r="342">
          <cell r="B342">
            <v>2570</v>
          </cell>
          <cell r="C342" t="str">
            <v>ครุภัณฑ์ยานพาหนะและขนส่ง</v>
          </cell>
          <cell r="G342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42" t="str">
            <v>พมจ.ชัยภูมิ</v>
          </cell>
          <cell r="J342" t="str">
            <v>ชัยภูมิ</v>
          </cell>
          <cell r="L342">
            <v>1207900</v>
          </cell>
        </row>
        <row r="343">
          <cell r="B343">
            <v>2570</v>
          </cell>
          <cell r="C343" t="str">
            <v>ครุภัณฑ์ยานพาหนะและขนส่ง</v>
          </cell>
          <cell r="G343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43" t="str">
            <v>พมจ.พระนครศรีอยุธยา</v>
          </cell>
          <cell r="J343" t="str">
            <v>พระนครศรีอยุธยา</v>
          </cell>
          <cell r="L343">
            <v>1207900</v>
          </cell>
        </row>
        <row r="344">
          <cell r="B344">
            <v>2570</v>
          </cell>
          <cell r="C344" t="str">
            <v>ครุภัณฑ์ยานพาหนะและขนส่ง</v>
          </cell>
          <cell r="G344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44" t="str">
            <v>พมจ.ตรัง</v>
          </cell>
          <cell r="J344" t="str">
            <v>ตรัง</v>
          </cell>
          <cell r="L344">
            <v>1207900</v>
          </cell>
        </row>
        <row r="345">
          <cell r="B345">
            <v>2570</v>
          </cell>
          <cell r="C345" t="str">
            <v>ครุภัณฑ์ยานพาหนะและขนส่ง</v>
          </cell>
          <cell r="G345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45" t="str">
            <v>พมจ.พัทลุง</v>
          </cell>
          <cell r="J345" t="str">
            <v>พัทลุง</v>
          </cell>
          <cell r="L345">
            <v>1207900</v>
          </cell>
        </row>
        <row r="346">
          <cell r="B346">
            <v>2570</v>
          </cell>
          <cell r="C346" t="str">
            <v>ครุภัณฑ์ยานพาหนะและขนส่ง</v>
          </cell>
          <cell r="G346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46" t="str">
            <v>พมจ.พิษณุโลก</v>
          </cell>
          <cell r="J346" t="str">
            <v>พิษณุโลก</v>
          </cell>
          <cell r="L346">
            <v>1207900</v>
          </cell>
        </row>
        <row r="347">
          <cell r="B347">
            <v>2570</v>
          </cell>
          <cell r="C347" t="str">
            <v>ครุภัณฑ์ยานพาหนะและขนส่ง</v>
          </cell>
          <cell r="G347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47" t="str">
            <v>พมจ.แม่ฮ่องสอน</v>
          </cell>
          <cell r="J347" t="str">
            <v xml:space="preserve">แม่ฮ่องสอน </v>
          </cell>
          <cell r="L347">
            <v>1207900</v>
          </cell>
        </row>
        <row r="348">
          <cell r="B348">
            <v>2570</v>
          </cell>
          <cell r="C348" t="str">
            <v>ครุภัณฑ์ยานพาหนะและขนส่ง</v>
          </cell>
          <cell r="G348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48" t="str">
            <v>พมจ.บึงกาฬ</v>
          </cell>
          <cell r="J348" t="str">
            <v>บึงกาฬ</v>
          </cell>
          <cell r="L348">
            <v>1207900</v>
          </cell>
        </row>
        <row r="349">
          <cell r="B349">
            <v>2570</v>
          </cell>
          <cell r="C349" t="str">
            <v>ครุภัณฑ์ยานพาหนะและขนส่ง</v>
          </cell>
          <cell r="G349" t="str">
    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    </cell>
          <cell r="H349" t="str">
            <v>พมจ.ยะลา</v>
          </cell>
          <cell r="J349" t="str">
            <v>ยะลา</v>
          </cell>
          <cell r="L349">
            <v>1207900</v>
          </cell>
        </row>
        <row r="350">
          <cell r="B350">
            <v>2570</v>
          </cell>
          <cell r="C350" t="str">
            <v>ครุภัณฑ์ยานพาหนะและขนส่ง</v>
          </cell>
          <cell r="G350" t="str">
            <v xml:space="preserve">รถยนต์ตรวจการณ์ ปริมาตรกระบอกสูบไม่ต่ำกว่า 2,000 ซีซี หรือกำลังเครื่องยนต์ สูงสุดไม่ต่ำกว่า 100 กิโลวัตต์ เครื่องยนต์เบนซิน แบบขับเคลื่อน 2 ล้อ </v>
          </cell>
          <cell r="H350" t="str">
            <v>พมจ.นครราชสีมา</v>
          </cell>
          <cell r="J350" t="str">
            <v xml:space="preserve">นครราชสีมา </v>
          </cell>
          <cell r="L350">
            <v>1477000</v>
          </cell>
        </row>
        <row r="351">
          <cell r="B351">
            <v>2570</v>
          </cell>
          <cell r="C351" t="str">
            <v>ครุภัณฑ์ยานพาหนะและขนส่ง</v>
          </cell>
          <cell r="G351" t="str">
            <v xml:space="preserve">รถยนต์ตรวจการณ์ ปริมาตรกระบอกสูบไม่ต่ำกว่า 2,000 ซีซี หรือกำลังเครื่องยนต์ สูงสุดไม่ต่ำกว่า 110 กิโลวัตต์ เครื่องยนต์ดิเซล แบบขับเคลื่อน 4 ล้อ </v>
          </cell>
          <cell r="H351" t="str">
            <v>พมจ.สกลนคร</v>
          </cell>
          <cell r="J351" t="str">
            <v>สกลนคร</v>
          </cell>
          <cell r="L351">
            <v>1664000</v>
          </cell>
        </row>
        <row r="352">
          <cell r="B352">
            <v>2570</v>
          </cell>
          <cell r="C352" t="str">
            <v>ครุภัณฑ์ยานพาหนะและขนส่ง</v>
          </cell>
          <cell r="G352" t="str">
            <v>รถจักรยานยนต์ ขนาด 110 ซีซี แบบเกียร์อัตโนมัติ</v>
          </cell>
          <cell r="H352" t="str">
            <v>พมจ.ยโสธร</v>
          </cell>
          <cell r="J352" t="str">
            <v>ยโสธร</v>
          </cell>
          <cell r="L352">
            <v>52000</v>
          </cell>
        </row>
        <row r="353">
          <cell r="B353">
            <v>2570</v>
          </cell>
          <cell r="C353" t="str">
            <v>ครุภัณฑ์ยานพาหนะและขนส่ง</v>
          </cell>
          <cell r="G353" t="str">
            <v xml:space="preserve">รถจักรยานยนต์ ขนาด 120 ซีซี </v>
          </cell>
          <cell r="H353" t="str">
            <v>พมจ.แม่ฮ่องสอน</v>
          </cell>
          <cell r="J353" t="str">
            <v xml:space="preserve">แม่ฮ่องสอน </v>
          </cell>
          <cell r="L353">
            <v>60100</v>
          </cell>
        </row>
        <row r="354">
          <cell r="B354">
            <v>2570</v>
          </cell>
          <cell r="C354" t="str">
            <v>ครุภัณฑ์ยานพาหนะและขนส่ง</v>
          </cell>
          <cell r="G354" t="str">
            <v xml:space="preserve">รถจักรยานยนต์ ขนาด 120 ซีซี </v>
          </cell>
          <cell r="H354" t="str">
            <v>พมจ.นครศรีธรรมราช</v>
          </cell>
          <cell r="J354" t="str">
            <v>นครศรีธรรมราช</v>
          </cell>
          <cell r="L354">
            <v>60100</v>
          </cell>
        </row>
        <row r="355">
          <cell r="B355">
            <v>2570</v>
          </cell>
          <cell r="C355" t="str">
            <v>ครุภัณฑ์ยานพาหนะและขนส่ง</v>
          </cell>
          <cell r="G355" t="str">
            <v xml:space="preserve">รถจักรยานยนต์ ขนาด 120 ซีซี </v>
          </cell>
          <cell r="H355" t="str">
            <v>พมจ.สุโขทัย</v>
          </cell>
          <cell r="J355" t="str">
            <v>สุโขทัย</v>
          </cell>
          <cell r="L355">
            <v>60100</v>
          </cell>
        </row>
        <row r="356">
          <cell r="B356">
            <v>2570</v>
          </cell>
          <cell r="C356" t="str">
            <v>ครุภัณฑ์คอมพิวเตอร์</v>
          </cell>
          <cell r="G356" t="str">
            <v xml:space="preserve"> เครื่องคอมพิวเตอร์ สำหรับงานประมวลผลแบบที่ 1 (จอแสดงภาพขนาด   ไม่น้อยกว่า 19 นิ้ว) พร้อมชุดโปรแกรมระบบปฏิบัติการ และเครื่องสำรองไฟฟ้า </v>
          </cell>
          <cell r="H356" t="str">
            <v>ศทส.</v>
          </cell>
          <cell r="J356" t="str">
            <v>กรุงเทพมหานคร</v>
          </cell>
          <cell r="L356">
            <v>21090900</v>
          </cell>
        </row>
        <row r="357">
          <cell r="B357">
            <v>2570</v>
          </cell>
          <cell r="C357" t="str">
            <v>ครุภัณฑ์คอมพิวเตอร์</v>
          </cell>
          <cell r="G357" t="str">
            <v>เครื่องคอมพิวเตอร์โน้ตบุ๊ก สำหรับงานประมวลผล พร้อมชุดโปรแกรมระบบปฏิบัติการ</v>
          </cell>
          <cell r="H357" t="str">
            <v>ศทส.</v>
          </cell>
          <cell r="J357" t="str">
            <v>กรุงเทพมหานคร</v>
          </cell>
          <cell r="L357">
            <v>6175800</v>
          </cell>
        </row>
        <row r="358">
          <cell r="B358">
            <v>2570</v>
          </cell>
          <cell r="C358" t="str">
            <v>ครุภัณฑ์คอมพิวเตอร์</v>
          </cell>
          <cell r="G358" t="str">
            <v>เครื่องพิมพ์เลเซอร์ หรือ LED ขาวดำ ชนิด Network แบบที่ 1 (28หน้า/นาที)</v>
          </cell>
          <cell r="H358" t="str">
            <v>ศทส.</v>
          </cell>
          <cell r="J358" t="str">
            <v>กรุงเทพมหานคร</v>
          </cell>
          <cell r="L358">
            <v>1495200</v>
          </cell>
        </row>
        <row r="359">
          <cell r="B359">
            <v>2570</v>
          </cell>
          <cell r="C359" t="str">
            <v>ครุภัณฑ์คอมพิวเตอร์</v>
          </cell>
          <cell r="G359" t="str">
            <v>เครื่องพิมพ์เลเซอร์ หรือ LED สี ชนิด Network แบบที่ 1</v>
          </cell>
          <cell r="H359" t="str">
            <v>ศทส.</v>
          </cell>
          <cell r="J359" t="str">
            <v>กรุงเทพมหานคร</v>
          </cell>
          <cell r="L359">
            <v>33000</v>
          </cell>
        </row>
        <row r="360">
          <cell r="B360">
            <v>2570</v>
          </cell>
          <cell r="C360" t="str">
            <v>ครุภัณฑ์คอมพิวเตอร์</v>
          </cell>
          <cell r="G360" t="str">
            <v xml:space="preserve">เครื่องพิมพ์แบบฉีดหมึกพร้อมติดตั้งถังหมึกพิมพ์ (Ink Tank Printer) </v>
          </cell>
          <cell r="H360" t="str">
            <v>ศทส.</v>
          </cell>
          <cell r="J360" t="str">
            <v>กรุงเทพมหานคร</v>
          </cell>
          <cell r="L360">
            <v>4100</v>
          </cell>
        </row>
        <row r="361">
          <cell r="B361">
            <v>2570</v>
          </cell>
          <cell r="C361" t="str">
            <v>ครุภัณฑ์คอมพิวเตอร์</v>
          </cell>
          <cell r="G361" t="str">
            <v>เครื่องสแกนเนอร์ สำหรับงานเก็บเอกสารระดับศูนย์บริการแบบที่ 1</v>
          </cell>
          <cell r="H361" t="str">
            <v>ศทส.</v>
          </cell>
          <cell r="J361" t="str">
            <v>กรุงเทพมหานคร</v>
          </cell>
          <cell r="L361">
            <v>544000</v>
          </cell>
        </row>
        <row r="362">
          <cell r="B362">
            <v>2570</v>
          </cell>
          <cell r="C362" t="str">
            <v>ครุภัณฑ์คอมพิวเตอร์</v>
          </cell>
          <cell r="G362" t="str">
            <v>ชุดลำโพงพร้อมไมโครโฟนสำหรับการประชุมทางไกลออนไลน์</v>
          </cell>
          <cell r="H362" t="str">
            <v>ศทส.</v>
          </cell>
          <cell r="J362" t="str">
            <v>กรุงเทพมหานคร</v>
          </cell>
          <cell r="L362">
            <v>520000</v>
          </cell>
        </row>
        <row r="363">
          <cell r="B363">
            <v>2570</v>
          </cell>
          <cell r="C363" t="str">
            <v>ครุภัณฑ์คอมพิวเตอร์</v>
          </cell>
          <cell r="G363" t="str">
            <v xml:space="preserve">กล้องวิดีโอแบบ PTZ สำหรับการประชุมทางไกลออนไลน์ </v>
          </cell>
          <cell r="H363" t="str">
            <v>ศทส.</v>
          </cell>
          <cell r="J363" t="str">
            <v>กรุงเทพมหานคร</v>
          </cell>
          <cell r="L363">
            <v>440000</v>
          </cell>
        </row>
        <row r="364">
          <cell r="B364">
            <v>2570</v>
          </cell>
          <cell r="C364" t="str">
            <v>ครุภัณฑ์คอมพิวเตอร์</v>
          </cell>
          <cell r="G364" t="str">
            <v>ชุดโปรแกรมจัดการสํานักงาน แบบที่ 3 ที่มีลิขสิทธิ์ถูกต้องตามกฎหมาย</v>
          </cell>
          <cell r="H364" t="str">
            <v>ศทส.</v>
          </cell>
          <cell r="J364" t="str">
            <v>กรุงเทพมหานคร</v>
          </cell>
          <cell r="L364">
            <v>4077000</v>
          </cell>
        </row>
        <row r="365">
          <cell r="B365">
            <v>2570</v>
          </cell>
          <cell r="C365" t="str">
            <v>ครุภัณฑ์คอมพิวเตอร์</v>
          </cell>
          <cell r="G365" t="str">
            <v>เครื่องคอมพิวเตอร์แม่ข่ายแบบที่ 2</v>
          </cell>
          <cell r="H365" t="str">
            <v>ศทส.</v>
          </cell>
          <cell r="J365" t="str">
            <v>กรุงเทพมหานคร</v>
          </cell>
          <cell r="L365">
            <v>7700000</v>
          </cell>
        </row>
        <row r="366">
          <cell r="B366">
            <v>2570</v>
          </cell>
          <cell r="C366" t="str">
            <v>ครุภัณฑ์คอมพิวเตอร์</v>
          </cell>
          <cell r="G366" t="str">
            <v>อุปกรณ์สําหรับจัดเก็บข้อมูลแบบ SAN</v>
          </cell>
          <cell r="H366" t="str">
            <v>ศทส.</v>
          </cell>
          <cell r="J366" t="str">
            <v>กรุงเทพมหานคร</v>
          </cell>
          <cell r="L366">
            <v>570000</v>
          </cell>
        </row>
        <row r="367">
          <cell r="B367">
            <v>2570</v>
          </cell>
          <cell r="C367" t="str">
            <v>ครุภัณฑ์คอมพิวเตอร์</v>
          </cell>
          <cell r="G367" t="str">
            <v>อุปกรณ์กระจายสัญญาณ (L2 Switch) ขนาด 24 ช่อง แบบที่ 2</v>
          </cell>
          <cell r="H367" t="str">
            <v>ศทส.</v>
          </cell>
          <cell r="J367" t="str">
            <v>กรุงเทพมหานคร</v>
          </cell>
          <cell r="L367">
            <v>208000</v>
          </cell>
        </row>
        <row r="368">
          <cell r="B368">
            <v>2570</v>
          </cell>
          <cell r="C368" t="str">
            <v>ครุภัณฑ์คอมพิวเตอร์</v>
          </cell>
          <cell r="G368" t="str">
            <v>อุปกรณ์เครือข่าย SAN switch</v>
          </cell>
          <cell r="H368" t="str">
            <v>ศทส.</v>
          </cell>
          <cell r="J368" t="str">
            <v>กรุงเทพมหานคร</v>
          </cell>
          <cell r="L368">
            <v>1000000</v>
          </cell>
        </row>
        <row r="369">
          <cell r="B369">
            <v>2570</v>
          </cell>
          <cell r="C369" t="str">
            <v>ครุภัณฑ์คอมพิวเตอร์</v>
          </cell>
          <cell r="G369" t="str">
            <v xml:space="preserve"> อุปกรณ์กระจายสัญญาณไร้สาย (Access Point) แบบที่ 2</v>
          </cell>
          <cell r="H369" t="str">
            <v>ศทส.</v>
          </cell>
          <cell r="J369" t="str">
            <v>กรุงเทพมหานคร</v>
          </cell>
          <cell r="L369">
            <v>525000</v>
          </cell>
        </row>
        <row r="370">
          <cell r="B370">
            <v>2570</v>
          </cell>
          <cell r="C370" t="str">
            <v>ครุภัณฑ์คอมพิวเตอร์</v>
          </cell>
          <cell r="G370" t="str">
            <v>จัดหาลิขสิทธิ์โปรแกรมบริหารจัดการเครื่องคอมพิวเตอร์แม่ข่าย</v>
          </cell>
          <cell r="H370" t="str">
            <v>ศทส.</v>
          </cell>
          <cell r="J370" t="str">
            <v>กรุงเทพมหานคร</v>
          </cell>
          <cell r="L370">
            <v>4224000</v>
          </cell>
        </row>
        <row r="371">
          <cell r="B371">
            <v>2570</v>
          </cell>
          <cell r="C371" t="str">
            <v>ครุภัณฑ์สำนักงาน</v>
          </cell>
          <cell r="G371" t="str">
            <v>ชุดโต๊ะทำงานพร้อมเก้าอี้ ระดับผู้อำนวยการกอง</v>
          </cell>
          <cell r="H371" t="str">
            <v>สบพ.</v>
          </cell>
          <cell r="J371" t="str">
            <v>ปทุมธานี</v>
          </cell>
          <cell r="L371">
            <v>25200</v>
          </cell>
        </row>
        <row r="372">
          <cell r="B372">
            <v>2570</v>
          </cell>
          <cell r="C372" t="str">
            <v>ครุภัณฑ์สำนักงาน</v>
          </cell>
          <cell r="G372" t="str">
            <v>ชุดโต๊ะทำงานพร้อมเก้าอี้ ระดับหัวหน้ากลุ่ม/ฝ่าย</v>
          </cell>
          <cell r="H372" t="str">
            <v>สบพ.</v>
          </cell>
          <cell r="J372" t="str">
            <v>ปทุมธานี</v>
          </cell>
          <cell r="L372">
            <v>41200</v>
          </cell>
        </row>
        <row r="373">
          <cell r="B373">
            <v>2570</v>
          </cell>
          <cell r="C373" t="str">
            <v>ครุภัณฑ์สำนักงาน</v>
          </cell>
          <cell r="G373" t="str">
            <v>ชุดโต๊ะทำงานพร้อมเก้าอี้ ระดับเจ้าหน้าที่</v>
          </cell>
          <cell r="H373" t="str">
            <v>สบพ.</v>
          </cell>
          <cell r="J373" t="str">
            <v>ปทุมธานี</v>
          </cell>
          <cell r="L373">
            <v>291200</v>
          </cell>
        </row>
        <row r="374">
          <cell r="B374">
            <v>2570</v>
          </cell>
          <cell r="C374" t="str">
            <v>ครุภัณฑ์สำนักงาน</v>
          </cell>
          <cell r="G374" t="str">
            <v>ชุดโต๊ะประชุม ขนาด 60 ที่นั่ง</v>
          </cell>
          <cell r="H374" t="str">
            <v>สบพ.</v>
          </cell>
          <cell r="J374" t="str">
            <v>ปทุมธานี</v>
          </cell>
          <cell r="L374">
            <v>455000</v>
          </cell>
        </row>
        <row r="375">
          <cell r="B375">
            <v>2570</v>
          </cell>
          <cell r="C375" t="str">
            <v>ครุภัณฑ์สำนักงาน</v>
          </cell>
          <cell r="G375" t="str">
            <v>เคาน์เตอร์ประชาสัมพันธ์</v>
          </cell>
          <cell r="H375" t="str">
            <v>สบพ.</v>
          </cell>
          <cell r="J375" t="str">
            <v>ปทุมธานี</v>
          </cell>
          <cell r="L375">
            <v>50000</v>
          </cell>
        </row>
        <row r="376">
          <cell r="B376">
            <v>2570</v>
          </cell>
          <cell r="C376" t="str">
            <v>ครุภัณฑ์งานบ้านงานครัว</v>
          </cell>
          <cell r="G376" t="str">
            <v>เก้าอี้พลาสติก (สำหรับห้องอาหาร)</v>
          </cell>
          <cell r="H376" t="str">
            <v>สบพ.</v>
          </cell>
          <cell r="J376" t="str">
            <v>ปทุมธานี</v>
          </cell>
          <cell r="L376">
            <v>222500</v>
          </cell>
        </row>
        <row r="377">
          <cell r="B377">
            <v>2570</v>
          </cell>
          <cell r="C377" t="str">
            <v>ครุภัณฑ์งานบ้านงานครัว</v>
          </cell>
          <cell r="G377" t="str">
            <v>โต๊ะ (สำหรับห้องอาหาร)</v>
          </cell>
          <cell r="H377" t="str">
            <v>สบพ.</v>
          </cell>
          <cell r="J377" t="str">
            <v>ปทุมธานี</v>
          </cell>
          <cell r="L377">
            <v>138000</v>
          </cell>
        </row>
        <row r="378">
          <cell r="B378">
            <v>2570</v>
          </cell>
          <cell r="C378" t="str">
            <v>ครุภัณฑ์งานบ้านงานครัว</v>
          </cell>
          <cell r="G378" t="str">
            <v>ชุดโต๊ะเขียนหนังสือพร้อมเก้าอี้</v>
          </cell>
          <cell r="H378" t="str">
            <v>สบพ.</v>
          </cell>
          <cell r="J378" t="str">
            <v>ปทุมธานี</v>
          </cell>
          <cell r="L378">
            <v>335000</v>
          </cell>
        </row>
        <row r="379">
          <cell r="B379">
            <v>2570</v>
          </cell>
          <cell r="C379" t="str">
            <v>ครุภัณฑ์งานบ้านงานครัว</v>
          </cell>
          <cell r="G379" t="str">
            <v>เตียงนอน ขนาด 3.5 ฟุต</v>
          </cell>
          <cell r="H379" t="str">
            <v>สบพ.</v>
          </cell>
          <cell r="J379" t="str">
            <v>ปทุมธานี</v>
          </cell>
          <cell r="L379">
            <v>340000</v>
          </cell>
        </row>
        <row r="380">
          <cell r="B380">
            <v>2570</v>
          </cell>
          <cell r="C380" t="str">
            <v>ครุภัณฑ์งานบ้านงานครัว</v>
          </cell>
          <cell r="G380" t="str">
            <v>ที่นอน ขนาด 3.5 ฟุต</v>
          </cell>
          <cell r="H380" t="str">
            <v>สบพ.</v>
          </cell>
          <cell r="J380" t="str">
            <v>ปทุมธานี</v>
          </cell>
          <cell r="L380">
            <v>400000</v>
          </cell>
        </row>
        <row r="381">
          <cell r="B381">
            <v>2570</v>
          </cell>
          <cell r="C381" t="str">
            <v>ครุภัณฑ์งานบ้านงานครัว</v>
          </cell>
          <cell r="G381" t="str">
            <v xml:space="preserve">ชุดผ้าปูที่นอนพร้อมปลอกหมอน ขนาด 3.5 ฟุต </v>
          </cell>
          <cell r="H381" t="str">
            <v>สบพ.</v>
          </cell>
          <cell r="J381" t="str">
            <v>ปทุมธานี</v>
          </cell>
          <cell r="L381">
            <v>60000</v>
          </cell>
        </row>
        <row r="382">
          <cell r="B382">
            <v>2570</v>
          </cell>
          <cell r="C382" t="str">
            <v>ครุภัณฑ์งานบ้านงานครัว</v>
          </cell>
          <cell r="G382" t="str">
            <v>หมอนหนุน ขนาด 19 x 29 นิ้ว</v>
          </cell>
          <cell r="H382" t="str">
            <v>สบพ.</v>
          </cell>
          <cell r="J382" t="str">
            <v>ปทุมธานี</v>
          </cell>
          <cell r="L382">
            <v>38000</v>
          </cell>
        </row>
        <row r="383">
          <cell r="B383">
            <v>2570</v>
          </cell>
          <cell r="C383" t="str">
            <v>ครุภัณฑ์งานบ้านงานครัว</v>
          </cell>
          <cell r="G383" t="str">
            <v>ตู้เสื้อผ้าแบบบานเลื่อน ขนาดกว้าง 120 cm x ลึก 60 cm x 200 cm</v>
          </cell>
          <cell r="H383" t="str">
            <v>สบพ.</v>
          </cell>
          <cell r="J383" t="str">
            <v>ปทุมธานี</v>
          </cell>
          <cell r="L383">
            <v>680000</v>
          </cell>
        </row>
        <row r="384">
          <cell r="B384">
            <v>2570</v>
          </cell>
          <cell r="C384" t="str">
            <v>ครุภัณฑ์งานบ้านงานครัว</v>
          </cell>
          <cell r="G384" t="str">
            <v>เครื่องทำน้ำร้อน-น้ำเย็น แบบต่อ ขนาด 2 ก๊อก</v>
          </cell>
          <cell r="H384" t="str">
            <v>สบพ.</v>
          </cell>
          <cell r="J384" t="str">
            <v>ปทุมธานี</v>
          </cell>
          <cell r="L384">
            <v>138000</v>
          </cell>
        </row>
        <row r="385">
          <cell r="B385">
            <v>2570</v>
          </cell>
          <cell r="C385" t="str">
            <v>ครุภัณฑ์งานบ้านงานครัว</v>
          </cell>
          <cell r="G385" t="str">
            <v>ตู้เย็น ขนาด  16 คิวบิกฟุต</v>
          </cell>
          <cell r="H385" t="str">
            <v>สบพ.</v>
          </cell>
          <cell r="J385" t="str">
            <v>ปทุมธานี</v>
          </cell>
          <cell r="L385">
            <v>72000</v>
          </cell>
        </row>
        <row r="386">
          <cell r="B386">
            <v>2570</v>
          </cell>
          <cell r="C386" t="str">
            <v>ครุภัณฑ์โฆษณาและเผยแพร่</v>
          </cell>
          <cell r="G386" t="str">
            <v>เครื่องมัลติมีเดียโปรเจคเตอร์ ระดับ XGA ขนาด 5,000 ANSL Lumens</v>
          </cell>
          <cell r="H386" t="str">
            <v>สบพ.</v>
          </cell>
          <cell r="J386" t="str">
            <v>ปทุมธานี</v>
          </cell>
          <cell r="L386">
            <v>97200</v>
          </cell>
        </row>
        <row r="387">
          <cell r="B387">
            <v>2570</v>
          </cell>
          <cell r="C387" t="str">
            <v>ครุภัณฑ์โฆษณาและเผยแพร่</v>
          </cell>
          <cell r="G387" t="str">
            <v>โทรทัศน์ แอล อี ดี (LED TV)แบบ Smart TV</v>
          </cell>
          <cell r="H387" t="str">
            <v>สบพ.</v>
          </cell>
          <cell r="J387" t="str">
            <v>ปทุมธานี</v>
          </cell>
          <cell r="L387">
            <v>1095000</v>
          </cell>
        </row>
        <row r="388">
          <cell r="B388">
            <v>2570</v>
          </cell>
          <cell r="C388" t="str">
            <v>ครุภัณฑ์โฆษณาและเผยแพร่</v>
          </cell>
          <cell r="G388" t="str">
            <v>จอรับภาพ ชนิดมอเตอร์ไฟฟ้า ขนาดเส้นทแยงมุม 200 นิ้ว</v>
          </cell>
          <cell r="H388" t="str">
            <v>สบพ.</v>
          </cell>
          <cell r="J388" t="str">
            <v>ปทุมธานี</v>
          </cell>
          <cell r="L388">
            <v>90000</v>
          </cell>
        </row>
        <row r="389">
          <cell r="B389">
            <v>2570</v>
          </cell>
          <cell r="C389" t="str">
            <v>ครุภัณฑ์โฆษณาและเผยแพร่</v>
          </cell>
          <cell r="G389" t="str">
            <v>จอรับภาพ ชนิดมอเตอร์ไฟฟ้า ขนาดเส้นทแยงมุม 180 นิ้ว (พร้อมขาตั้ง)</v>
          </cell>
          <cell r="H389" t="str">
            <v>สบพ.</v>
          </cell>
          <cell r="J389" t="str">
            <v>ปทุมธานี</v>
          </cell>
          <cell r="L389">
            <v>34900</v>
          </cell>
        </row>
        <row r="390">
          <cell r="B390">
            <v>2570</v>
          </cell>
          <cell r="C390" t="str">
            <v>ครุภัณฑ์การเกษตร</v>
          </cell>
          <cell r="G390" t="str">
            <v>เครื่องสูบน้ำ มอเตอร์ไฟฟ้า สูบน้ำได้ 1,130 ลิตรต่อนาที</v>
          </cell>
          <cell r="H390" t="str">
            <v>สสว.1</v>
          </cell>
          <cell r="J390" t="str">
            <v>ปทุมธานี</v>
          </cell>
          <cell r="L390">
            <v>34400</v>
          </cell>
        </row>
        <row r="391">
          <cell r="B391">
            <v>2570</v>
          </cell>
          <cell r="C391" t="str">
            <v>ครุภัณฑ์สำนักงาน</v>
          </cell>
          <cell r="G391" t="str">
            <v xml:space="preserve">เครื่องปรับอากาศ แบบแยกส่วน (ราคารวมติดตั้ง) แบบตั้งพื้นหรือแบบแขวน ขนาด 36,000 บีทียู </v>
          </cell>
          <cell r="H391" t="str">
            <v>สสว.1</v>
          </cell>
          <cell r="J391" t="str">
            <v>ปทุมธานี</v>
          </cell>
          <cell r="L391">
            <v>45500</v>
          </cell>
        </row>
        <row r="392">
          <cell r="B392">
            <v>2570</v>
          </cell>
          <cell r="C392" t="str">
            <v>ครุภัณฑ์สำนักงาน</v>
          </cell>
          <cell r="G392" t="str">
            <v>กระดานฟลิปชาร์ท ขนาด 80x100 ซม.</v>
          </cell>
          <cell r="H392" t="str">
            <v>สสว.1</v>
          </cell>
          <cell r="J392" t="str">
            <v>ปทุมธานี</v>
          </cell>
          <cell r="L392">
            <v>28945</v>
          </cell>
        </row>
        <row r="393">
          <cell r="B393">
            <v>2570</v>
          </cell>
          <cell r="C393" t="str">
            <v>ครุภัณฑ์สำนักงาน</v>
          </cell>
          <cell r="G393" t="str">
            <v>ผ้าม่าน</v>
          </cell>
          <cell r="H393" t="str">
            <v>สสว.2</v>
          </cell>
          <cell r="J393" t="str">
            <v>ชลบุรี</v>
          </cell>
          <cell r="L393">
            <v>118500</v>
          </cell>
        </row>
        <row r="394">
          <cell r="B394">
            <v>2570</v>
          </cell>
          <cell r="C394" t="str">
            <v>ครุภัณฑ์สำนักงาน</v>
          </cell>
          <cell r="G394" t="str">
            <v>เก้าอี้ห้องประชุม</v>
          </cell>
          <cell r="H394" t="str">
            <v>สสว.2</v>
          </cell>
          <cell r="J394" t="str">
            <v>ชลบุรี</v>
          </cell>
          <cell r="L394">
            <v>114000</v>
          </cell>
        </row>
        <row r="395">
          <cell r="B395">
            <v>2570</v>
          </cell>
          <cell r="C395" t="str">
            <v>ครุภัณฑ์สำนักงาน</v>
          </cell>
          <cell r="G395" t="str">
            <v>เครื่องทำลายเอกสาร แบบตัดละเอียด ทำลายครั้งละ 30 แผ่น</v>
          </cell>
          <cell r="H395" t="str">
            <v>สสว.3</v>
          </cell>
          <cell r="J395" t="str">
            <v>นครปฐม</v>
          </cell>
          <cell r="L395">
            <v>67000</v>
          </cell>
        </row>
        <row r="396">
          <cell r="B396">
            <v>2570</v>
          </cell>
          <cell r="C396" t="str">
            <v>ครุภัณฑ์สำนักงาน</v>
          </cell>
          <cell r="G396" t="str">
            <v>โต๊ะประชุมรูปตัว U แบบ 10 ที่นั่ง</v>
          </cell>
          <cell r="H396" t="str">
            <v>สสว.5</v>
          </cell>
          <cell r="J396" t="str">
            <v>ขอนแก่น</v>
          </cell>
          <cell r="L396">
            <v>29900</v>
          </cell>
        </row>
        <row r="397">
          <cell r="B397">
            <v>2570</v>
          </cell>
          <cell r="C397" t="str">
            <v>ครุภัณฑ์สำนักงาน</v>
          </cell>
          <cell r="G397" t="str">
            <v>โต๊ะประชุม 30 ที่นั่ง</v>
          </cell>
          <cell r="H397" t="str">
            <v>สสว.6</v>
          </cell>
          <cell r="J397" t="str">
            <v>กาฬสินธุ์</v>
          </cell>
          <cell r="L397">
            <v>93800</v>
          </cell>
        </row>
        <row r="398">
          <cell r="B398">
            <v>2570</v>
          </cell>
          <cell r="C398" t="str">
            <v>ครุภัณฑ์สำนักงาน</v>
          </cell>
          <cell r="G398" t="str">
            <v>เก้าอี้นั่งประชุม</v>
          </cell>
          <cell r="H398" t="str">
            <v>สสว.6</v>
          </cell>
          <cell r="J398" t="str">
            <v>กาฬสินธุ์</v>
          </cell>
          <cell r="L398">
            <v>112500</v>
          </cell>
        </row>
        <row r="399">
          <cell r="B399">
            <v>2570</v>
          </cell>
          <cell r="C399" t="str">
            <v>ครุภัณฑ์สำนักงาน</v>
          </cell>
          <cell r="G399" t="str">
            <v>เก้าอี้ประธาน</v>
          </cell>
          <cell r="H399" t="str">
            <v>สสว.6</v>
          </cell>
          <cell r="J399" t="str">
            <v>กาฬสินธุ์</v>
          </cell>
          <cell r="L399">
            <v>3850</v>
          </cell>
        </row>
        <row r="400">
          <cell r="B400">
            <v>2570</v>
          </cell>
          <cell r="C400" t="str">
            <v>ครุภัณฑ์สำนักงาน</v>
          </cell>
          <cell r="G400" t="str">
            <v xml:space="preserve">เครื่องปรับอากาศ แบบแยกส่วน แบบตั้งพื้นหรือแบบแขวน (ระบบ inverter) ขนาด 24,000 บีทียู </v>
          </cell>
          <cell r="H400" t="str">
            <v>สสว.7</v>
          </cell>
          <cell r="J400" t="str">
            <v>ลพบุรี</v>
          </cell>
          <cell r="L400">
            <v>327200</v>
          </cell>
        </row>
        <row r="401">
          <cell r="B401">
            <v>2570</v>
          </cell>
          <cell r="C401" t="str">
            <v>ครุภัณฑ์สำนักงาน</v>
          </cell>
          <cell r="G401" t="str">
            <v>กล้องวงจรปิด</v>
          </cell>
          <cell r="H401" t="str">
            <v>สสว.7</v>
          </cell>
          <cell r="J401" t="str">
            <v>ลพบุรี</v>
          </cell>
          <cell r="L401">
            <v>85000</v>
          </cell>
        </row>
        <row r="402">
          <cell r="B402">
            <v>2570</v>
          </cell>
          <cell r="C402" t="str">
            <v>ครุภัณฑ์สำนักงาน</v>
          </cell>
          <cell r="G402" t="str">
            <v>เก้าอี้สำนักงานขนาดกว้าง 60xลึก 58xสูง 90 ซม. โครงสร้าง:ที่นั่งและที่พิงเป็นโครงเหล็กดัดขึ้นรูปชิ้นเดียวปิดทับด้วยฟองน้ำเป็นไฟมฉีดขึ้นรูป คุณสมบัติโฟมไม่ยุบตัว (P.U.) บุด้วยหนังเทียมปรับระดับได้</v>
          </cell>
          <cell r="H402" t="str">
            <v>สสว.8</v>
          </cell>
          <cell r="J402" t="str">
            <v>อุตรดิตถ์</v>
          </cell>
          <cell r="L402">
            <v>29000</v>
          </cell>
        </row>
        <row r="403">
          <cell r="B403">
            <v>2570</v>
          </cell>
          <cell r="C403" t="str">
            <v>ครุภัณฑ์สำนักงาน</v>
          </cell>
          <cell r="G403" t="str">
            <v>เครื่องปรับอากาศ แบบแยกส่วน แบบตั้งพื้นหรือแบบแขวน (ระบบ Inverter) ขนาด 36,000 บีทียู</v>
          </cell>
          <cell r="H403" t="str">
            <v>สสว.8</v>
          </cell>
          <cell r="J403" t="str">
            <v>อุตรดิตถ์</v>
          </cell>
          <cell r="L403">
            <v>107200</v>
          </cell>
        </row>
        <row r="404">
          <cell r="B404">
            <v>2570</v>
          </cell>
          <cell r="C404" t="str">
            <v>ครุภัณฑ์สำนักงาน</v>
          </cell>
          <cell r="G404" t="str">
            <v>ชุดสำหรับห้องประชุม โต๊ะประชุมขาเหล็ก ขนาด 20 ที่นั่ง พร้อมเก้าอี้ปรับระดับได้ 1 ชุด</v>
          </cell>
          <cell r="H404" t="str">
            <v>สสว.8</v>
          </cell>
          <cell r="J404" t="str">
            <v>อุตรดิตถ์</v>
          </cell>
          <cell r="L404">
            <v>134900</v>
          </cell>
        </row>
        <row r="405">
          <cell r="B405">
            <v>2570</v>
          </cell>
          <cell r="C405" t="str">
            <v>ครุภัณฑ์สำนักงาน</v>
          </cell>
          <cell r="G405" t="str">
            <v>โต๊ะวางคอมพิวเตอร์ มีลิ้นชักพร้อมที่วางคีย์บอร์ด ขนาด 120X54X76 ซม. พร้อมเก้าอี้พนักพิงกลาง พนักพิงตาข่าย มีล้อเลื่อน มีโช๊คปรับขึ้นสูง-ต่ำได้</v>
          </cell>
          <cell r="H405" t="str">
            <v>สสว.8</v>
          </cell>
          <cell r="J405" t="str">
            <v>อุตรดิตถ์</v>
          </cell>
          <cell r="L405">
            <v>25950</v>
          </cell>
        </row>
        <row r="406">
          <cell r="B406">
            <v>2570</v>
          </cell>
          <cell r="C406" t="str">
            <v>ครุภัณฑ์สำนักงาน</v>
          </cell>
          <cell r="G406" t="str">
            <v>โต๊ะประชุมขนาด 180*60*75 ซม.</v>
          </cell>
          <cell r="H406" t="str">
            <v>สสว.9</v>
          </cell>
          <cell r="J406" t="str">
            <v>เชียงใหม่</v>
          </cell>
          <cell r="L406">
            <v>3900</v>
          </cell>
        </row>
        <row r="407">
          <cell r="B407">
            <v>2570</v>
          </cell>
          <cell r="C407" t="str">
            <v>ครุภัณฑ์สำนักงาน</v>
          </cell>
          <cell r="G407" t="str">
            <v>โต๊ะประชุมขนาด 150*60*75 ซม.</v>
          </cell>
          <cell r="H407" t="str">
            <v>สสว.9</v>
          </cell>
          <cell r="J407" t="str">
            <v>เชียงใหม่</v>
          </cell>
          <cell r="L407">
            <v>37000</v>
          </cell>
        </row>
        <row r="408">
          <cell r="B408">
            <v>2570</v>
          </cell>
          <cell r="C408" t="str">
            <v>ครุภัณฑ์สำนักงาน</v>
          </cell>
          <cell r="G408" t="str">
            <v>โต๊ะเข้ามุม 65*65*75 ซม.</v>
          </cell>
          <cell r="H408" t="str">
            <v>สสว.9</v>
          </cell>
          <cell r="J408" t="str">
            <v>เชียงใหม่</v>
          </cell>
          <cell r="L408">
            <v>5000</v>
          </cell>
        </row>
        <row r="409">
          <cell r="B409">
            <v>2570</v>
          </cell>
          <cell r="C409" t="str">
            <v>ครุภัณฑ์สำนักงาน</v>
          </cell>
          <cell r="G409" t="str">
            <v>เก้าอี้ผู้บริหาร ขนาด 64*68*112-120 ซม.</v>
          </cell>
          <cell r="H409" t="str">
            <v>สสว.9</v>
          </cell>
          <cell r="J409" t="str">
            <v>เชียงใหม่</v>
          </cell>
          <cell r="L409">
            <v>5900</v>
          </cell>
        </row>
        <row r="410">
          <cell r="B410">
            <v>2570</v>
          </cell>
          <cell r="C410" t="str">
            <v>ครุภัณฑ์สำนักงาน</v>
          </cell>
          <cell r="G410" t="str">
            <v>เก้าอี้ประชุม ขนาด 55*52*89-101 ซม.</v>
          </cell>
          <cell r="H410" t="str">
            <v>สสว.9</v>
          </cell>
          <cell r="J410" t="str">
            <v>เชียงใหม่</v>
          </cell>
          <cell r="L410">
            <v>45800</v>
          </cell>
        </row>
        <row r="411">
          <cell r="B411">
            <v>2570</v>
          </cell>
          <cell r="C411" t="str">
            <v>ครุภัณฑ์สำนักงาน</v>
          </cell>
          <cell r="G411" t="str">
            <v>เก้าอี้รับรอง ขนาด 56*58*64 ซม.</v>
          </cell>
          <cell r="H411" t="str">
            <v>สสว.9</v>
          </cell>
          <cell r="J411" t="str">
            <v>เชียงใหม่</v>
          </cell>
          <cell r="L411">
            <v>33800</v>
          </cell>
        </row>
        <row r="412">
          <cell r="B412">
            <v>2570</v>
          </cell>
          <cell r="C412" t="str">
            <v>ครุภัณฑ์สำนักงาน</v>
          </cell>
          <cell r="G412" t="str">
            <v xml:space="preserve">เครื่องปรับอากาศ แบบแยกส่วน แบบตั้งพื้นหรือแบบแขวน (ระบบ Inverter) ขนาด 30,000 บีทียู </v>
          </cell>
          <cell r="H412" t="str">
            <v>สสว.10</v>
          </cell>
          <cell r="J412" t="str">
            <v>สุราษฎร์ธานี</v>
          </cell>
          <cell r="L412">
            <v>236000</v>
          </cell>
        </row>
        <row r="413">
          <cell r="B413">
            <v>2570</v>
          </cell>
          <cell r="C413" t="str">
            <v>ครุภัณฑ์สำนักงาน</v>
          </cell>
          <cell r="G413" t="str">
            <v>ตู้เซฟนิรภัย 51 KG ขนาด 34.5x51.2 ซม.</v>
          </cell>
          <cell r="H413" t="str">
            <v>สสว.10</v>
          </cell>
          <cell r="J413" t="str">
            <v>สุราษฎร์ธานี</v>
          </cell>
          <cell r="L413">
            <v>6500</v>
          </cell>
        </row>
        <row r="414">
          <cell r="B414">
            <v>2570</v>
          </cell>
          <cell r="C414" t="str">
            <v>ครุภัณฑ์สำนักงาน</v>
          </cell>
          <cell r="G414" t="str">
            <v xml:space="preserve">เครื่องปรับอากาศ แบบแยกส่วน แบบตั้งพื้นหรือแบบแขวน ขนาด 50,000 บีทียู </v>
          </cell>
          <cell r="H414" t="str">
            <v>สสว.11</v>
          </cell>
          <cell r="J414" t="str">
            <v>สงขลา</v>
          </cell>
          <cell r="L414">
            <v>336000</v>
          </cell>
        </row>
        <row r="415">
          <cell r="B415">
            <v>2570</v>
          </cell>
          <cell r="C415" t="str">
            <v>ครุภัณฑ์สำนักงาน</v>
          </cell>
          <cell r="G415" t="str">
            <v>โต๊ะทำงานสำหรับผู้อำนวยการ</v>
          </cell>
          <cell r="H415" t="str">
            <v>สสว.11</v>
          </cell>
          <cell r="J415" t="str">
            <v>สงขลา</v>
          </cell>
          <cell r="L415">
            <v>18420</v>
          </cell>
        </row>
        <row r="416">
          <cell r="B416">
            <v>2570</v>
          </cell>
          <cell r="C416" t="str">
            <v>ครุภัณฑ์งานบ้านงานครัว</v>
          </cell>
          <cell r="G416" t="str">
            <v>เครื่องตัดหญ้า แบบข้อแข็ง</v>
          </cell>
          <cell r="H416" t="str">
            <v>สสว.1</v>
          </cell>
          <cell r="J416" t="str">
            <v>ปทุมธานี</v>
          </cell>
          <cell r="L416">
            <v>47500</v>
          </cell>
        </row>
        <row r="417">
          <cell r="B417">
            <v>2570</v>
          </cell>
          <cell r="C417" t="str">
            <v>ครุภัณฑ์งานบ้านงานครัว</v>
          </cell>
          <cell r="G417" t="str">
            <v>เครื่องทำน้ำร้อน-น้ำเย็น</v>
          </cell>
          <cell r="H417" t="str">
            <v>สสว.4</v>
          </cell>
          <cell r="J417" t="str">
            <v>นครราชสีมา</v>
          </cell>
          <cell r="L417">
            <v>8990</v>
          </cell>
        </row>
        <row r="418">
          <cell r="B418">
            <v>2570</v>
          </cell>
          <cell r="C418" t="str">
            <v>ครุภัณฑ์งานบ้านงานครัว</v>
          </cell>
          <cell r="G418" t="str">
            <v>เครื่องตัดหญ้า แบบข้อแข็ง</v>
          </cell>
          <cell r="H418" t="str">
            <v>สสว.4</v>
          </cell>
          <cell r="J418" t="str">
            <v>นครราชสีมา</v>
          </cell>
          <cell r="L418">
            <v>9500</v>
          </cell>
        </row>
        <row r="419">
          <cell r="B419">
            <v>2570</v>
          </cell>
          <cell r="C419" t="str">
            <v>ครุภัณฑ์งานบ้านงานครัว</v>
          </cell>
          <cell r="G419" t="str">
            <v>เครื่องตัดแต่งพุ่มไม้ ขนาด 29.5 นิ้ว</v>
          </cell>
          <cell r="H419" t="str">
            <v>สสว.5</v>
          </cell>
          <cell r="J419" t="str">
            <v>ขอนแก่น</v>
          </cell>
          <cell r="L419">
            <v>17400</v>
          </cell>
        </row>
        <row r="420">
          <cell r="B420">
            <v>2570</v>
          </cell>
          <cell r="C420" t="str">
            <v>ครุภัณฑ์งานบ้านงานครัว</v>
          </cell>
          <cell r="G420" t="str">
            <v>เครื่องตัดแต่งพุ่มไม้ ขนาด 29.5 นิ้ว</v>
          </cell>
          <cell r="H420" t="str">
            <v>สสว.9</v>
          </cell>
          <cell r="J420" t="str">
            <v>เชียงใหม่</v>
          </cell>
          <cell r="L420">
            <v>17400</v>
          </cell>
        </row>
        <row r="421">
          <cell r="B421">
            <v>2570</v>
          </cell>
          <cell r="C421" t="str">
            <v>ครุภัณฑ์งานบ้านงานครัว</v>
          </cell>
          <cell r="G421" t="str">
            <v>เครื่องตัดแต่งพุ่มไม้ ขนาด 29.5 นิ้ว</v>
          </cell>
          <cell r="H421" t="str">
            <v>สสว.10</v>
          </cell>
          <cell r="J421" t="str">
            <v>สุราษฎร์ธานี</v>
          </cell>
          <cell r="L421">
            <v>34800</v>
          </cell>
        </row>
        <row r="422">
          <cell r="B422">
            <v>2570</v>
          </cell>
          <cell r="C422" t="str">
            <v>ครุภัณฑ์งานบ้านงานครัว</v>
          </cell>
          <cell r="G422" t="str">
            <v>เครื่องซักผ้า แบบธรรมดา ขนาด 15 กิโลกรัม</v>
          </cell>
          <cell r="H422" t="str">
            <v>สสว.11</v>
          </cell>
          <cell r="J422" t="str">
            <v>สงขลา</v>
          </cell>
          <cell r="L422">
            <v>34000</v>
          </cell>
        </row>
        <row r="423">
          <cell r="B423">
            <v>2570</v>
          </cell>
          <cell r="C423" t="str">
            <v>ครุภัณฑ์ยานพาหนะและขนส่ง</v>
          </cell>
          <cell r="G423" t="str">
            <v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(ระบบเกียร์อัตโนมัติ)</v>
          </cell>
          <cell r="H423" t="str">
            <v>สสว.3</v>
          </cell>
          <cell r="J423" t="str">
            <v>นครปฐม</v>
          </cell>
          <cell r="L423">
            <v>1498000</v>
          </cell>
        </row>
        <row r="424">
          <cell r="B424">
            <v>2570</v>
          </cell>
          <cell r="C424" t="str">
            <v>ครุภัณฑ์ยานพาหนะและขนส่ง</v>
          </cell>
          <cell r="G424" t="str">
            <v>รถบรรทุก (ดีเซล) ขนาด 1 ตัน ปริมาตรกระบอกสูบไม่ต่ากว่า 2,400 ซีซี หรือกำลังเครื่องยนต์สูงสุดไม่ต่ำกว่า 110 กิโลวัตต์ขับเคลื่อน 2 ล้อ แบบดับเบิ้ลแค็บ พร้อมหลังคาไฟเบอร์กลาสหรือเหล็ก</v>
          </cell>
          <cell r="H424" t="str">
            <v>สสว.10</v>
          </cell>
          <cell r="J424" t="str">
            <v>สุราษฎร์ธานี</v>
          </cell>
          <cell r="L424">
            <v>970900</v>
          </cell>
        </row>
        <row r="425">
          <cell r="B425">
            <v>2570</v>
          </cell>
          <cell r="C425" t="str">
            <v>ครุภัณฑ์ยานพาหนะและขนส่ง</v>
          </cell>
          <cell r="G425" t="str">
            <v xml:space="preserve"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</v>
          </cell>
          <cell r="H425" t="str">
            <v>สสว.11</v>
          </cell>
          <cell r="J425" t="str">
            <v>สงขลา</v>
          </cell>
          <cell r="L425">
            <v>1498000</v>
          </cell>
        </row>
        <row r="426">
          <cell r="B426">
            <v>2570</v>
          </cell>
          <cell r="C426" t="str">
            <v>ครุภัณฑ์โฆษณาและเผยแพร่</v>
          </cell>
          <cell r="G426" t="str">
            <v>ชุดจอระบบสัมผัส (Touch screen) 65 นิ้ว วาด เขียน แชร์ มาพร้อมชุดขาตั้ง "หมุนได้" เสียบปลั๊กพร้อมใช้งานทันที</v>
          </cell>
          <cell r="H426" t="str">
            <v>สสว.1</v>
          </cell>
          <cell r="J426" t="str">
            <v>ปทุมธานี</v>
          </cell>
          <cell r="L426">
            <v>50290</v>
          </cell>
        </row>
        <row r="427">
          <cell r="B427">
            <v>2570</v>
          </cell>
          <cell r="C427" t="str">
            <v>ครุภัณฑ์ไฟฟ้าและวิทยุ</v>
          </cell>
          <cell r="G427" t="str">
            <v>ชุดเครื่องเสียง</v>
          </cell>
          <cell r="H427" t="str">
            <v>สสว.4</v>
          </cell>
          <cell r="J427" t="str">
            <v>นครราชสีมา</v>
          </cell>
          <cell r="L427">
            <v>40730</v>
          </cell>
        </row>
        <row r="428">
          <cell r="B428">
            <v>2570</v>
          </cell>
          <cell r="C428" t="str">
            <v>ครุภัณฑ์ไฟฟ้าและวิทยุ</v>
          </cell>
          <cell r="G428" t="str">
            <v>ไมค์ประชุมไร้สาย</v>
          </cell>
          <cell r="H428" t="str">
            <v>สสว.4</v>
          </cell>
          <cell r="J428" t="str">
            <v>นครราชสีมา</v>
          </cell>
          <cell r="L428">
            <v>47000</v>
          </cell>
        </row>
        <row r="429">
          <cell r="B429">
            <v>2570</v>
          </cell>
          <cell r="C429" t="str">
            <v>ครุภัณฑ์โฆษณาและเผยแพร่</v>
          </cell>
          <cell r="G429" t="str">
            <v>โทรทัศน์ LED Smart TV ขนาด 75 นิ้ว พร้อมขาตั้ง LED มีล้อเลื่อน</v>
          </cell>
          <cell r="H429" t="str">
            <v>สสว.4</v>
          </cell>
          <cell r="J429" t="str">
            <v>นครราชสีมา</v>
          </cell>
          <cell r="L429">
            <v>35890</v>
          </cell>
        </row>
        <row r="430">
          <cell r="B430">
            <v>2570</v>
          </cell>
          <cell r="C430" t="str">
            <v>ครุภัณฑ์โฆษณาและเผยแพร่</v>
          </cell>
          <cell r="G430" t="str">
            <v>ชุดลำโพงเคลื่อนที่ พร้อมไมค์ลอย</v>
          </cell>
          <cell r="H430" t="str">
            <v>สสว.5</v>
          </cell>
          <cell r="J430" t="str">
            <v>ขอนแก่น</v>
          </cell>
          <cell r="L430">
            <v>38000</v>
          </cell>
        </row>
        <row r="431">
          <cell r="B431">
            <v>2570</v>
          </cell>
          <cell r="C431" t="str">
            <v>ครุภัณฑ์โฆษณาและเผยแพร่</v>
          </cell>
          <cell r="G431" t="str">
            <v>กล้องดิจิตอล Cannon EOS R10 Camera Kit 18-150mm เซนเซอร์ CMOS APS-C ความละเอียดภาพ 24.2 ล้านพิกเซล+ขาตั้งกล้อง-SD card 256 GB</v>
          </cell>
          <cell r="H431" t="str">
            <v>สสว.5</v>
          </cell>
          <cell r="J431" t="str">
            <v>ขอนแก่น</v>
          </cell>
          <cell r="L431">
            <v>62000</v>
          </cell>
        </row>
        <row r="432">
          <cell r="B432">
            <v>2570</v>
          </cell>
          <cell r="C432" t="str">
            <v>ครุภัณฑ์โฆษณาและเผยแพร่</v>
          </cell>
          <cell r="G432" t="str">
            <v>เครื่องมัลติมีเดียโปรเจคเตอร์ระดับ XGA ขนาด 4,500 ANSI Lumens</v>
          </cell>
          <cell r="H432" t="str">
            <v>สสว.5</v>
          </cell>
          <cell r="J432" t="str">
            <v>ขอนแก่น</v>
          </cell>
          <cell r="L432">
            <v>43100</v>
          </cell>
        </row>
        <row r="433">
          <cell r="B433">
            <v>2570</v>
          </cell>
          <cell r="C433" t="str">
            <v>ครุภัณฑ์ไฟฟ้าและวิทยุ</v>
          </cell>
          <cell r="G433" t="str">
            <v>ชุดเครื่องเสียงห้องประชุม
(1) เครื่องจ่ายกระสไฟฟ้าและควบคุมการประชุมระบบดิจิตอล แบบมีเครื่องบันทึกเสียงในตัว
(2) ชุดผู้เข้าร่วมประชุม พร้อมไมโครโฟนและลำโพง
(3) ชุดประธาน พร้อมไมโครโฟนและลำโพง</v>
          </cell>
          <cell r="H433" t="str">
            <v>สสว.6</v>
          </cell>
          <cell r="J433" t="str">
            <v>กาฬสินธุ์</v>
          </cell>
          <cell r="L433">
            <v>247400</v>
          </cell>
        </row>
        <row r="434">
          <cell r="B434">
            <v>2570</v>
          </cell>
          <cell r="C434" t="str">
            <v>ครุภัณฑ์ไฟฟ้าและวิทยุ</v>
          </cell>
          <cell r="G434" t="str">
            <v>มิกเซอร์ 16 ช่อง ยี่ห้อ YAMAHA รุ่น MG16XU</v>
          </cell>
          <cell r="H434" t="str">
            <v>สสว.9</v>
          </cell>
          <cell r="J434" t="str">
            <v>เชียงใหม่</v>
          </cell>
          <cell r="L434">
            <v>35900</v>
          </cell>
        </row>
        <row r="435">
          <cell r="B435">
            <v>2570</v>
          </cell>
          <cell r="C435" t="str">
            <v>ครุภัณฑ์ไฟฟ้าและวิทยุ</v>
          </cell>
          <cell r="G435" t="str">
            <v>เครื่องขยายเสียง 120 วัตต์ ยี่ห้อ TOA รุ่น A-2120H</v>
          </cell>
          <cell r="H435" t="str">
            <v>สสว.9</v>
          </cell>
          <cell r="J435" t="str">
            <v>เชียงใหม่</v>
          </cell>
          <cell r="L435">
            <v>12900</v>
          </cell>
        </row>
        <row r="436">
          <cell r="B436">
            <v>2570</v>
          </cell>
          <cell r="C436" t="str">
            <v>ครุภัณฑ์ไฟฟ้าและวิทยุ</v>
          </cell>
          <cell r="G436" t="str">
            <v>ลำโพงเพดาน ยี่ห้อ TOA รุ่น PC-668RC</v>
          </cell>
          <cell r="H436" t="str">
            <v>สสว.9</v>
          </cell>
          <cell r="J436" t="str">
            <v>เชียงใหม่</v>
          </cell>
          <cell r="L436">
            <v>12800</v>
          </cell>
        </row>
        <row r="437">
          <cell r="B437">
            <v>2570</v>
          </cell>
          <cell r="C437" t="str">
            <v>ครุภัณฑ์ไฟฟ้าและวิทยุ</v>
          </cell>
          <cell r="G437" t="str">
            <v>ลำโพงติดผนัง ยี่ห้อ TOA รุ่น BS-1030W</v>
          </cell>
          <cell r="H437" t="str">
            <v>สสว.9</v>
          </cell>
          <cell r="J437" t="str">
            <v>เชียงใหม่</v>
          </cell>
          <cell r="L437">
            <v>5980</v>
          </cell>
        </row>
        <row r="438">
          <cell r="B438">
            <v>2570</v>
          </cell>
          <cell r="C438" t="str">
            <v>ครุภัณฑ์ไฟฟ้าและวิทยุ</v>
          </cell>
          <cell r="G438" t="str">
            <v>ตู้เร็คเก็บอุปกรณ์ มีล้อ ยี่ห้อ SUPERLUX รุ่น RS-921</v>
          </cell>
          <cell r="H438" t="str">
            <v>สสว.9</v>
          </cell>
          <cell r="J438" t="str">
            <v>เชียงใหม่</v>
          </cell>
          <cell r="L438">
            <v>4700</v>
          </cell>
        </row>
        <row r="439">
          <cell r="B439">
            <v>2570</v>
          </cell>
          <cell r="C439" t="str">
            <v>ครุภัณฑ์ไฟฟ้าและวิทยุ</v>
          </cell>
          <cell r="G439" t="str">
            <v>ปลั๊กกันไฟกระชากตู้แร็ค</v>
          </cell>
          <cell r="H439" t="str">
            <v>สสว.9</v>
          </cell>
          <cell r="J439" t="str">
            <v>เชียงใหม่</v>
          </cell>
          <cell r="L439">
            <v>9900</v>
          </cell>
        </row>
        <row r="440">
          <cell r="B440">
            <v>2570</v>
          </cell>
          <cell r="C440" t="str">
            <v>ครุภัณฑ์ไฟฟ้าและวิทยุ</v>
          </cell>
          <cell r="G440" t="str">
            <v>ไมค์ลอยคู่ ชนิดถือ ย่ห้อ SHURE รุ่น SVX288TH/PG58-M19</v>
          </cell>
          <cell r="H440" t="str">
            <v>สสว.9</v>
          </cell>
          <cell r="J440" t="str">
            <v>เชียงใหม่</v>
          </cell>
          <cell r="L440">
            <v>27900</v>
          </cell>
        </row>
        <row r="441">
          <cell r="B441">
            <v>2570</v>
          </cell>
          <cell r="C441" t="str">
            <v>ครุภัณฑ์ไฟฟ้าและวิทยุ</v>
          </cell>
          <cell r="G441" t="str">
            <v>ถาดเก็บไมค์ลอย</v>
          </cell>
          <cell r="H441" t="str">
            <v>สสว.9</v>
          </cell>
          <cell r="J441" t="str">
            <v>เชียงใหม่</v>
          </cell>
          <cell r="L441">
            <v>350</v>
          </cell>
        </row>
        <row r="442">
          <cell r="B442">
            <v>2570</v>
          </cell>
          <cell r="C442" t="str">
            <v>ครุภัณฑ์ไฟฟ้าและวิทยุ</v>
          </cell>
          <cell r="G442" t="str">
            <v>ไมค์ประชุมสำหรับประธาน ยี่ห้อ BOSCH รุ่น CCSD-DL</v>
          </cell>
          <cell r="H442" t="str">
            <v>สสว.9</v>
          </cell>
          <cell r="J442" t="str">
            <v>เชียงใหม่</v>
          </cell>
          <cell r="L442">
            <v>23900</v>
          </cell>
        </row>
        <row r="443">
          <cell r="B443">
            <v>2570</v>
          </cell>
          <cell r="C443" t="str">
            <v>ครุภัณฑ์ไฟฟ้าและวิทยุ</v>
          </cell>
          <cell r="G443" t="str">
            <v>ไมค์ประชุมสำหรับผู้ร่วมประชุม ยี่ห้อ BOSCH รุ่น CCSD-DL</v>
          </cell>
          <cell r="H443" t="str">
            <v>สสว.9</v>
          </cell>
          <cell r="J443" t="str">
            <v>เชียงใหม่</v>
          </cell>
          <cell r="L443">
            <v>458000</v>
          </cell>
        </row>
        <row r="444">
          <cell r="B444">
            <v>2570</v>
          </cell>
          <cell r="C444" t="str">
            <v>ครุภัณฑ์ไฟฟ้าและวิทยุ</v>
          </cell>
          <cell r="G444" t="str">
            <v>เครื่องควบคุมชุดประชุม ยี่ห้อ BOSCH รุ่น CCSD-CURD</v>
          </cell>
          <cell r="H444" t="str">
            <v>สสว.9</v>
          </cell>
          <cell r="J444" t="str">
            <v>เชียงใหม่</v>
          </cell>
          <cell r="L444">
            <v>99900</v>
          </cell>
        </row>
        <row r="445">
          <cell r="B445">
            <v>2570</v>
          </cell>
          <cell r="C445" t="str">
            <v>ครุภัณฑ์ไฟฟ้าและวิทยุ</v>
          </cell>
          <cell r="G445" t="str">
            <v>สายลำโพง สายสัญญาณเข้าระบบ</v>
          </cell>
          <cell r="H445" t="str">
            <v>สสว.9</v>
          </cell>
          <cell r="J445" t="str">
            <v>เชียงใหม่</v>
          </cell>
          <cell r="L445">
            <v>24000</v>
          </cell>
        </row>
        <row r="446">
          <cell r="B446">
            <v>2570</v>
          </cell>
          <cell r="C446" t="str">
            <v>ครุภัณฑ์ไฟฟ้าและวิทยุ</v>
          </cell>
          <cell r="G446" t="str">
            <v>สายสัญญาณระบบภาพ HDMI 20 เมตร</v>
          </cell>
          <cell r="H446" t="str">
            <v>สสว.9</v>
          </cell>
          <cell r="J446" t="str">
            <v>เชียงใหม่</v>
          </cell>
          <cell r="L446">
            <v>20930</v>
          </cell>
        </row>
        <row r="447">
          <cell r="B447">
            <v>2570</v>
          </cell>
          <cell r="C447" t="str">
            <v>ครุภัณฑ์ไฟฟ้าและวิทยุ</v>
          </cell>
          <cell r="G447" t="str">
            <v>สายสัญญาณระบบภาพ HDMI 15 เมตร</v>
          </cell>
          <cell r="H447" t="str">
            <v>สสว.9</v>
          </cell>
          <cell r="J447" t="str">
            <v>เชียงใหม่</v>
          </cell>
          <cell r="L447">
            <v>11340</v>
          </cell>
        </row>
        <row r="448">
          <cell r="B448">
            <v>2570</v>
          </cell>
          <cell r="C448" t="str">
            <v>ครุภัณฑ์โฆษณาและเผยแพร่</v>
          </cell>
          <cell r="G448" t="str">
            <v>LED TV ขนาด 55 นิ้ว</v>
          </cell>
          <cell r="H448" t="str">
            <v>สสว.9</v>
          </cell>
          <cell r="J448" t="str">
            <v>เชียงใหม่</v>
          </cell>
          <cell r="L448">
            <v>43800</v>
          </cell>
        </row>
        <row r="449">
          <cell r="B449">
            <v>2570</v>
          </cell>
          <cell r="C449" t="str">
            <v>ครุภัณฑ์โฆษณาและเผยแพร่</v>
          </cell>
          <cell r="G449" t="str">
            <v>ขาแขวนทีวีแบบล้อเลื่อน</v>
          </cell>
          <cell r="H449" t="str">
            <v>สสว.9</v>
          </cell>
          <cell r="J449" t="str">
            <v>เชียงใหม่</v>
          </cell>
          <cell r="L449">
            <v>20000</v>
          </cell>
        </row>
        <row r="450">
          <cell r="B450">
            <v>2570</v>
          </cell>
          <cell r="C450" t="str">
            <v>ครุภัณฑ์คอมพิวเตอร์</v>
          </cell>
          <cell r="G450" t="str">
            <v>คอมพิวเตอร์ Notebook / ACER พร้อม Window 11 pro</v>
          </cell>
          <cell r="H450" t="str">
            <v>สสว.9</v>
          </cell>
          <cell r="J450" t="str">
            <v>เชียงใหม่</v>
          </cell>
          <cell r="L450">
            <v>26900</v>
          </cell>
        </row>
        <row r="451">
          <cell r="B451">
            <v>2570</v>
          </cell>
          <cell r="C451" t="str">
            <v>ครุภัณฑ์คอมพิวเตอร์</v>
          </cell>
          <cell r="G451" t="str">
            <v>จอมอนิเตอร์ ขนาด 21.5 นิ้ว</v>
          </cell>
          <cell r="H451" t="str">
            <v>สสว.9</v>
          </cell>
          <cell r="J451" t="str">
            <v>เชียงใหม่</v>
          </cell>
          <cell r="L451">
            <v>43890</v>
          </cell>
        </row>
        <row r="452">
          <cell r="B452">
            <v>2570</v>
          </cell>
          <cell r="C452" t="str">
            <v>ครุภัณฑ์คอมพิวเตอร์</v>
          </cell>
          <cell r="G452" t="str">
            <v>ชั้นวางจอมอนิเตอร์</v>
          </cell>
          <cell r="H452" t="str">
            <v>สสว.9</v>
          </cell>
          <cell r="J452" t="str">
            <v>เชียงใหม่</v>
          </cell>
          <cell r="L452">
            <v>18590</v>
          </cell>
        </row>
        <row r="453">
          <cell r="B453">
            <v>2570</v>
          </cell>
          <cell r="C453" t="str">
            <v>ครุภัณฑ์คอมพิวเตอร์</v>
          </cell>
          <cell r="G453" t="str">
            <v>อุปกรณ์กระจายสัญญาณ HDMI เข้า-ออก 1 input ออก 16 จอ</v>
          </cell>
          <cell r="H453" t="str">
            <v>สสว.9</v>
          </cell>
          <cell r="J453" t="str">
            <v>เชียงใหม่</v>
          </cell>
          <cell r="L453">
            <v>36000</v>
          </cell>
        </row>
        <row r="454">
          <cell r="B454">
            <v>2570</v>
          </cell>
          <cell r="C454" t="str">
            <v>ครุภัณฑ์คอมพิวเตอร์</v>
          </cell>
          <cell r="G454" t="str">
            <v>กล้องวิดีโอ Conference</v>
          </cell>
          <cell r="H454" t="str">
            <v>สสว.9</v>
          </cell>
          <cell r="J454" t="str">
            <v>เชียงใหม่</v>
          </cell>
          <cell r="L454">
            <v>35900</v>
          </cell>
        </row>
        <row r="455">
          <cell r="B455">
            <v>2570</v>
          </cell>
          <cell r="C455" t="str">
            <v>ครุภัณฑ์คอมพิวเตอร์</v>
          </cell>
          <cell r="G455" t="str">
            <v>USB Hub 10 in 1</v>
          </cell>
          <cell r="H455" t="str">
            <v>สสว.9</v>
          </cell>
          <cell r="J455" t="str">
            <v>เชียงใหม่</v>
          </cell>
          <cell r="L455">
            <v>2900</v>
          </cell>
        </row>
        <row r="456">
          <cell r="B456">
            <v>2570</v>
          </cell>
          <cell r="C456" t="str">
            <v>ครุภัณฑ์โฆษณาและเผยแพร่</v>
          </cell>
          <cell r="G456" t="str">
            <v>เครื่องมัลติมีเดียโปรเจคเตอร์ระดับ XGA ขนาด 5,000 ANSI Lumens</v>
          </cell>
          <cell r="H456" t="str">
            <v>สสว.10</v>
          </cell>
          <cell r="J456" t="str">
            <v>สุราษฎร์ธานี</v>
          </cell>
          <cell r="L456">
            <v>48600</v>
          </cell>
        </row>
      </sheetData>
      <sheetData sheetId="5" refreshError="1"/>
      <sheetData sheetId="6" refreshError="1"/>
      <sheetData sheetId="7" refreshError="1"/>
      <sheetData sheetId="8"/>
      <sheetData sheetId="9">
        <row r="2">
          <cell r="B2">
            <v>2568</v>
          </cell>
          <cell r="C2" t="str">
            <v>เชียงใหม่</v>
          </cell>
          <cell r="D2" t="str">
            <v>ยานพาหนะและขนส่ง</v>
          </cell>
          <cell r="E2" t="str">
    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สำนักงานพัฒนาสังคมและความมั่นคงของมนุษย์จังหวัดเชียงใหม่ ตำบลช้างเผือก อำเภอเมืองเชียงใหม่ จังหวัดเชียงใหม่</v>
          </cell>
          <cell r="F2" t="str">
            <v>พมจ.เชียงใหม่</v>
          </cell>
          <cell r="G2">
            <v>1</v>
          </cell>
          <cell r="H2">
            <v>1358000</v>
          </cell>
        </row>
        <row r="3">
          <cell r="B3">
            <v>2568</v>
          </cell>
          <cell r="C3" t="str">
            <v>แพร่</v>
          </cell>
          <cell r="D3" t="str">
            <v>ยานพาหนะและขนส่ง</v>
          </cell>
          <cell r="E3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สำนักงานพัฒนาสังคมและความมั่นคงของมนุษย์จังหวัดแพร่ ตำบลในเวียง อำเภอเมืองแพร่ จังหวัดแพร่</v>
          </cell>
          <cell r="F3" t="str">
            <v>พมจ.แพร่</v>
          </cell>
          <cell r="G3">
            <v>1</v>
          </cell>
          <cell r="H3">
            <v>885900</v>
          </cell>
        </row>
        <row r="4">
          <cell r="B4">
            <v>2568</v>
          </cell>
          <cell r="C4" t="str">
            <v>แม่ฮ่องสอน</v>
          </cell>
          <cell r="D4" t="str">
            <v>ยานพาหนะและขนส่ง</v>
          </cell>
          <cell r="E4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สำนักงานพัฒนาสังคมและความมั่นคงของมนุษย์จังหวัดแม่ฮ่องสอน ตำบลจองคำ อำเภอเมืองแม่ฮ่องสอน จังหวัดแม่ฮ่องสอน</v>
          </cell>
          <cell r="F4" t="str">
            <v>พมจ.แม่ฮ่องสอน</v>
          </cell>
          <cell r="G4">
            <v>1</v>
          </cell>
          <cell r="H4">
            <v>1090900</v>
          </cell>
        </row>
        <row r="5">
          <cell r="B5">
            <v>2568</v>
          </cell>
          <cell r="C5" t="str">
            <v>ลำปาง</v>
          </cell>
          <cell r="D5" t="str">
            <v>ยานพาหนะและขนส่ง</v>
          </cell>
          <cell r="E5" t="str">
    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สำนักงานพัฒนาสังคมและความมั่นคงของมนุษย์จังหวัดลำปาง ตำบลพระบาท อำเภอเมืองลำปาง จังหวัดลำปาง</v>
          </cell>
          <cell r="F5" t="str">
            <v>พมจ.ลำปาง</v>
          </cell>
          <cell r="G5">
            <v>1</v>
          </cell>
          <cell r="H5">
            <v>1358000</v>
          </cell>
        </row>
        <row r="6">
          <cell r="B6">
            <v>2568</v>
          </cell>
          <cell r="C6" t="str">
            <v>อุตรดิตถ์</v>
          </cell>
          <cell r="D6" t="str">
            <v>ยานพาหนะและขนส่ง</v>
          </cell>
          <cell r="E6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สำนักงานพัฒนาสังคมและความมั่นคงของมนุษย์จังหวัดอุตรดิษถ์ ตำบลท่าอิฐ อำเภอเมืองอุตรดิษถ์ จังหวัดอุตรดิษถ์</v>
          </cell>
          <cell r="F6" t="str">
            <v>พมจ.อุตรดิตถ์</v>
          </cell>
          <cell r="G6">
            <v>1</v>
          </cell>
          <cell r="H6">
            <v>1090900</v>
          </cell>
        </row>
        <row r="7">
          <cell r="B7">
            <v>2568</v>
          </cell>
          <cell r="C7" t="str">
            <v>ร้อยเอ็ด</v>
          </cell>
          <cell r="D7" t="str">
            <v>ยานพาหนะและขนส่ง</v>
          </cell>
          <cell r="E7" t="str">
    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สำนักงานพัฒนาสังคมและความมั่นคงของมนุษย์จังหวัดร้อยเอ็ด ตำบลในเมือง อำเภอเมืองร้อยเอ็ด จังหวัดร้อยเอ็ด</v>
          </cell>
          <cell r="F7" t="str">
            <v>พมจ.ร้อยเอ็ด</v>
          </cell>
          <cell r="G7">
            <v>1</v>
          </cell>
          <cell r="H7">
            <v>1358000</v>
          </cell>
        </row>
        <row r="8">
          <cell r="B8">
            <v>2568</v>
          </cell>
          <cell r="C8" t="str">
            <v>ศรีสะเกษ</v>
          </cell>
          <cell r="D8" t="str">
            <v>ยานพาหนะและขนส่ง</v>
          </cell>
          <cell r="E8" t="str">
    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สำนักงานพัฒนาสังคมและความมั่นคงของมนุษย์จังหวัดศรีสะเกษ ตำบลโพธิ์ อำเภอเมืองศรีสะเกษ
จังหวัดศรีสะเกษ</v>
          </cell>
          <cell r="F8" t="str">
            <v>พมจ.ศรีสะเกษ</v>
          </cell>
          <cell r="G8">
            <v>1</v>
          </cell>
          <cell r="H8">
            <v>1358000</v>
          </cell>
        </row>
        <row r="9">
          <cell r="B9">
            <v>2568</v>
          </cell>
          <cell r="C9" t="str">
            <v>หนองคาย</v>
          </cell>
          <cell r="D9" t="str">
            <v>ยานพาหนะและขนส่ง</v>
          </cell>
          <cell r="E9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สำนักงานพัฒนาสังคมและความมั่นคงของมนุษย์จังหวัดหนองคาย ตำบลหนองกอมเกาะ อำเภอเมืองหนองคาย จังหวัดหนองคาย</v>
          </cell>
          <cell r="F9" t="str">
            <v>พมจ.หนองคาย</v>
          </cell>
          <cell r="G9">
            <v>1</v>
          </cell>
          <cell r="H9">
            <v>885900</v>
          </cell>
        </row>
        <row r="10">
          <cell r="B10">
            <v>2568</v>
          </cell>
          <cell r="C10" t="str">
            <v>หนองคาย</v>
          </cell>
          <cell r="D10" t="str">
            <v>ยานพาหนะและขนส่ง</v>
          </cell>
          <cell r="E10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สำนักงานพัฒนาสังคมและความมั่นคงของมนุษย์จังหวัดหนองคาย ตำบลหนองกอมเกาะ อำเภอเมืองหนองคาย จังหวัดหนองคาย</v>
          </cell>
          <cell r="F10" t="str">
            <v>พมจ.หนองคาย</v>
          </cell>
          <cell r="G10">
            <v>1</v>
          </cell>
          <cell r="H10">
            <v>1055000</v>
          </cell>
        </row>
        <row r="11">
          <cell r="B11">
            <v>2568</v>
          </cell>
          <cell r="C11" t="str">
            <v>หนองบัวลำภู</v>
          </cell>
          <cell r="D11" t="str">
            <v>ยานพาหนะและขนส่ง</v>
          </cell>
          <cell r="E11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สำนักงานพัฒนาสังคมและความมั่นคงของมนุษย์จังหวัดหนองบัวลำภู ตำบลลำภู อำเภอเมืองหนองบัวลำภู จังหวัดหนองบัวลำภู</v>
          </cell>
          <cell r="F11" t="str">
            <v>พมจ.หนองบัวลำภู</v>
          </cell>
          <cell r="G11">
            <v>1</v>
          </cell>
          <cell r="H11">
            <v>885900</v>
          </cell>
        </row>
        <row r="12">
          <cell r="B12">
            <v>2568</v>
          </cell>
          <cell r="C12" t="str">
            <v>กรุงเทพมหานคร</v>
          </cell>
          <cell r="D12" t="str">
            <v>ยานพาหนะและขนส่ง</v>
          </cell>
          <cell r="E12" t="str">
            <v xml:space="preserve"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    </cell>
          <cell r="F12" t="str">
            <v>กมพ.</v>
          </cell>
          <cell r="G12">
            <v>1</v>
          </cell>
          <cell r="H12">
            <v>1358000</v>
          </cell>
        </row>
        <row r="13">
          <cell r="B13">
            <v>2568</v>
          </cell>
          <cell r="C13" t="str">
            <v>กรุงเทพมหานคร</v>
          </cell>
          <cell r="D13" t="str">
            <v>ยานพาหนะและขนส่ง</v>
          </cell>
          <cell r="E13" t="str">
            <v xml:space="preserve">รถยนต์ตรวจการณ์ ปริมาตรกระบอกสูบไม่ต่ำกว่า 2,000 ซีซี หรือกำลังเครื่องยนต์สูงสุดไม่ต่ำกว่า 110 กิโลวัตต์ เครื่องยนต์ดีเซล แบบขับเคลื่อน 4 ล้อ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    </cell>
          <cell r="F13" t="str">
            <v>ศรส.</v>
          </cell>
          <cell r="G13">
            <v>8</v>
          </cell>
          <cell r="H13">
            <v>13312000</v>
          </cell>
        </row>
        <row r="14">
          <cell r="B14">
            <v>2568</v>
          </cell>
          <cell r="C14" t="str">
            <v>กรุงเทพมหานคร</v>
          </cell>
          <cell r="D14" t="str">
            <v>ยานพาหนะและขนส่ง</v>
          </cell>
          <cell r="E14" t="str">
            <v xml:space="preserve">รถยนต์ตรวจการณ์ ปริมาตรกระบอกสูบไม่ต่ำกว่า 2,000 ซีซี หรือกำลังเครื่องยนต์สูงสุดไม่ต่ำกว่า 110 กิโลวัตต์ เครื่องยนต์ดีเซล แบบขับเคลื่อน 4 ล้อ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    </cell>
          <cell r="F14" t="str">
            <v>สร.</v>
          </cell>
          <cell r="G14">
            <v>1</v>
          </cell>
          <cell r="H14">
            <v>1664000</v>
          </cell>
        </row>
        <row r="15">
          <cell r="B15">
            <v>2568</v>
          </cell>
          <cell r="C15" t="str">
            <v>กรุงเทพมหานคร</v>
          </cell>
          <cell r="D15" t="str">
            <v>คอมพิวเตอร์</v>
          </cell>
          <cell r="E15" t="str">
            <v xml:space="preserve">โครงการจ้างจัดทำระบบออกบัตรประจำตัวพนักงานเจ้าหน้าที่ที่ออกด้วยระบบคอมพิวเตอร์ ออกตามความในพระราชบัญญัติป้องกันและปราบปรามการค้ามนุษย์ พ.ศ. 2551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    </cell>
          <cell r="F15" t="str">
            <v>กคม.</v>
          </cell>
          <cell r="G15">
            <v>1</v>
          </cell>
          <cell r="H15">
            <v>499900</v>
          </cell>
        </row>
        <row r="16">
          <cell r="B16">
            <v>2568</v>
          </cell>
          <cell r="C16" t="str">
            <v>กรุงเทพมหานคร</v>
          </cell>
          <cell r="D16" t="str">
            <v>คอมพิวเตอร์</v>
          </cell>
          <cell r="E16" t="str">
            <v xml:space="preserve">โครงการพัฒนาระบบสารสนเทศเพื่อให้การบริการประชาชน โดยใช้เทคโนโลยีปัญญาประดิษฐ์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    </cell>
          <cell r="F16" t="str">
            <v>ศชส.</v>
          </cell>
          <cell r="G16">
            <v>1</v>
          </cell>
          <cell r="H16">
            <v>6463000</v>
          </cell>
        </row>
        <row r="17">
          <cell r="B17">
            <v>2568</v>
          </cell>
          <cell r="C17" t="str">
            <v>กรุงเทพมหานคร</v>
          </cell>
          <cell r="D17" t="str">
            <v>คอมพิวเตอร์</v>
          </cell>
          <cell r="E17" t="str">
            <v xml:space="preserve">เครื่องคอมพิวเตอร์ สำหรับงานประมวลผล แบบที่ 1 *(จอแสดงภาพขนาดไม่น้อยกว่า 19 นิ้ว) พร้อมชุดโปรแกรมระบบปฏิบัติการ และเครื่องสำรองไฟฟ้า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    </cell>
          <cell r="F17" t="str">
            <v>ศทส.</v>
          </cell>
          <cell r="G17">
            <v>217</v>
          </cell>
          <cell r="H17">
            <v>6661900</v>
          </cell>
        </row>
        <row r="18">
          <cell r="B18">
            <v>2568</v>
          </cell>
          <cell r="C18" t="str">
            <v>กรุงเทพมหานคร</v>
          </cell>
          <cell r="D18" t="str">
            <v>คอมพิวเตอร์</v>
          </cell>
          <cell r="E18" t="str">
            <v xml:space="preserve">ชุดโปรแกรมจัดการสำนักงาน แบบที่ 3 ที่มีลิขสิทธิ์ถูกต้องตามกฎหมาย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    </cell>
          <cell r="F18" t="str">
            <v>ศทส.</v>
          </cell>
          <cell r="G18">
            <v>217</v>
          </cell>
          <cell r="H18">
            <v>976500</v>
          </cell>
        </row>
        <row r="19">
          <cell r="B19">
            <v>2568</v>
          </cell>
          <cell r="C19" t="str">
            <v>ตราด</v>
          </cell>
          <cell r="D19" t="str">
            <v>ยานพาหนะและขนส่ง</v>
          </cell>
          <cell r="E19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สำนักงานพัฒนาสังคมและความมั่นคงของมนุษย์จังหวัดตราด ตำบลบางพระ อำเภอเมืองตราด จังหวัดตราด</v>
          </cell>
          <cell r="F19" t="str">
            <v>พมจ.ตราด</v>
          </cell>
          <cell r="G19">
            <v>1</v>
          </cell>
          <cell r="H19">
            <v>1090900</v>
          </cell>
        </row>
        <row r="20">
          <cell r="B20">
            <v>2568</v>
          </cell>
          <cell r="C20" t="str">
            <v>พิจิตร</v>
          </cell>
          <cell r="D20" t="str">
            <v>ยานพาหนะและขนส่ง</v>
          </cell>
          <cell r="E20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สำนักงานพัฒนาสังคมและความมั่นคงของมนุษย์จังหวัดพิจิตร ตำบลในท่าหลวง อำเภอเมืองพิจิตร จังหวัดพิจิตร</v>
          </cell>
          <cell r="F20" t="str">
            <v>พมจ.พิจิตร</v>
          </cell>
          <cell r="G20">
            <v>1</v>
          </cell>
          <cell r="H20">
            <v>885900</v>
          </cell>
        </row>
        <row r="21">
          <cell r="B21">
            <v>2568</v>
          </cell>
          <cell r="C21" t="str">
            <v>สระบุรี</v>
          </cell>
          <cell r="D21" t="str">
            <v>ยานพาหนะและขนส่ง</v>
          </cell>
          <cell r="E21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สำนักงานพัฒนาสังคมและความมั่นคงของมนุษย์จังหวัดสระบุรี ตำบลตะกุด อำเภอเมืองสระบุรี จังหวัดสระบุรี</v>
          </cell>
          <cell r="F21" t="str">
            <v>พมจ.สระบุรี</v>
          </cell>
          <cell r="G21">
            <v>1</v>
          </cell>
          <cell r="H21">
            <v>1090900</v>
          </cell>
        </row>
        <row r="22">
          <cell r="B22">
            <v>2568</v>
          </cell>
          <cell r="C22" t="str">
            <v>สิงห์บุรี</v>
          </cell>
          <cell r="D22" t="str">
            <v>ยานพาหนะและขนส่ง</v>
          </cell>
          <cell r="E22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สำนักงานพัฒนาสังคมและความมั่นคงของมนุษย์จังหวัดสิงห์บุรี ตำบลบางมัญ อำเภอเมืองสิงห์บุรี จังหวัดสิงห์บุรี</v>
          </cell>
          <cell r="F22" t="str">
            <v>พมจ.สิงห์บุรี</v>
          </cell>
          <cell r="G22">
            <v>1</v>
          </cell>
          <cell r="H22">
            <v>885900</v>
          </cell>
        </row>
        <row r="23">
          <cell r="B23">
            <v>2568</v>
          </cell>
          <cell r="C23" t="str">
            <v>สุพรรณบุรี</v>
          </cell>
          <cell r="D23" t="str">
            <v>ยานพาหนะและขนส่ง</v>
          </cell>
          <cell r="E23" t="str">
            <v>รถบรรทุก (ดีเซล) ขนาด 3 ตัน 6 ล้อ ปริมาตรกระบอกสูบไม่ต่ำกว่า 3,000 ซีซี หรือกำลังเครื่องยนต์สูงสุดไม่ต่ำกว่า 80 กิโลวัตต์ สำนักงานพัฒนาสังคมและความมั่นคงของมนุษย์จังหวัดสุพรรณบุรี ตำบลาสนามชัย อำเภอเมืองสุพรรณบุรี จังหวัดสุพรรณบุรี</v>
          </cell>
          <cell r="F23" t="str">
            <v>พมจ.สุพรรณบุรี</v>
          </cell>
          <cell r="G23">
            <v>1</v>
          </cell>
          <cell r="H23">
            <v>1092000</v>
          </cell>
        </row>
        <row r="24">
          <cell r="B24">
            <v>2568</v>
          </cell>
          <cell r="C24" t="str">
            <v>ชุมพร</v>
          </cell>
          <cell r="D24" t="str">
            <v>ยานพาหนะและขนส่ง</v>
          </cell>
          <cell r="E24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สำนักงานพัฒนาสังคมและความมั่นคงของมนุษย์จังหวัดชุมพร ตำบลชะอัง อำเภอเมืองชุมพร จังหวัดชุมพร</v>
          </cell>
          <cell r="F24" t="str">
            <v>พมจ.ชุมพร</v>
          </cell>
          <cell r="G24">
            <v>1</v>
          </cell>
          <cell r="H24">
            <v>1090900</v>
          </cell>
        </row>
        <row r="25">
          <cell r="B25">
            <v>2568</v>
          </cell>
          <cell r="C25" t="str">
            <v>นราธิวาส</v>
          </cell>
          <cell r="D25" t="str">
            <v>ยานพาหนะและขนส่ง</v>
          </cell>
          <cell r="E25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สำนักงานพัฒนาสังคมและความมั่นคงของมนุษย์จังหวัดนราธิวาส ตำบลช้างลำภู อำเภอเมืองนราธิวาส จังหวัดนราธิวาส</v>
          </cell>
          <cell r="F25" t="str">
            <v>พมจ.นราธิวาส</v>
          </cell>
          <cell r="G25">
            <v>1</v>
          </cell>
          <cell r="H25">
            <v>885900</v>
          </cell>
        </row>
        <row r="26">
          <cell r="B26">
            <v>2568</v>
          </cell>
          <cell r="C26" t="str">
            <v>สตูล</v>
          </cell>
          <cell r="D26" t="str">
            <v>ยานพาหนะและขนส่ง</v>
          </cell>
          <cell r="E26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สำนักงานพัฒนาสังคมและความมั่นคงของมนุษย์จังหวัดสตูล ตำบลพิมาน อำเภอเมืองสตูล จังหวัดสตูล</v>
          </cell>
          <cell r="F26" t="str">
            <v>พมจ.สตูล</v>
          </cell>
          <cell r="G26">
            <v>1</v>
          </cell>
          <cell r="H26">
            <v>1055000</v>
          </cell>
        </row>
        <row r="27">
          <cell r="B27">
            <v>2568</v>
          </cell>
          <cell r="C27" t="str">
            <v>สุราษฎร์ธานี</v>
          </cell>
          <cell r="D27" t="str">
            <v>สำนักงาน</v>
          </cell>
          <cell r="E27" t="str">
            <v xml:space="preserve"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สำนักงานพัฒนาสังคมและความมั่นคงของมนุษย์จังหวัดสุราษฎร์ธานี ตำบลขุนทะเล อำเภอเมืองสุราษฎร์ธานี จังหวัดสุราษฎร์ธานี </v>
          </cell>
          <cell r="F27" t="str">
            <v>พมจ.สุราษฎร์ธานี</v>
          </cell>
          <cell r="G27">
            <v>1</v>
          </cell>
          <cell r="H27">
            <v>1090900</v>
          </cell>
        </row>
      </sheetData>
      <sheetData sheetId="10">
        <row r="2">
          <cell r="B2">
            <v>2569</v>
          </cell>
          <cell r="C2" t="str">
            <v>เชียงราย</v>
          </cell>
          <cell r="D2" t="str">
            <v>สำนักงาน</v>
          </cell>
          <cell r="E2" t="str">
            <v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สำนักงานพัฒนาสังคมและความมั่นคงของมนุษย์จังหวัดเชียงราย ตำบลริมกก อำเภอเมืองเชียงราย จังหวัดเชียงราย</v>
          </cell>
          <cell r="F2" t="str">
            <v>พมจ.เชียงราย</v>
          </cell>
          <cell r="G2">
            <v>2</v>
          </cell>
          <cell r="H2">
            <v>81800</v>
          </cell>
        </row>
        <row r="3">
          <cell r="B3">
            <v>2569</v>
          </cell>
          <cell r="C3" t="str">
            <v>เชียงราย</v>
          </cell>
          <cell r="D3" t="str">
            <v>งานบ้านงานครัว</v>
          </cell>
          <cell r="E3" t="str">
            <v>ตู้แช่อาหาร ขนาด 20 คิวบิกฟุต สถานคุ้มครองสวัสดิภาพผู้เสียหายจากการค้ามนุษย์จังหวัดเชียงราย ตำบลเวียงเหนือ อำเภอเวียงชัย จังหวัดเชียงราย</v>
          </cell>
          <cell r="F3" t="str">
            <v>สคม.เชียงราย</v>
          </cell>
          <cell r="G3">
            <v>1</v>
          </cell>
          <cell r="H3">
            <v>37000</v>
          </cell>
        </row>
        <row r="4">
          <cell r="B4">
            <v>2569</v>
          </cell>
          <cell r="C4" t="str">
            <v>เชียงใหม่</v>
          </cell>
          <cell r="D4" t="str">
            <v>สำนักงาน</v>
          </cell>
          <cell r="E4" t="str">
            <v>เครื่องทำลายเอกสาร แบบตัดละเอียด ทำลายครั้งละ 30 แผ่น สำนักงานพัฒนาสังคมและความมั่นคงของมนุษย์จังหวัดเชียงใหม่ ตำบลช้างเผือก อำเภอเมืองเชียงใหม่ จังหวัดเชียงใหม่</v>
          </cell>
          <cell r="F4" t="str">
            <v>พมจ.เชียงใหม่</v>
          </cell>
          <cell r="G4">
            <v>1</v>
          </cell>
          <cell r="H4">
            <v>67000</v>
          </cell>
        </row>
        <row r="5">
          <cell r="B5">
            <v>2569</v>
          </cell>
          <cell r="C5" t="str">
            <v>เชียงใหม่</v>
          </cell>
          <cell r="D5" t="str">
            <v>สำนักงาน</v>
          </cell>
          <cell r="E5" t="str">
            <v>เครื่องปรับอากาศ แบบแยกส่วน แบบตั้งพื้นหรือแบบแขวน ขนาด 24,000 บีทียู สำนักงานส่งเสริมและสนับสนุนวิชาการ 9 ตำบลช้างเผือก อำเภอเมืองเชียงใหม่ จังหวัดเชียงใหม่</v>
          </cell>
          <cell r="F5" t="str">
            <v>สสว.9</v>
          </cell>
          <cell r="G5">
            <v>3</v>
          </cell>
          <cell r="H5">
            <v>96600</v>
          </cell>
        </row>
        <row r="6">
          <cell r="B6">
            <v>2569</v>
          </cell>
          <cell r="C6" t="str">
            <v>น่าน</v>
          </cell>
          <cell r="D6" t="str">
            <v>สำนักงาน</v>
          </cell>
          <cell r="E6" t="str">
            <v>เครื่องทำลายเอกสาร แบบตัดละเอียด ทำลายครั้งละ 30 แผ่น สำนักงานพัฒนาสังคมและความมั่นคงของมนุษย์จังหวัดน่าน ตำบลไชยสถาน อำเภอเมืองน่าน จังหวัดน่าน</v>
          </cell>
          <cell r="F6" t="str">
            <v>พมจ.น่าน</v>
          </cell>
          <cell r="G6">
            <v>1</v>
          </cell>
          <cell r="H6">
            <v>67000</v>
          </cell>
        </row>
        <row r="7">
          <cell r="B7">
            <v>2569</v>
          </cell>
          <cell r="C7" t="str">
            <v>แม่ฮ่องสอน</v>
          </cell>
          <cell r="D7" t="str">
            <v>ยานพาหนะและขนส่ง</v>
          </cell>
          <cell r="E7" t="str">
            <v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สำนักงานพัฒนาสังคมและความมั่นคงของมนุษย์จังหวัดแม่ฮ่องสอน ตำบลจองคำ อำเภอเมืองแม่ฮ่องสอน จังหวัดแม่ฮ่องสอน</v>
          </cell>
          <cell r="F7" t="str">
            <v>พมจ.แม่ฮ่องสอน</v>
          </cell>
          <cell r="G7">
            <v>1</v>
          </cell>
          <cell r="H7">
            <v>1369000</v>
          </cell>
        </row>
        <row r="8">
          <cell r="B8">
            <v>2569</v>
          </cell>
          <cell r="C8" t="str">
            <v>อุตรดิตถ์</v>
          </cell>
          <cell r="D8" t="str">
            <v>ยานพาหนะและขนส่ง</v>
          </cell>
          <cell r="E8" t="str">
            <v>รถบรรทุก (ดีเซล) 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สำนักงานส่งเสริมและสนับสนุนวิชาการ 8 ตำบลผาเลือด อำเภอท่าปลา จังหวัดอุตรดิตถ์</v>
          </cell>
          <cell r="F8" t="str">
            <v>สสว.8</v>
          </cell>
          <cell r="G8">
            <v>1</v>
          </cell>
          <cell r="H8">
            <v>1207900</v>
          </cell>
        </row>
        <row r="9">
          <cell r="B9">
            <v>2569</v>
          </cell>
          <cell r="C9" t="str">
            <v>อุตรดิตถ์</v>
          </cell>
          <cell r="D9" t="str">
            <v>สำนักงาน</v>
          </cell>
          <cell r="E9" t="str">
            <v>เครื่องปรับอากาศ แบบแยกส่วน แบบตั้งพื้นหรือแบบแขวน ขนาด 30,000 บีทียู สำนักงานส่งเสริมและสนับสนุนวิชาการ 8 ตำบลผาเลือด อำเภอท่าปลา จังหวัดอุตรดิตถ์</v>
          </cell>
          <cell r="F9" t="str">
            <v>สสว.8</v>
          </cell>
          <cell r="G9">
            <v>2</v>
          </cell>
          <cell r="H9">
            <v>83000</v>
          </cell>
        </row>
        <row r="10">
          <cell r="B10">
            <v>2569</v>
          </cell>
          <cell r="C10" t="str">
            <v>อุตรดิตถ์</v>
          </cell>
          <cell r="D10" t="str">
            <v>สำนักงาน</v>
          </cell>
          <cell r="E10" t="str">
            <v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สำนักงานพัฒนาสังคมและความมั่นคงของมนุษย์จังหวัดอุตรดิตถ์ ตำบลท่าอิฐ อำเภอเมืองอุตรดิตถ์ จังหวัดอุตรดิตถ์</v>
          </cell>
          <cell r="F10" t="str">
            <v>พมจ.อุตรดิตถ์</v>
          </cell>
          <cell r="G10">
            <v>6</v>
          </cell>
          <cell r="H10">
            <v>321600</v>
          </cell>
        </row>
        <row r="11">
          <cell r="B11">
            <v>2569</v>
          </cell>
          <cell r="C11" t="str">
            <v>กาฬสินธุ์</v>
          </cell>
          <cell r="D11" t="str">
            <v>ยานพาหนะและขนส่ง</v>
          </cell>
          <cell r="E11" t="str">
            <v>รถโดยสารขนาด 12 ที่นั่ง (ดีเซล) ปริมาตรกระบอกสูบไม่น้อยกว่า 2,400 ซีซี หรือกำลังเครื่องยนต์สูงสุดไม่ต่ำกว่า 90 กิโลวัตต์ สำนักงานส่งเสริมและสนับสนุนวิชาการ 6 ตำบลภูดิน อำเภอเมืองกาฬสินธุ์ จังหวัดกาฬสินธุ์</v>
          </cell>
          <cell r="F11" t="str">
            <v>สสว.6</v>
          </cell>
          <cell r="G11">
            <v>1</v>
          </cell>
          <cell r="H11">
            <v>1369000</v>
          </cell>
        </row>
        <row r="12">
          <cell r="B12">
            <v>2569</v>
          </cell>
          <cell r="C12" t="str">
            <v>กาฬสินธุ์</v>
          </cell>
          <cell r="D12" t="str">
            <v>ยานพาหนะและขนส่ง</v>
          </cell>
          <cell r="E12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สำนักงานพัฒนาสังคมและความมั่นคงของมนุษย์จังหวัดกาฬสินธุ์ ตำบลกาฬสินธุ์ อำเภอเมืองกาฬสินธุ์ จังหวัดกาฬสินธุ์</v>
          </cell>
          <cell r="F12" t="str">
            <v>พมจ.กาฬสินธุ์</v>
          </cell>
          <cell r="G12">
            <v>1</v>
          </cell>
          <cell r="H12">
            <v>970900</v>
          </cell>
        </row>
        <row r="13">
          <cell r="B13">
            <v>2569</v>
          </cell>
          <cell r="C13" t="str">
            <v>นครราชสีมา</v>
          </cell>
          <cell r="D13" t="str">
            <v>ยานพาหนะและขนส่ง</v>
          </cell>
          <cell r="E13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พร้อมหลังคาไฟเบอ์กลาสหรือเหล็ก สำนักงานส่งเสริมและสนับสนุนวิชาการ 4 ตำบลนิคมสร้างตนเอง อำเภอพิมาย จังหวัดนครราชสีมา</v>
          </cell>
          <cell r="F13" t="str">
            <v>สสว.4</v>
          </cell>
          <cell r="G13">
            <v>2</v>
          </cell>
          <cell r="H13">
            <v>1941800</v>
          </cell>
        </row>
        <row r="14">
          <cell r="B14">
            <v>2569</v>
          </cell>
          <cell r="C14" t="str">
            <v>นครราชสีมา</v>
          </cell>
          <cell r="D14" t="str">
            <v>สำนักงาน</v>
          </cell>
          <cell r="E14" t="str">
            <v>เครื่องปรับอากาศ แบบแยกส่วน แบบตั้งพื้นหรือแบบแขวน ขนาด 20,000 บีทียู สำนักงานพัฒนาสังคมและความมั่นคงของมนุษย์จังหวัดนครราชสีมา ตำบลในเมือง อำเภอเมืองนครราชสีมา จังหวัดนครราชสีมา</v>
          </cell>
          <cell r="F14" t="str">
            <v>พมจ.นครราชสีมา</v>
          </cell>
          <cell r="G14">
            <v>3</v>
          </cell>
          <cell r="H14">
            <v>92700</v>
          </cell>
        </row>
        <row r="15">
          <cell r="B15">
            <v>2569</v>
          </cell>
          <cell r="C15" t="str">
            <v>ยโสธร</v>
          </cell>
          <cell r="D15" t="str">
            <v>ยานพาหนะและขนส่ง</v>
          </cell>
          <cell r="E15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สำนักงานพัฒนาสังคมและความมั่นคงของมนุษย์จังหวัดยโสธร ตำบลในเมือง อำเภอเมืองยโสธร จังหวัดยโสธร</v>
          </cell>
          <cell r="F15" t="str">
            <v>พมจ.ยโสธร</v>
          </cell>
          <cell r="G15">
            <v>1</v>
          </cell>
          <cell r="H15">
            <v>970900</v>
          </cell>
        </row>
        <row r="16">
          <cell r="B16">
            <v>2569</v>
          </cell>
          <cell r="C16" t="str">
            <v>เลย</v>
          </cell>
          <cell r="D16" t="str">
            <v>สำนักงาน</v>
          </cell>
          <cell r="E16" t="str">
            <v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สำนักงานพัฒนาสังคมและความมั่นคงของมนุษย์จังหวัดเลย ตำบลกุดป่อง อำเภอเมืองเลย จังหวัดเลย</v>
          </cell>
          <cell r="F16" t="str">
            <v>พมจ.เลย</v>
          </cell>
          <cell r="G16">
            <v>5</v>
          </cell>
          <cell r="H16">
            <v>268000</v>
          </cell>
        </row>
        <row r="17">
          <cell r="B17">
            <v>2569</v>
          </cell>
          <cell r="C17" t="str">
            <v>อำนาจเจริญ</v>
          </cell>
          <cell r="D17" t="str">
            <v>ยานพาหนะและขนส่ง</v>
          </cell>
          <cell r="E17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สำนักงานพัฒนาสังคมและความมั่นคงของมนุษย์จังหวัดอำนาจเจริญ ตำบลโนนหนามแท่ง อำเภอเมืองอำนาจเจริญ จังหวัดอำนาจเจริญ</v>
          </cell>
          <cell r="F17" t="str">
            <v>พมจ.อำนาจเจริญ</v>
          </cell>
          <cell r="G17">
            <v>1</v>
          </cell>
          <cell r="H17">
            <v>970900</v>
          </cell>
        </row>
        <row r="18">
          <cell r="B18">
            <v>2569</v>
          </cell>
          <cell r="C18" t="str">
            <v>อุบลราชธานี</v>
          </cell>
          <cell r="D18" t="str">
            <v>สำนักงาน</v>
          </cell>
          <cell r="E18" t="str">
            <v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สำนักงานพัฒนาสังคมและความมั่นคงของมนุษย์จังหวัดอุบลราชธานี ตำบลแจระแม อำเภอเมืองอุบลราชธานี จังหวัดอุบลราชธานี</v>
          </cell>
          <cell r="F18" t="str">
            <v>พมจ.อุบลราชธานี</v>
          </cell>
          <cell r="G18">
            <v>5</v>
          </cell>
          <cell r="H18">
            <v>204500</v>
          </cell>
        </row>
        <row r="19">
          <cell r="B19">
            <v>2569</v>
          </cell>
          <cell r="C19" t="str">
            <v>กรุงเทพมหานคร</v>
          </cell>
          <cell r="D19" t="str">
            <v>ยานพาหนะและขนส่ง</v>
          </cell>
          <cell r="E19" t="str">
            <v>รถนั่งส่วนกลาง รถยนต์ไฟฟ้า ประเภทแบตเตอรี่ (BEV) ที่มีขนาดความจุของแบตเตอรี่มากกว่า 60 กิโลวัตต์ชั่วโมง (kWh) และกำลังมอเตอร์ไฟฟ้าสูงสุดไม่เกิน 150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19" t="str">
            <v>กก.</v>
          </cell>
          <cell r="G19">
            <v>2</v>
          </cell>
          <cell r="H19">
            <v>1836000</v>
          </cell>
        </row>
        <row r="20">
          <cell r="B20">
            <v>2569</v>
          </cell>
          <cell r="C20" t="str">
            <v>กรุงเทพมหานคร</v>
          </cell>
          <cell r="D20" t="str">
            <v>ยานพาหนะและขนส่ง</v>
          </cell>
          <cell r="E20" t="str">
            <v>รถนั่งส่วนกลาง รถยนต์ไฟฟ้า ประเภทผสมหรือไฮบริด (HEV) ปริมาตรกระบอกสูบไม่เกิน 2,000 ซีซี หรือกำลังเครื่องยนต์สูงสุดไม่ต่ำกว่า 60 กิโลวัตต์ และกำลังมอเตอร์ไฟฟ้าสูงสุดไม่เกิน 115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20" t="str">
            <v>สร.</v>
          </cell>
          <cell r="G20">
            <v>1</v>
          </cell>
          <cell r="H20">
            <v>825000</v>
          </cell>
        </row>
        <row r="21">
          <cell r="B21">
            <v>2569</v>
          </cell>
          <cell r="C21" t="str">
            <v>กรุงเทพมหานคร</v>
          </cell>
          <cell r="D21" t="str">
            <v>ยานพาหนะและขนส่ง</v>
          </cell>
          <cell r="E21" t="str">
            <v>รถนั่งส่วนกลาง รถยนต์ไฟฟ้า ประเภทแบตเตอรี่ (BEV) ที่มีขนาดความจุของแบตเตอรี่มากกว่า 60 กิโลวัตต์ชั่วโมง (kWh) และกำลังมอเตอร์ไฟฟ้าสูงสุดไม่เกิน 150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21" t="str">
            <v>กยผ.</v>
          </cell>
          <cell r="G21">
            <v>1</v>
          </cell>
          <cell r="H21">
            <v>918000</v>
          </cell>
        </row>
        <row r="22">
          <cell r="B22">
            <v>2569</v>
          </cell>
          <cell r="C22" t="str">
            <v>กรุงเทพมหานคร</v>
          </cell>
          <cell r="D22" t="str">
            <v>ยานพาหนะและขนส่ง</v>
          </cell>
          <cell r="E22" t="str">
            <v>รถนั่งส่วนกลาง รถยนต์ไฟฟ้า ประเภทแบตเตอรี่ (BEV) ที่มีขนาดความจุของแบตเตอรี่มากกว่า 60 กิโลวัตต์ชั่วโมง (kWh) และกำลังมอเตอร์ไฟฟ้าสูงสุดไม่เกิน 150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22" t="str">
            <v>กคม.</v>
          </cell>
          <cell r="G22">
            <v>1</v>
          </cell>
          <cell r="H22">
            <v>918000</v>
          </cell>
        </row>
        <row r="23">
          <cell r="B23">
            <v>2569</v>
          </cell>
          <cell r="C23" t="str">
            <v>กรุงเทพมหานคร</v>
          </cell>
          <cell r="D23" t="str">
            <v>สำนักงาน</v>
          </cell>
          <cell r="E23" t="str">
            <v>เครื่องทำลายเอกสาร แบบตัดตรง ทำลายครั้งละ 30 แผ่น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23" t="str">
            <v>กยผ.</v>
          </cell>
          <cell r="G23">
            <v>1</v>
          </cell>
          <cell r="H23">
            <v>63000</v>
          </cell>
        </row>
        <row r="24">
          <cell r="B24">
            <v>2569</v>
          </cell>
          <cell r="C24" t="str">
            <v>กรุงเทพมหานคร</v>
          </cell>
          <cell r="D24" t="str">
            <v>สำนักงาน</v>
          </cell>
          <cell r="E24" t="str">
            <v>ระบบควบคุมการเข้า-ออก อาคารที่ทำการกระทรวงการพัฒนาสังคมและความมั่นคงของมนุษย์ พร้อมติดตั้ง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24" t="str">
            <v>กก.</v>
          </cell>
          <cell r="G24">
            <v>1</v>
          </cell>
          <cell r="H24">
            <v>1375900</v>
          </cell>
        </row>
        <row r="25">
          <cell r="B25">
            <v>2569</v>
          </cell>
          <cell r="C25" t="str">
            <v>กรุงเทพมหานคร</v>
          </cell>
          <cell r="D25" t="str">
            <v>ไฟฟ้าและวิทยุ</v>
          </cell>
          <cell r="E25" t="str">
            <v>เครื่องประจุไฟฟ้าแบบติดผนังสำหรับรถยนต์ไฟฟ้า (EV Wall Charger) PTT EV Wall Charger รุ่น 22 kW Smart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25" t="str">
            <v>กก.</v>
          </cell>
          <cell r="G25">
            <v>2</v>
          </cell>
          <cell r="H25">
            <v>164000</v>
          </cell>
        </row>
        <row r="26">
          <cell r="B26">
            <v>2569</v>
          </cell>
          <cell r="C26" t="str">
            <v>กรุงเทพมหานคร</v>
          </cell>
          <cell r="D26" t="str">
            <v>คอมพิวเตอร์</v>
          </cell>
          <cell r="E26" t="str">
            <v>อุปกรณ์ป้องกันเครือข่าย (Next Generation Firewall)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26" t="str">
            <v>ศทส.</v>
          </cell>
          <cell r="G26">
            <v>11</v>
          </cell>
          <cell r="H26">
            <v>715000</v>
          </cell>
        </row>
        <row r="27">
          <cell r="B27">
            <v>2569</v>
          </cell>
          <cell r="C27" t="str">
            <v>กรุงเทพมหานคร</v>
          </cell>
          <cell r="D27" t="str">
            <v>คอมพิวเตอร์</v>
          </cell>
          <cell r="E27" t="str">
            <v>อุปกรณ์ป้องกันเครือข่าย (Next Generation Firewall) แบบที่ 2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27" t="str">
            <v>ศทส.</v>
          </cell>
          <cell r="G27">
            <v>1</v>
          </cell>
          <cell r="H27">
            <v>1000000</v>
          </cell>
        </row>
        <row r="28">
          <cell r="B28">
            <v>2569</v>
          </cell>
          <cell r="C28" t="str">
            <v>กรุงเทพมหานคร</v>
          </cell>
          <cell r="D28" t="str">
            <v>คอมพิวเตอร์</v>
          </cell>
          <cell r="E28" t="str">
            <v>อุปกรณ์กระจายสัญญาณ Layer 2 ความเร็วไม่น้อยกว่า 10 Gbps แบบ SFP+ ขนาด 24 ช่อง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28" t="str">
            <v>ศทส.</v>
          </cell>
          <cell r="G28">
            <v>7</v>
          </cell>
          <cell r="H28">
            <v>3150000</v>
          </cell>
        </row>
        <row r="29">
          <cell r="B29">
            <v>2569</v>
          </cell>
          <cell r="C29" t="str">
            <v>กรุงเทพมหานคร</v>
          </cell>
          <cell r="D29" t="str">
            <v>คอมพิวเตอร์</v>
          </cell>
          <cell r="E29" t="str">
            <v>อุปกรณ์กระจายสัญญาณไร้สาย (Access Point) แบบที่ 2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29" t="str">
            <v>ศทส.</v>
          </cell>
          <cell r="G29">
            <v>48</v>
          </cell>
          <cell r="H29">
            <v>1008000</v>
          </cell>
        </row>
        <row r="30">
          <cell r="B30">
            <v>2569</v>
          </cell>
          <cell r="C30" t="str">
            <v>กรุงเทพมหานคร</v>
          </cell>
          <cell r="D30" t="str">
            <v>คอมพิวเตอร์</v>
          </cell>
          <cell r="E30" t="str">
            <v>อุปกรณ์กระจายสัญญาณ (L2 Switch) ขนาด 24 ช่อง แบบที่ 2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30" t="str">
            <v>ศทส.</v>
          </cell>
          <cell r="G30">
            <v>31</v>
          </cell>
          <cell r="H30">
            <v>403000</v>
          </cell>
        </row>
        <row r="31">
          <cell r="B31">
            <v>2569</v>
          </cell>
          <cell r="C31" t="str">
            <v>กรุงเทพมหานคร</v>
          </cell>
          <cell r="D31" t="str">
            <v>คอมพิวเตอร์</v>
          </cell>
          <cell r="E31" t="str">
            <v>อุปกรณ์สำหรับจัดเก็บข้อมูลแบบ NAS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31" t="str">
            <v>ศทส.</v>
          </cell>
          <cell r="G31">
            <v>1</v>
          </cell>
          <cell r="H31">
            <v>35000</v>
          </cell>
        </row>
        <row r="32">
          <cell r="B32">
            <v>2569</v>
          </cell>
          <cell r="C32" t="str">
            <v>กรุงเทพมหานคร</v>
          </cell>
          <cell r="D32" t="str">
            <v>คอมพิวเตอร์</v>
          </cell>
          <cell r="E32" t="str">
            <v>เครื่องสำรองไฟฟ้า ขนาด 2 kVA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32" t="str">
            <v>ศทส.</v>
          </cell>
          <cell r="G32">
            <v>11</v>
          </cell>
          <cell r="H32">
            <v>121000</v>
          </cell>
        </row>
        <row r="33">
          <cell r="B33">
            <v>2569</v>
          </cell>
          <cell r="C33" t="str">
            <v>กรุงเทพมหานคร</v>
          </cell>
          <cell r="D33" t="str">
            <v>คอมพิวเตอร์</v>
          </cell>
          <cell r="E33" t="str">
            <v>อุปกรณ์บริหารจัดการอุปกรณ์ป้องกันเครือข่าย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33" t="str">
            <v>ศทส.</v>
          </cell>
          <cell r="G33">
            <v>1</v>
          </cell>
          <cell r="H33">
            <v>1800000</v>
          </cell>
        </row>
        <row r="34">
          <cell r="B34">
            <v>2569</v>
          </cell>
          <cell r="C34" t="str">
            <v>กรุงเทพมหานคร</v>
          </cell>
          <cell r="D34" t="str">
            <v>คอมพิวเตอร์</v>
          </cell>
          <cell r="E34" t="str">
            <v>ระบบบริหารจัดการบัญชีผู้ใช้งานและตรวจสอบการเข้าถึงระบบเครือข่ายคอมพิวเตอร์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34" t="str">
            <v>ศทส.</v>
          </cell>
          <cell r="G34">
            <v>1</v>
          </cell>
          <cell r="H34">
            <v>1000000</v>
          </cell>
        </row>
        <row r="35">
          <cell r="B35">
            <v>2569</v>
          </cell>
          <cell r="C35" t="str">
            <v>กรุงเทพมหานคร</v>
          </cell>
          <cell r="D35" t="str">
            <v>คอมพิวเตอร์</v>
          </cell>
          <cell r="E35" t="str">
            <v>เครื่องคอมพิวเตอร์ สำหรับงานประมวลผลแบบที่ 1 (จอแสดงภาพขนาดไม่น้อยกว่า 19 นิ้ว) พร้อมชุดโปรแกรมระบบปฏิบัติการ และเครื่องสำรองไฟฟ้า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35" t="str">
            <v>ศทส.</v>
          </cell>
          <cell r="G35">
            <v>154</v>
          </cell>
          <cell r="H35">
            <v>4727800</v>
          </cell>
        </row>
        <row r="36">
          <cell r="B36">
            <v>2569</v>
          </cell>
          <cell r="C36" t="str">
            <v>กรุงเทพมหานคร</v>
          </cell>
          <cell r="D36" t="str">
            <v>คอมพิวเตอร์</v>
          </cell>
          <cell r="E36" t="str">
            <v>เครื่องคอมพิวเตอร์ สำหรับงานประมวลผลแบบที่ 2 (จอแสดงภาพขนาดไม่น้อยกว่า 19 นิ้ว) พร้อมชุดโปรแกรมระบบปฏิบัติการ และเครื่องสำรองไฟฟ้า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36" t="str">
            <v>ศทส.</v>
          </cell>
          <cell r="G36">
            <v>1</v>
          </cell>
          <cell r="H36">
            <v>38700</v>
          </cell>
        </row>
        <row r="37">
          <cell r="B37">
            <v>2569</v>
          </cell>
          <cell r="C37" t="str">
            <v>กรุงเทพมหานคร</v>
          </cell>
          <cell r="D37" t="str">
            <v>คอมพิวเตอร์</v>
          </cell>
          <cell r="E37" t="str">
            <v>เครื่องคอมพิวเตอร์ All In One สำหรับงานประมวลผล พร้อมชุดโปรแกรมปฏิบัติการ และเครื่องสำรองไฟ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37" t="str">
            <v>ศทส.</v>
          </cell>
          <cell r="G37">
            <v>1</v>
          </cell>
          <cell r="H37">
            <v>30700</v>
          </cell>
        </row>
        <row r="38">
          <cell r="B38">
            <v>2569</v>
          </cell>
          <cell r="C38" t="str">
            <v>กรุงเทพมหานคร</v>
          </cell>
          <cell r="D38" t="str">
            <v>คอมพิวเตอร์</v>
          </cell>
          <cell r="E38" t="str">
            <v>เครื่องคอมพิวเตอร์โน้ตบุ๊ก สำหรับงานประมวลผล พร้อมชุดโปรแกรมระบบปฏิบัติการ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38" t="str">
            <v>ศทส.</v>
          </cell>
          <cell r="G38">
            <v>87</v>
          </cell>
          <cell r="H38">
            <v>2453400</v>
          </cell>
        </row>
        <row r="39">
          <cell r="B39">
            <v>2569</v>
          </cell>
          <cell r="C39" t="str">
            <v>กรุงเทพมหานคร</v>
          </cell>
          <cell r="D39" t="str">
            <v>คอมพิวเตอร์</v>
          </cell>
          <cell r="E39" t="str">
            <v>เครื่องพิมพ์ เลเซอร์ หรือ LED ขาวดำ ชนิด Network แบบที่ 1 (28 หน้า/นาที)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39" t="str">
            <v>ศทส.</v>
          </cell>
          <cell r="G39">
            <v>121</v>
          </cell>
          <cell r="H39">
            <v>1076900</v>
          </cell>
        </row>
        <row r="40">
          <cell r="B40">
            <v>2569</v>
          </cell>
          <cell r="C40" t="str">
            <v>กรุงเทพมหานคร</v>
          </cell>
          <cell r="D40" t="str">
            <v>คอมพิวเตอร์</v>
          </cell>
          <cell r="E40" t="str">
            <v>เครื่องพิมพ์ เลเซอร์ หรือ LED สี ชนิด Network แบบที่ 1 (20 หน้า/นาที)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40" t="str">
            <v>ศทส.</v>
          </cell>
          <cell r="G40">
            <v>10</v>
          </cell>
          <cell r="H40">
            <v>110000</v>
          </cell>
        </row>
        <row r="41">
          <cell r="B41">
            <v>2569</v>
          </cell>
          <cell r="C41" t="str">
            <v>กรุงเทพมหานคร</v>
          </cell>
          <cell r="D41" t="str">
            <v>คอมพิวเตอร์</v>
          </cell>
          <cell r="E41" t="str">
            <v>เครื่องพิมพ์ Multifunction เลเซอร์ หรือ LED ขาวดำ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41" t="str">
            <v>ศทส.</v>
          </cell>
          <cell r="G41">
            <v>2</v>
          </cell>
          <cell r="H41">
            <v>20000</v>
          </cell>
        </row>
        <row r="42">
          <cell r="B42">
            <v>2569</v>
          </cell>
          <cell r="C42" t="str">
            <v>กรุงเทพมหานคร</v>
          </cell>
          <cell r="D42" t="str">
            <v>คอมพิวเตอร์</v>
          </cell>
          <cell r="E42" t="str">
            <v>เครื่องพิมพ์ Multifunction เลเซอร์ หรือ LED สี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42" t="str">
            <v>ศทส.</v>
          </cell>
          <cell r="G42">
            <v>2</v>
          </cell>
          <cell r="H42">
            <v>32000</v>
          </cell>
        </row>
        <row r="43">
          <cell r="B43">
            <v>2569</v>
          </cell>
          <cell r="C43" t="str">
            <v>กรุงเทพมหานคร</v>
          </cell>
          <cell r="D43" t="str">
            <v>คอมพิวเตอร์</v>
          </cell>
          <cell r="E43" t="str">
            <v>สแกนเนอร์ สำหรับงานเก็บเอกสารระดับศูนย์บริการ แบบที่ 1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43" t="str">
            <v>ศทส.</v>
          </cell>
          <cell r="G43">
            <v>80</v>
          </cell>
          <cell r="H43">
            <v>1280000</v>
          </cell>
        </row>
        <row r="44">
          <cell r="B44">
            <v>2569</v>
          </cell>
          <cell r="C44" t="str">
            <v>กรุงเทพมหานคร</v>
          </cell>
          <cell r="D44" t="str">
            <v>คอมพิวเตอร์</v>
          </cell>
          <cell r="E44" t="str">
            <v>ชุดโปรแกรมจัดการสำนักงาน แบบที่ 3 ที่มีลิขสิทธิ์ถูกต้องตามกฎหมาย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44" t="str">
            <v>ศทส.</v>
          </cell>
          <cell r="G44">
            <v>243</v>
          </cell>
          <cell r="H44">
            <v>1093500</v>
          </cell>
        </row>
        <row r="45">
          <cell r="B45">
            <v>2569</v>
          </cell>
          <cell r="C45" t="str">
            <v>กรุงเทพมหานคร</v>
          </cell>
          <cell r="D45" t="str">
            <v>คอมพิวเตอร์</v>
          </cell>
          <cell r="E45" t="str">
            <v>ชุดลำโพงพร้อมไมโครโฟนสำหรับการประชุมทางไกลออนไลน์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45" t="str">
            <v>ศทส.</v>
          </cell>
          <cell r="G45">
            <v>76</v>
          </cell>
          <cell r="H45">
            <v>1976000</v>
          </cell>
        </row>
        <row r="46">
          <cell r="B46">
            <v>2569</v>
          </cell>
          <cell r="C46" t="str">
            <v>กรุงเทพมหานคร</v>
          </cell>
          <cell r="D46" t="str">
            <v>คอมพิวเตอร์</v>
          </cell>
          <cell r="E46" t="str">
            <v>กล้องวิดีโอแบบ PTZ สำหรับการประชุมทางไกลออนไลน์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46" t="str">
            <v>ศทส.</v>
          </cell>
          <cell r="G46">
            <v>76</v>
          </cell>
          <cell r="H46">
            <v>1672000</v>
          </cell>
        </row>
        <row r="47">
          <cell r="B47">
            <v>2569</v>
          </cell>
          <cell r="C47" t="str">
            <v>กรุงเทพมหานคร</v>
          </cell>
          <cell r="D47" t="str">
            <v>คอมพิวเตอร์</v>
          </cell>
          <cell r="E47" t="str">
            <v>ทดแทนเว็บไซต์กระทรวงการพัฒนาสังคมและความมั่นคงของมนุษย์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47" t="str">
            <v>ศทส.</v>
          </cell>
          <cell r="G47">
            <v>1</v>
          </cell>
          <cell r="H47">
            <v>4500000</v>
          </cell>
        </row>
        <row r="48">
          <cell r="B48">
            <v>2569</v>
          </cell>
          <cell r="C48" t="str">
            <v>กรุงเทพมหานคร</v>
          </cell>
          <cell r="D48" t="str">
            <v>คอมพิวเตอร์</v>
          </cell>
          <cell r="E48" t="str">
            <v>ยกระดับและพัฒนาระบบการคุ้มครองช่วยเหลือสำหรับผู้เสียหายจากการค้ามนุษย์ ผ่าน Mobile Application “PROTECT-U” (PROTECT-U++)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48" t="str">
            <v>กคม.</v>
          </cell>
          <cell r="G48">
            <v>1</v>
          </cell>
          <cell r="H48">
            <v>2500000</v>
          </cell>
        </row>
        <row r="49">
          <cell r="B49">
            <v>2569</v>
          </cell>
          <cell r="C49" t="str">
            <v>กรุงเทพมหานคร</v>
          </cell>
          <cell r="D49" t="str">
            <v>คอมพิวเตอร์</v>
          </cell>
          <cell r="E49" t="str">
            <v>ยกระดับความมั่นคงปลอดภัยทางไซเบอร์ เพื่อป้องกันการเข้าถึงข้อมูลขนาดใหญ่ของกระทรวงการพัฒนาสังคมและความมั่นคงของมนุษย์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49" t="str">
            <v>ศทส.</v>
          </cell>
          <cell r="G49">
            <v>1</v>
          </cell>
          <cell r="H49">
            <v>40000000</v>
          </cell>
        </row>
        <row r="50">
          <cell r="B50">
            <v>2569</v>
          </cell>
          <cell r="C50" t="str">
            <v>กรุงเทพมหานคร</v>
          </cell>
          <cell r="D50" t="str">
            <v>คอมพิวเตอร์</v>
          </cell>
          <cell r="E50" t="str">
            <v>ยกระดับการบูรณาการข้อมูลเพื่อการพัฒนาสังคม 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50" t="str">
            <v>ศทส.</v>
          </cell>
          <cell r="G50">
            <v>1</v>
          </cell>
          <cell r="H50">
            <v>97000000</v>
          </cell>
        </row>
        <row r="51">
          <cell r="B51">
            <v>2569</v>
          </cell>
          <cell r="C51" t="str">
            <v>กรุงเทพมหานคร</v>
          </cell>
          <cell r="D51" t="str">
            <v>คอมพิวเตอร์</v>
          </cell>
          <cell r="E51" t="str">
            <v>พัฒนาระบบคำของบประมาณและระบบติดตามผล ของกระทรวงการพัฒนาสังคมและความมั่นคงของมนุษย์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    </cell>
          <cell r="F51" t="str">
            <v>กยผ.</v>
          </cell>
          <cell r="G51">
            <v>1</v>
          </cell>
          <cell r="H51">
            <v>15000000</v>
          </cell>
        </row>
        <row r="52">
          <cell r="B52">
            <v>2569</v>
          </cell>
          <cell r="C52" t="str">
            <v>ชลบุรี</v>
          </cell>
          <cell r="D52" t="str">
            <v>โฆษณาและเผยแพร่</v>
          </cell>
          <cell r="E52" t="str">
            <v>ระบบ Video Conference พร้อมระบบเครื่องเสียงสำหรับห้องประชุม สำนักงานส่งเสริมและสนับสนุนวิชาการ 2 ตำบลบางละมุง อำเภอบางละมุง จังหวัดชลบุรี</v>
          </cell>
          <cell r="F52" t="str">
            <v>สสว.2</v>
          </cell>
          <cell r="G52">
            <v>1</v>
          </cell>
          <cell r="H52">
            <v>730400</v>
          </cell>
        </row>
        <row r="53">
          <cell r="B53">
            <v>2569</v>
          </cell>
          <cell r="C53" t="str">
            <v>นครนายก</v>
          </cell>
          <cell r="D53" t="str">
            <v>สำนักงาน</v>
          </cell>
          <cell r="E53" t="str">
            <v>เครื่องทำลายเอกสาร แบบตัดละเอียด ทำลายครั้งละ 30 แผ่น สำนักงานพัฒนาสังคมและความมั่นคงของมนุษย์จังหวัดนครนายก ตำบลท่าช้าง อำเภอเมืองนครนายก จังหวัดนครนายก</v>
          </cell>
          <cell r="F53" t="str">
            <v>พมจ.นครนายก</v>
          </cell>
          <cell r="G53">
            <v>1</v>
          </cell>
          <cell r="H53">
            <v>67000</v>
          </cell>
        </row>
        <row r="54">
          <cell r="B54">
            <v>2569</v>
          </cell>
          <cell r="C54" t="str">
            <v>ปทุมธานี</v>
          </cell>
          <cell r="D54" t="str">
            <v>ยานพาหนะและขนส่ง</v>
          </cell>
          <cell r="E54" t="str">
            <v>รถโดยสารขนาด 12 ที่นั่ง (ดีเซล) ปริมาตรกระบอกสูบไม่น้อยกว่า 2,400 ซีซี หรือกำลังเครื่องยนต์สูงสุดไม่ต่ำกว่า 90 กิโลวัตต์ สำนักงานส่งเสริมและสนับสนุนวิชาการ 1 ตำบลรังสิต อำเภอธัญบุรี จังหวัดปทุมธานี</v>
          </cell>
          <cell r="F54" t="str">
            <v>สสว.1</v>
          </cell>
          <cell r="G54">
            <v>1</v>
          </cell>
          <cell r="H54">
            <v>1369000</v>
          </cell>
        </row>
        <row r="55">
          <cell r="B55">
            <v>2569</v>
          </cell>
          <cell r="C55" t="str">
            <v>ปทุมธานี</v>
          </cell>
          <cell r="D55" t="str">
            <v>งานบ้านงานครัว</v>
          </cell>
          <cell r="E55" t="str">
            <v>ตู้แช่อาหาร ขนาด 45 คิวบิกฟุต สถานคุ้มครองสวัสดิภาพผู้เสียหายจากการค้ามนุษย์จังหวัดปทุมธานี ตำบลรังสิต อำเภอธัญบุรี จังหวัดปทุมธานี</v>
          </cell>
          <cell r="F55" t="str">
            <v>สคม.ปทุมธานี</v>
          </cell>
          <cell r="G55">
            <v>2</v>
          </cell>
          <cell r="H55">
            <v>120200</v>
          </cell>
        </row>
        <row r="56">
          <cell r="B56">
            <v>2569</v>
          </cell>
          <cell r="C56" t="str">
            <v>ปทุมธานี</v>
          </cell>
          <cell r="D56" t="str">
            <v>โฆษณาและเผยแพร่</v>
          </cell>
          <cell r="E56" t="str">
            <v>ชุดเครื่องเสียงประชุม พร้อมไมโครโฟนห้องประชุม สถานคุ้มครองสวัสดิภาพผู้เสียหายจากการค้ามนุษย์จังหวัดปทุมธานี ตำบลรังสิต อำเภอธัญบุรี จังหวัดปทุมธานี</v>
          </cell>
          <cell r="F56" t="str">
            <v>สคม.ปทุมธานี</v>
          </cell>
          <cell r="G56">
            <v>1</v>
          </cell>
          <cell r="H56">
            <v>396100</v>
          </cell>
        </row>
        <row r="57">
          <cell r="B57">
            <v>2569</v>
          </cell>
          <cell r="C57" t="str">
            <v>ปทุมธานี</v>
          </cell>
          <cell r="D57" t="str">
            <v>สำนักงาน</v>
          </cell>
          <cell r="E57" t="str">
            <v>เครื่องปรับอากาศ แบบแยกส่วน แบบตั้งพื้นหรือแบบแขวน ขนาด 36,000 บีทียู สถาบันพระประชาบดี ตำบลรังสิต อำเภอธัญบุรี จังหวัดปทุมธานี</v>
          </cell>
          <cell r="F57" t="str">
            <v>สบพ.</v>
          </cell>
          <cell r="G57">
            <v>4</v>
          </cell>
          <cell r="H57">
            <v>182000</v>
          </cell>
        </row>
        <row r="58">
          <cell r="B58">
            <v>2569</v>
          </cell>
          <cell r="C58" t="str">
            <v>ปทุมธานี</v>
          </cell>
          <cell r="D58" t="str">
            <v>สำนักงาน</v>
          </cell>
          <cell r="E58" t="str">
            <v>เครื่องปรับอากาศ แบบแยกส่วน แบบตั้งพื้นหรือแบบแขวน ขนาด 24,000 บีทียู สถาบันพระประชาบดี ตำบลรังสิต อำเภอธัญบุรี จังหวัดปทุมธานี</v>
          </cell>
          <cell r="F58" t="str">
            <v>สบพ.</v>
          </cell>
          <cell r="G58">
            <v>7</v>
          </cell>
          <cell r="H58">
            <v>225400</v>
          </cell>
        </row>
        <row r="59">
          <cell r="B59">
            <v>2569</v>
          </cell>
          <cell r="C59" t="str">
            <v>ปราจีนบุรี</v>
          </cell>
          <cell r="D59" t="str">
            <v>ยานพาหนะและขนส่ง</v>
          </cell>
          <cell r="E59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สำนักงานพัฒนาสังคมและความมั่นคงของมนุษย์จังหวัดปราจีนบุรี ตำบลบ้านพระ อำเภอเมืองปราจีนบุรี จังหวัดปราจีนบุรี</v>
          </cell>
          <cell r="F59" t="str">
            <v>พมจ.ปราจีนบุรี</v>
          </cell>
          <cell r="G59">
            <v>1</v>
          </cell>
          <cell r="H59">
            <v>970900</v>
          </cell>
        </row>
        <row r="60">
          <cell r="B60">
            <v>2569</v>
          </cell>
          <cell r="C60" t="str">
            <v>พระนครศรีอยุธยา</v>
          </cell>
          <cell r="D60" t="str">
            <v>สำนักงาน</v>
          </cell>
          <cell r="E60" t="str">
            <v>เครื่องปรับอากาศ แบบแยกส่วน แบบตั้งพื้นหรือแบบแขวน ขนาด 20,000 บีทียู สำนักงานพัฒนาสังคมและความมั่นคงของมนุษย์จังหวัดพระนครศรีอยุธยา ตำบลคลองสวนพลู อำเภอพระนครศรีอยุธยา จังหวัดพระนครศรีอยุธยา</v>
          </cell>
          <cell r="F60" t="str">
            <v>พมจ.พระนครศรีอยุธยา</v>
          </cell>
          <cell r="G60">
            <v>2</v>
          </cell>
          <cell r="H60">
            <v>61800</v>
          </cell>
        </row>
        <row r="61">
          <cell r="B61">
            <v>2569</v>
          </cell>
          <cell r="C61" t="str">
            <v>พระนครศรีอยุธยา</v>
          </cell>
          <cell r="D61" t="str">
            <v>สำนักงาน</v>
          </cell>
          <cell r="E61" t="str">
            <v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สำนักงานพัฒนาสังคมและความมั่นคงของมนุษย์จังหวัดพระนครศรีอยุธยา ตำบลคลองสวนพลู อำเภอพระนครศรีอยุธยา จังหวัดพระนครศรีอยุธยา</v>
          </cell>
          <cell r="F61" t="str">
            <v>พมจ.พระนครศรีอยุธยา</v>
          </cell>
          <cell r="G61">
            <v>4</v>
          </cell>
          <cell r="H61">
            <v>214400</v>
          </cell>
        </row>
        <row r="62">
          <cell r="B62">
            <v>2569</v>
          </cell>
          <cell r="C62" t="str">
            <v>พิจิตร</v>
          </cell>
          <cell r="D62" t="str">
            <v>สำนักงาน</v>
          </cell>
          <cell r="E62" t="str">
            <v>เครื่องปรับอากาศ แบบแยกส่วน แบบตั้งพื้นหรือแบบแขวน ขนาด 20,000 บีทียู สำนักงานพัฒนาสังคมและความมั่นคงของมนุษย์จังหวัดพิจิตร ตำบลท่าหลวง อำเภอเมืองพิจิตร จังหวัดพิจิตร</v>
          </cell>
          <cell r="F62" t="str">
            <v>พมจ.พิจิตร</v>
          </cell>
          <cell r="G62">
            <v>2</v>
          </cell>
          <cell r="H62">
            <v>61800</v>
          </cell>
        </row>
        <row r="63">
          <cell r="B63">
            <v>2569</v>
          </cell>
          <cell r="C63" t="str">
            <v>พิจิตร</v>
          </cell>
          <cell r="D63" t="str">
            <v>สำนักงาน</v>
          </cell>
          <cell r="E63" t="str">
            <v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สำนักงานพัฒนาสังคมและความมั่นคงของมนุษย์จังหวัดพิจิตร ตำบลท่าหลวง อำเภอเมืองพิจิตร จังหวัดพิจิตร</v>
          </cell>
          <cell r="F63" t="str">
            <v>พมจ.พิจิตร</v>
          </cell>
          <cell r="G63">
            <v>6</v>
          </cell>
          <cell r="H63">
            <v>321600</v>
          </cell>
        </row>
        <row r="64">
          <cell r="B64">
            <v>2569</v>
          </cell>
          <cell r="C64" t="str">
            <v>พิษณุโลก</v>
          </cell>
          <cell r="D64" t="str">
            <v>สำนักงาน</v>
          </cell>
          <cell r="E64" t="str">
            <v>เครื่องปรับอากาศ แบบแยกส่วน แบบตั้งพื้นหรือแบบแขวน (ระบบ Inverter)  ขนาด 40,000 บีทียู สำนักงานพัฒนาสังคมและความมั่นคงของมนุษย์จังหวัดพิษณุโลก ตำบลในเมือง อำเภอเมืองพิษณุโลก จังหวัดพิษณุโลก</v>
          </cell>
          <cell r="F64" t="str">
            <v>พมจ.พิษณุโลก</v>
          </cell>
          <cell r="G64">
            <v>5</v>
          </cell>
          <cell r="H64">
            <v>292500</v>
          </cell>
        </row>
        <row r="65">
          <cell r="B65">
            <v>2569</v>
          </cell>
          <cell r="C65" t="str">
            <v>เพชรบุรี</v>
          </cell>
          <cell r="D65" t="str">
            <v>สำนักงาน</v>
          </cell>
          <cell r="E65" t="str">
            <v>เครื่องปรับอากาศ แบบแยกส่วน แบบตั้งพื้นหรือแบบแขวน (ระบบ Inverter)  ขนาด 40,000 บีทียู สำนักงานพัฒนาสังคมและความมั่นคงของมนุษย์จังหวัดเพชรบุรี ตำบลคลองกระแชง อำเภอเมืองเพชรบุรี จังหวัดเพชรบุรี</v>
          </cell>
          <cell r="F65" t="str">
            <v>พมจ.เพชรบุรี</v>
          </cell>
          <cell r="G65">
            <v>1</v>
          </cell>
          <cell r="H65">
            <v>58500</v>
          </cell>
        </row>
        <row r="66">
          <cell r="B66">
            <v>2569</v>
          </cell>
          <cell r="C66" t="str">
            <v>เพชรบูรณ์</v>
          </cell>
          <cell r="D66" t="str">
            <v>ยานพาหนะและขนส่ง</v>
          </cell>
          <cell r="E66" t="str">
            <v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สำนักงานพัฒนาสังคมและความมั่นคงของมนุษย์จังหวัดเพชรบูรณ์ ตำบลสะเดียง อำเภอเมืองเพชรบูรณ์ จังหวัดเพชรบูรณ์</v>
          </cell>
          <cell r="F66" t="str">
            <v>พมจ.เพชรบูรณ์</v>
          </cell>
          <cell r="G66">
            <v>1</v>
          </cell>
          <cell r="H66">
            <v>1369000</v>
          </cell>
        </row>
        <row r="67">
          <cell r="B67">
            <v>2569</v>
          </cell>
          <cell r="C67" t="str">
            <v>สมุทรปราการ</v>
          </cell>
          <cell r="D67" t="str">
            <v>ยานพาหนะและขนส่ง</v>
          </cell>
          <cell r="E67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สำนักงานพัฒนาสังคมและความมั่นคงของมนุษย์จังหวัดสมุทรปราการ ตำบลปากน้ำ อำเภอเมืองสมุทรปราการ จังหวัดสมุทรปราการ</v>
          </cell>
          <cell r="F67" t="str">
            <v>พมจ.สมุทรปราการ</v>
          </cell>
          <cell r="G67">
            <v>1</v>
          </cell>
          <cell r="H67">
            <v>970900</v>
          </cell>
        </row>
        <row r="68">
          <cell r="B68">
            <v>2569</v>
          </cell>
          <cell r="C68" t="str">
            <v>สมุทรปราการ</v>
          </cell>
          <cell r="D68" t="str">
            <v>สำนักงาน</v>
          </cell>
          <cell r="E68" t="str">
            <v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สำนักงานพัฒนาสังคมและความมั่นคงของมนุษย์จังหวัดสมุทรปราการ ตำบลปากน้ำ อำเภอเมืองสมุทรปราการ จังหวัดสมุทรปราการ</v>
          </cell>
          <cell r="F68" t="str">
            <v>พมจ.สมุทรปราการ</v>
          </cell>
          <cell r="G68">
            <v>1</v>
          </cell>
          <cell r="H68">
            <v>40900</v>
          </cell>
        </row>
        <row r="69">
          <cell r="B69">
            <v>2569</v>
          </cell>
          <cell r="C69" t="str">
            <v>สระแก้ว</v>
          </cell>
          <cell r="D69" t="str">
            <v>ยานพาหนะและขนส่ง</v>
          </cell>
          <cell r="E69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สำนักงานพัฒนาสังคมและความมั่นคงของมนุษย์จังหวัดสระแก้ว ตำบลท่าเกษม อำเภอเมืองสระแก้ว จังหวัดสระแก้ว</v>
          </cell>
          <cell r="F69" t="str">
            <v>พมจ.สระแก้ว</v>
          </cell>
          <cell r="G69">
            <v>1</v>
          </cell>
          <cell r="H69">
            <v>1207900</v>
          </cell>
        </row>
        <row r="70">
          <cell r="B70">
            <v>2569</v>
          </cell>
          <cell r="C70" t="str">
            <v>อ่างทอง</v>
          </cell>
          <cell r="D70" t="str">
            <v>ยานพาหนะและขนส่ง</v>
          </cell>
          <cell r="E70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สำนักงานพัฒนาสังคมและความมั่นคงของมนุษย์จังหวัดอ่างทอง ตำบลบางแก้ว อำเภอเมืองอ่างทอง จังหวัดอ่างทอง</v>
          </cell>
          <cell r="F70" t="str">
            <v>พมจ.อ่างทอง</v>
          </cell>
          <cell r="G70">
            <v>1</v>
          </cell>
          <cell r="H70">
            <v>970900</v>
          </cell>
        </row>
        <row r="71">
          <cell r="B71">
            <v>2569</v>
          </cell>
          <cell r="C71" t="str">
            <v>กระบี่</v>
          </cell>
          <cell r="D71" t="str">
            <v>ยานพาหนะและขนส่ง</v>
          </cell>
          <cell r="E71" t="str">
            <v>รถโดยสารขนาด 12 ที่นั่ง (ดีเซล) ปริมาตรกระบอกสูบไม่ต่ำกว่า 2400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สำนักงานพัฒนาสังคมและความมั่นคงของมนุษย์จังหวัดกระบี่ ตำบลไสไทย อำเภอเมืองกระบี่ จังหวัดกระบี่</v>
          </cell>
          <cell r="F71" t="str">
            <v>พมจ.กระบี่</v>
          </cell>
          <cell r="G71">
            <v>1</v>
          </cell>
          <cell r="H71">
            <v>1369000</v>
          </cell>
        </row>
        <row r="72">
          <cell r="B72">
            <v>2569</v>
          </cell>
          <cell r="C72" t="str">
            <v>กระบี่</v>
          </cell>
          <cell r="D72" t="str">
            <v>สำนักงาน</v>
          </cell>
          <cell r="E72" t="str">
            <v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สำนักงานพัฒนาสังคมและความมั่นคงของมนุษย์จังหวัดกระบี่ ตำบลไสไทย อำเภอเมืองกระบี่ จังหวัดกระบี่</v>
          </cell>
          <cell r="F72" t="str">
            <v>พมจ.กระบี่</v>
          </cell>
          <cell r="G72">
            <v>5</v>
          </cell>
          <cell r="H72">
            <v>268000</v>
          </cell>
        </row>
        <row r="73">
          <cell r="B73">
            <v>2569</v>
          </cell>
          <cell r="C73" t="str">
            <v>นราธิวาส</v>
          </cell>
          <cell r="D73" t="str">
            <v>ยานพาหนะและขนส่ง</v>
          </cell>
          <cell r="E73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สำนักงานพัฒนาสังคมและความมั่นคงของมนุษย์จังหวัดนราธิวาส ตำบลลำภู อำเภอเมืองนราธิวาส จังหวัดนราธิวาส</v>
          </cell>
          <cell r="F73" t="str">
            <v>พมจ.นราธิวาส</v>
          </cell>
          <cell r="G73">
            <v>1</v>
          </cell>
          <cell r="H73">
            <v>1207900</v>
          </cell>
        </row>
        <row r="74">
          <cell r="B74">
            <v>2569</v>
          </cell>
          <cell r="C74" t="str">
            <v>ภูเก็ต</v>
          </cell>
          <cell r="D74" t="str">
            <v>ยานพาหนะและขนส่ง</v>
          </cell>
          <cell r="E74" t="str">
    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สำนักงานพัฒนาสังคมและความมั่นคงของมนุษย์จังหวัดภูเก็ต ตำบลตลาดใหญ่ อำเภอเมืองภูเก็ต จังหวัดภูเก็ต</v>
          </cell>
          <cell r="F74" t="str">
            <v>พมจ.ภูเก็ต</v>
          </cell>
          <cell r="G74">
            <v>1</v>
          </cell>
          <cell r="H74">
            <v>1207900</v>
          </cell>
        </row>
        <row r="75">
          <cell r="B75">
            <v>2569</v>
          </cell>
          <cell r="C75" t="str">
            <v>ระนอง</v>
          </cell>
          <cell r="D75" t="str">
            <v>สำนักงาน</v>
          </cell>
          <cell r="E75" t="str">
            <v>เครื่องปรับอากาศ แบบแยกส่วน แบบตั้งพื้นหรือแบบแขวน ขนาด 24,000 บีทียู สถานคุ้มครองสวัสดิภาพผู้เสียหายจากการค้ามนุษย์จังหวัดระนอง ตำบลบางริ้น อำเภอเมืองระนอง จังหวัดระนอง</v>
          </cell>
          <cell r="F75" t="str">
            <v>สคม.ระนอง</v>
          </cell>
          <cell r="G75">
            <v>3</v>
          </cell>
          <cell r="H75">
            <v>96600</v>
          </cell>
        </row>
        <row r="76">
          <cell r="B76">
            <v>2569</v>
          </cell>
          <cell r="C76" t="str">
            <v>ระนอง</v>
          </cell>
          <cell r="D76" t="str">
            <v>สำนักงาน</v>
          </cell>
          <cell r="E76" t="str">
            <v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สำนักงานพัฒนาสังคมและความมั่นคงของมนุษย์จังหวัดระนอง ตำบลบางริ้น อำเภอเมืองระนอง จังหวัดระนอง</v>
          </cell>
          <cell r="F76" t="str">
            <v>พมจ.ระนอง</v>
          </cell>
          <cell r="G76">
            <v>7</v>
          </cell>
          <cell r="H76">
            <v>286300</v>
          </cell>
        </row>
        <row r="77">
          <cell r="B77">
            <v>2569</v>
          </cell>
          <cell r="C77" t="str">
            <v>ระนอง</v>
          </cell>
          <cell r="D77" t="str">
            <v>สำนักงาน</v>
          </cell>
          <cell r="E77" t="str">
            <v>เครื่องปรับอากาศ แบบแยกส่วน แบบตั้งพื้นหรือแบบแขวน (ระบบ Inverter)  ขนาด 30,000 บีทียู สำนักงานพัฒนาสังคมและความมั่นคงของมนุษย์จังหวัดระนอง ตำบลบางริ้น อำเภอเมืองระนอง จังหวัดระนอง</v>
          </cell>
          <cell r="F77" t="str">
            <v>พมจ.ระนอง</v>
          </cell>
          <cell r="G77">
            <v>1</v>
          </cell>
          <cell r="H77">
            <v>47200</v>
          </cell>
        </row>
        <row r="78">
          <cell r="B78">
            <v>2569</v>
          </cell>
          <cell r="C78" t="str">
            <v>สงขลา</v>
          </cell>
          <cell r="D78" t="str">
            <v>สำนักงาน</v>
          </cell>
          <cell r="E78" t="str">
            <v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สำนักงานพัฒนาสังคมและความมั่นคงของมนุษย์จังหวัดสงขลา ตำบลบ่อยาง อำเภอเมืองสงขลา จังหวัดสงขลา</v>
          </cell>
          <cell r="F78" t="str">
            <v>พมจ.สงขลา</v>
          </cell>
          <cell r="G78">
            <v>6</v>
          </cell>
          <cell r="H78">
            <v>245400</v>
          </cell>
        </row>
        <row r="79">
          <cell r="B79">
            <v>2569</v>
          </cell>
          <cell r="C79" t="str">
            <v>สตูล</v>
          </cell>
          <cell r="D79" t="str">
            <v>ยานพาหนะและขนส่ง</v>
          </cell>
          <cell r="E79" t="str">
            <v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สำนักงานพัฒนาสังคมและความมั่นคงของมนุษย์จังหวัดสตูล ตำบลพิมาน อำเภอเมืองสตูล จังหวัดสตูล</v>
          </cell>
          <cell r="F79" t="str">
            <v>พมจ.สตูล</v>
          </cell>
          <cell r="G79">
            <v>1</v>
          </cell>
          <cell r="H79">
            <v>1369000</v>
          </cell>
        </row>
        <row r="80">
          <cell r="B80">
            <v>2569</v>
          </cell>
          <cell r="C80" t="str">
            <v>สุราษฎร์ธานี</v>
          </cell>
          <cell r="D80" t="str">
            <v>สำนักงาน</v>
          </cell>
          <cell r="E80" t="str">
            <v>เครื่องปรับอากาศ แบบแยกส่วน แบบตั้งพื้นหรือแบบแขวน (ระบบ Inverter)  ขนาด 36,000 บีทียู สำนักงานส่งเสริมและสนับสนุนวิชาการ 10 ตำบลขุนทะเล อำเภอเมืองสุราษฎร์ธานี จังหวัดสุราษฎร์ธานี</v>
          </cell>
          <cell r="F80" t="str">
            <v>สสว.10</v>
          </cell>
          <cell r="G80">
            <v>3</v>
          </cell>
          <cell r="H80">
            <v>160800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5922C621-9D92-48FC-ABCF-AB339417765E}" name="Table47" displayName="Table47" ref="A1:L630" totalsRowShown="0" headerRowDxfId="106" dataDxfId="104" headerRowBorderDxfId="105" tableBorderDxfId="103" totalsRowBorderDxfId="102">
  <autoFilter ref="A1:L630" xr:uid="{DEC51D97-4343-4631-AD0F-0DD7CF06EEDB}"/>
  <tableColumns count="12">
    <tableColumn id="1" xr3:uid="{4A069431-C86E-4689-B647-517D107135F7}" name="BudgetID" dataDxfId="101"/>
    <tableColumn id="2" xr3:uid="{A32E2940-831D-4454-8DBE-9DAAC124D815}" name="ปี" dataDxfId="100"/>
    <tableColumn id="3" xr3:uid="{655F3F76-54FA-4893-8915-4E7542A107F9}" name="ประเภทงบ" dataDxfId="99"/>
    <tableColumn id="4" xr3:uid="{0A5BFDE2-1C54-46D2-850B-30A6138D3DF2}" name="หมวด" dataDxfId="98"/>
    <tableColumn id="5" xr3:uid="{D4963488-520F-4591-83E7-F8FD2E30780E}" name="รายการ" dataDxfId="97"/>
    <tableColumn id="6" xr3:uid="{CB384EAE-7DDC-4CB1-A53F-B8EDBE6C1F3A}" name="หน่วยงาน" dataDxfId="96"/>
    <tableColumn id="7" xr3:uid="{DF19307E-F268-4875-9CE7-0BE298154CCB}" name="จังหวัด" dataDxfId="95"/>
    <tableColumn id="8" xr3:uid="{DF6815A8-5C85-4B9F-AE04-0B5163DEDD33}" name="ทดแทนจำนวน" dataDxfId="94"/>
    <tableColumn id="9" xr3:uid="{3CC309A7-1F77-49C2-AE72-9323DA037FA6}" name="เพิ่มประสิทธิภาพจำนวน" dataDxfId="93"/>
    <tableColumn id="12" xr3:uid="{09FCC0E3-13CF-46E3-8FE0-3AB7D6C6D07C}" name="รวมคำขอทั้งสิ้น" dataDxfId="92">
      <calculatedColumnFormula>Table47[[#This Row],[ทดแทนจำนวน]]+Table47[[#This Row],[เพิ่มประสิทธิภาพจำนวน]]</calculatedColumnFormula>
    </tableColumn>
    <tableColumn id="10" xr3:uid="{C6EED077-A3E9-4D4A-B92D-216441CD4606}" name="งบประมาณ" dataDxfId="91"/>
    <tableColumn id="11" xr3:uid="{C13C81A1-2B8F-456E-B06A-FBB46CD6BCFA}" name="ประเภทคำขอ" dataDxfId="9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CC87553-1C4E-4940-B144-633145ECD3A9}" name="Table5" displayName="Table5" ref="A1:U458" totalsRowCount="1" headerRowDxfId="89" dataDxfId="87" headerRowBorderDxfId="88" tableBorderDxfId="86" headerRowCellStyle="Normal 2" dataCellStyle="Normal 2">
  <autoFilter ref="A1:U457" xr:uid="{4CC87553-1C4E-4940-B144-633145ECD3A9}"/>
  <tableColumns count="21">
    <tableColumn id="1" xr3:uid="{6EA29BC5-BC4E-495F-818C-0779C57B7ED2}" name="Column1" dataDxfId="85" totalsRowDxfId="84" dataCellStyle="Normal 2" totalsRowCellStyle="Normal 2"/>
    <tableColumn id="21" xr3:uid="{EC70D6D4-E30E-4EC3-BC4F-EE4AC5311903}" name="Column110" dataDxfId="83" totalsRowDxfId="82" dataCellStyle="Normal 2" totalsRowCellStyle="Normal 2"/>
    <tableColumn id="2" xr3:uid="{641AB1DB-4E19-44FE-95ED-5EFEC4453254}" name="Column2" dataDxfId="81" totalsRowDxfId="80" dataCellStyle="Normal 2" totalsRowCellStyle="Normal 2"/>
    <tableColumn id="3" xr3:uid="{B002C515-9448-47CD-B84A-FAC8DE40A979}" name="Column3" dataDxfId="79" totalsRowDxfId="78" dataCellStyle="Normal 2" totalsRowCellStyle="Normal 2"/>
    <tableColumn id="4" xr3:uid="{210324BD-F82E-4722-8E66-8947B69144E1}" name="Column4" dataDxfId="77" totalsRowDxfId="76" dataCellStyle="Normal 2" totalsRowCellStyle="Normal 2"/>
    <tableColumn id="5" xr3:uid="{8F868A7C-1E05-4EE4-8076-6F6BEC20394C}" name="Column5" dataDxfId="75" totalsRowDxfId="74" dataCellStyle="Normal 2" totalsRowCellStyle="Normal 2"/>
    <tableColumn id="6" xr3:uid="{423A3735-60AE-466D-A694-88D13A7F28BF}" name="Column6" dataDxfId="73" totalsRowDxfId="72" dataCellStyle="Normal 2" totalsRowCellStyle="Normal 2"/>
    <tableColumn id="7" xr3:uid="{2C2EF77A-0CF8-4F7C-9F0C-B2541DFDE401}" name="Column7" dataDxfId="71" totalsRowDxfId="70" dataCellStyle="Normal 2" totalsRowCellStyle="Normal 2"/>
    <tableColumn id="8" xr3:uid="{7B5B51E7-B162-43C3-B042-CEB406221845}" name="Column8" dataDxfId="69" totalsRowDxfId="68" dataCellStyle="Normal 2" totalsRowCellStyle="Normal 2"/>
    <tableColumn id="9" xr3:uid="{C2DA27DF-8942-4D1B-B07C-80E38CD3D4BD}" name="Column9" dataDxfId="67" totalsRowDxfId="66" dataCellStyle="Normal 2" totalsRowCellStyle="Normal 2"/>
    <tableColumn id="10" xr3:uid="{31F969E1-388D-4A88-9318-50BD2EF62230}" name="Column10" dataDxfId="65" totalsRowDxfId="64" dataCellStyle="Normal 2" totalsRowCellStyle="Normal 2"/>
    <tableColumn id="11" xr3:uid="{8B7E4543-13B5-4AFD-ADD6-9293D587BD0A}" name="Column11" dataDxfId="63" totalsRowDxfId="62" dataCellStyle="Comma 2" totalsRowCellStyle="Comma 2"/>
    <tableColumn id="12" xr3:uid="{9B248BA1-B5FC-43B3-933A-40B93B61E503}" name="Column12" dataDxfId="61" totalsRowDxfId="60" dataCellStyle="Normal 2" totalsRowCellStyle="Normal 2"/>
    <tableColumn id="13" xr3:uid="{E16EAD67-7C4E-43A5-9A88-B9B71A0B1A7B}" name="Column13" dataDxfId="59" totalsRowDxfId="58" dataCellStyle="Normal 2" totalsRowCellStyle="Normal 2"/>
    <tableColumn id="14" xr3:uid="{F8E98057-77BE-4385-8DA9-84C4E4090692}" name="Column14" dataDxfId="57" totalsRowDxfId="56" dataCellStyle="Normal 2" totalsRowCellStyle="Normal 2"/>
    <tableColumn id="15" xr3:uid="{520C26D7-DEE2-44A6-B568-04BD0A8879BA}" name="Column15" dataDxfId="55" totalsRowDxfId="54" dataCellStyle="Normal 2" totalsRowCellStyle="Normal 2"/>
    <tableColumn id="16" xr3:uid="{EDEFD5C4-1AEB-4B08-B3A7-4085F29E4440}" name="Column16" dataDxfId="53" totalsRowDxfId="52" dataCellStyle="Normal 2"/>
    <tableColumn id="17" xr3:uid="{A9AC4DF4-1A55-4441-BABB-33C6F4242281}" name="Column17" dataDxfId="51" totalsRowDxfId="50" dataCellStyle="Normal 2" totalsRowCellStyle="Normal 2"/>
    <tableColumn id="18" xr3:uid="{D88CE758-295B-491F-B17E-D7CBBF61C35A}" name="Column18" dataDxfId="49" totalsRowDxfId="48" dataCellStyle="Normal 2" totalsRowCellStyle="Normal 2"/>
    <tableColumn id="19" xr3:uid="{3A8CE2BE-EC1E-44B3-AC87-0D297210C1A6}" name="Column19" dataDxfId="47" totalsRowDxfId="46" dataCellStyle="Comma 2" totalsRowCellStyle="Comma 2"/>
    <tableColumn id="20" xr3:uid="{C94B46C7-F8E5-48B5-80AE-C5470A878184}" name="Column20" dataDxfId="45" totalsRowDxfId="44" dataCellStyle="Normal 2" totalsRowCellStyle="Normal 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19F650F-8ECD-4455-AB8D-2B35EB30C3F9}" name="Table2" displayName="Table2" ref="A1:H71" totalsRowShown="0" headerRowDxfId="43" headerRowBorderDxfId="42" tableBorderDxfId="41" totalsRowBorderDxfId="40">
  <autoFilter ref="A1:H71" xr:uid="{86737599-51DF-4800-B0EA-AD9B320BFFD2}"/>
  <tableColumns count="8">
    <tableColumn id="1" xr3:uid="{2EA4AF07-CE55-4905-A745-11C04267BAF8}" name="ภาค" dataDxfId="39"/>
    <tableColumn id="8" xr3:uid="{4263EB1B-A8E6-4060-9296-175A7478C68C}" name="ปีงบประมาณ" dataDxfId="38"/>
    <tableColumn id="2" xr3:uid="{FC3C7D5B-BD51-40E6-A01B-7D19BB440DF3}" name="จังหวัด" dataDxfId="37"/>
    <tableColumn id="3" xr3:uid="{A1AAB3C5-E6C2-4486-AA3F-825D723B2A5B}" name="หมวดครุภัณฑ์" dataDxfId="36"/>
    <tableColumn id="4" xr3:uid="{DA847398-A6E7-468E-A5FD-C0626FDD4EDA}" name="รายการ" dataDxfId="35"/>
    <tableColumn id="5" xr3:uid="{2CED4D41-4917-43CC-9669-FCECC6A1C115}" name="หน่วยงานที่ขอ" dataDxfId="34"/>
    <tableColumn id="6" xr3:uid="{BA2A2932-8A0B-43C3-A0F5-9512A8B0C138}" name="จำนวน" dataDxfId="33"/>
    <tableColumn id="7" xr3:uid="{287B537A-FE42-41B2-9BDB-EF5F910917E7}" name="งบประมาณ" dataDxfId="32" dataCellStyle="Comm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047D34-C543-4384-8FB8-D440D9B5D061}" name="Table1" displayName="Table1" ref="A1:H28" totalsRowCount="1" headerRowDxfId="31" headerRowBorderDxfId="30" tableBorderDxfId="29">
  <autoFilter ref="A1:H27" xr:uid="{273A1EAE-8B54-4AC9-9D3F-B51997B463B3}"/>
  <tableColumns count="8">
    <tableColumn id="1" xr3:uid="{F0D673E2-4065-4B0A-8BFE-775791779036}" name="ภาค" dataDxfId="28" totalsRowDxfId="27"/>
    <tableColumn id="8" xr3:uid="{F53175CF-3058-4BB8-BCE2-D48054938536}" name="ปีงบประมาณ" dataDxfId="26" totalsRowDxfId="25"/>
    <tableColumn id="2" xr3:uid="{4A86148F-2840-4BE3-B129-1B02C44E0141}" name="จังหวัด" dataDxfId="24" totalsRowDxfId="23"/>
    <tableColumn id="3" xr3:uid="{BC1A2B63-C1EE-4673-AD5D-F238ECE34C87}" name="หมวดครุภัณฑ์" dataDxfId="22" totalsRowDxfId="21"/>
    <tableColumn id="4" xr3:uid="{8EE90362-9D59-4D1C-975B-65019058E585}" name="รายการ" dataDxfId="20" totalsRowDxfId="19"/>
    <tableColumn id="5" xr3:uid="{66385173-CCDB-4123-B433-5FCAD600D7A7}" name="หน่วยงานที่ขอ" dataDxfId="18" totalsRowDxfId="17"/>
    <tableColumn id="6" xr3:uid="{282EB1BB-4FF4-4CCF-ADE7-5C5F041BCD4D}" name="จำนวน" dataDxfId="16" totalsRowDxfId="15"/>
    <tableColumn id="7" xr3:uid="{10E0E480-D956-40B7-9277-3210299E731B}" name="งบประมาณ" totalsRowFunction="sum" dataDxfId="14" totalsRowDxfId="13" dataCellStyle="Comma" totalsRowCellStyle="Comma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B159C02-7B6B-4626-8AFB-9FDB904FCCA7}" name="Table3" displayName="Table3" ref="A1:H80" totalsRowShown="0" headerRowDxfId="12" dataDxfId="10" headerRowBorderDxfId="11" tableBorderDxfId="9" totalsRowBorderDxfId="8">
  <autoFilter ref="A1:H80" xr:uid="{121EF27A-DBD4-45C0-A0D3-BF5A7D48E110}"/>
  <tableColumns count="8">
    <tableColumn id="1" xr3:uid="{A4E29F28-FABA-4F53-ABAD-C3420D7ECBD4}" name="ภาค" dataDxfId="7"/>
    <tableColumn id="8" xr3:uid="{8FB9310B-790B-4BF9-BEFD-9AF1B34E6D42}" name="ประจำปี" dataDxfId="6"/>
    <tableColumn id="2" xr3:uid="{5C584364-4885-48D7-A775-07AB4BA29E79}" name="จังหวัด" dataDxfId="5"/>
    <tableColumn id="3" xr3:uid="{B9E546F1-10A9-4AF4-9B6E-9E0A5055046C}" name="หมวดครุภัณฑ์" dataDxfId="4"/>
    <tableColumn id="4" xr3:uid="{1EB8531D-2923-47B3-8549-C5C42D2F4DD4}" name="รายการ" dataDxfId="3"/>
    <tableColumn id="5" xr3:uid="{0BE3EC71-B967-4CD0-83D4-BB1502EB8223}" name="หน่วยงานที่ขอ" dataDxfId="2"/>
    <tableColumn id="6" xr3:uid="{C8DB96DC-41FC-49B2-8F3E-4E1D4B87A44B}" name="จำนวน" dataDxfId="1"/>
    <tableColumn id="7" xr3:uid="{56553318-0348-4724-9D6F-C0222CB3D5FA}" name="งบประมาณ" dataDxfId="0" dataCellStyle="Comm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42C53-1CA4-4F32-8AAD-D40D9B4CE51A}">
  <sheetPr>
    <tabColor theme="0"/>
  </sheetPr>
  <dimension ref="A1:S122"/>
  <sheetViews>
    <sheetView zoomScale="70" zoomScaleNormal="70" workbookViewId="0">
      <pane ySplit="4" topLeftCell="A5" activePane="bottomLeft" state="frozen"/>
      <selection activeCell="A8" sqref="A8:E8"/>
      <selection pane="bottomLeft" activeCell="C3" sqref="C3:E3"/>
    </sheetView>
  </sheetViews>
  <sheetFormatPr defaultRowHeight="15"/>
  <cols>
    <col min="1" max="1" width="20.5703125" customWidth="1"/>
    <col min="2" max="2" width="25.7109375" customWidth="1"/>
    <col min="3" max="3" width="19.7109375" customWidth="1"/>
    <col min="4" max="4" width="14.28515625" style="74" bestFit="1" customWidth="1"/>
    <col min="5" max="5" width="19.85546875" customWidth="1"/>
    <col min="6" max="6" width="19.140625" customWidth="1"/>
    <col min="7" max="7" width="14.28515625" bestFit="1" customWidth="1"/>
    <col min="8" max="8" width="18.5703125" customWidth="1"/>
    <col min="9" max="9" width="18.140625" customWidth="1"/>
    <col min="10" max="10" width="14.28515625" bestFit="1" customWidth="1"/>
    <col min="11" max="11" width="19.140625" customWidth="1"/>
    <col min="12" max="13" width="18.140625" customWidth="1"/>
    <col min="14" max="14" width="19.85546875" customWidth="1"/>
    <col min="15" max="16" width="18.140625" customWidth="1"/>
    <col min="17" max="17" width="19" hidden="1" customWidth="1"/>
    <col min="19" max="19" width="13.7109375" bestFit="1" customWidth="1"/>
  </cols>
  <sheetData>
    <row r="1" spans="1:17" ht="30" customHeight="1">
      <c r="A1" s="269" t="s">
        <v>1278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3" spans="1:17" ht="29.25" customHeight="1">
      <c r="A3" s="57" t="s">
        <v>2</v>
      </c>
      <c r="B3" s="57" t="s">
        <v>5</v>
      </c>
      <c r="C3" s="270" t="s">
        <v>452</v>
      </c>
      <c r="D3" s="271"/>
      <c r="E3" s="272"/>
      <c r="F3" s="270" t="s">
        <v>453</v>
      </c>
      <c r="G3" s="271"/>
      <c r="H3" s="272"/>
      <c r="I3" s="270" t="s">
        <v>454</v>
      </c>
      <c r="J3" s="271"/>
      <c r="K3" s="272"/>
      <c r="L3" s="270" t="s">
        <v>449</v>
      </c>
      <c r="M3" s="271"/>
      <c r="N3" s="271"/>
      <c r="O3" s="271"/>
      <c r="P3" s="272"/>
      <c r="Q3" s="70"/>
    </row>
    <row r="4" spans="1:17" ht="42">
      <c r="A4" s="180"/>
      <c r="B4" s="180"/>
      <c r="C4" s="57" t="s">
        <v>447</v>
      </c>
      <c r="D4" s="57" t="s">
        <v>6</v>
      </c>
      <c r="E4" s="57" t="s">
        <v>15</v>
      </c>
      <c r="F4" s="57" t="s">
        <v>447</v>
      </c>
      <c r="G4" s="57" t="s">
        <v>6</v>
      </c>
      <c r="H4" s="57" t="s">
        <v>15</v>
      </c>
      <c r="I4" s="57" t="s">
        <v>447</v>
      </c>
      <c r="J4" s="57" t="s">
        <v>6</v>
      </c>
      <c r="K4" s="57" t="s">
        <v>15</v>
      </c>
      <c r="L4" s="57" t="s">
        <v>447</v>
      </c>
      <c r="M4" s="176" t="s">
        <v>1279</v>
      </c>
      <c r="N4" s="176" t="s">
        <v>1280</v>
      </c>
      <c r="O4" s="176" t="s">
        <v>1283</v>
      </c>
      <c r="P4" s="57" t="s">
        <v>15</v>
      </c>
      <c r="Q4" s="70"/>
    </row>
    <row r="5" spans="1:17" ht="21">
      <c r="A5" s="177" t="s">
        <v>9</v>
      </c>
      <c r="B5" s="178"/>
      <c r="C5" s="178"/>
      <c r="D5" s="178"/>
      <c r="E5" s="178"/>
      <c r="F5" s="178"/>
      <c r="G5" s="178"/>
      <c r="H5" s="178"/>
      <c r="I5" s="178"/>
      <c r="J5" s="178"/>
      <c r="K5" s="178"/>
      <c r="L5" s="178"/>
      <c r="M5" s="178"/>
      <c r="N5" s="178"/>
      <c r="O5" s="178"/>
      <c r="P5" s="178"/>
      <c r="Q5" s="70"/>
    </row>
    <row r="6" spans="1:17" ht="21">
      <c r="A6" s="71" t="s">
        <v>14</v>
      </c>
      <c r="B6" s="67" t="s">
        <v>18</v>
      </c>
      <c r="C6" s="22">
        <f>SUMIFS('ครุภัณฑ์ 67'!G:G,'ครุภัณฑ์ 67'!C:C,"ยานพาหนะและขนส่ง",'ครุภัณฑ์ 67'!E:E,B6)</f>
        <v>0</v>
      </c>
      <c r="D6" s="75">
        <f>SUMIFS('ครุภัณฑ์ 67'!F:F,'ครุภัณฑ์ 67'!C:C,"ยานพาหนะและขนส่ง",'ครุภัณฑ์ 67'!E:E,B6)</f>
        <v>0</v>
      </c>
      <c r="E6" s="22">
        <f>C6:C17</f>
        <v>0</v>
      </c>
      <c r="F6" s="13">
        <f>SUMIFS('ครุภัณฑ์ 68'!G:G,'ครุภัณฑ์ 68'!C:C,"ยานพาหนะและขนส่ง",'ครุภัณฑ์ 68'!E:E,B6)</f>
        <v>0</v>
      </c>
      <c r="G6" s="13">
        <f>SUMIFS('ครุภัณฑ์ 68'!F:F,'ครุภัณฑ์ 68'!C:C,"ยานพาหนะและขนส่ง",'ครุภัณฑ์ 68'!E:E,B6)</f>
        <v>0</v>
      </c>
      <c r="H6" s="13">
        <f>F6</f>
        <v>0</v>
      </c>
      <c r="I6" s="68">
        <f>SUMIFS('ครุภัณฑ์ 69'!G:G,'ครุภัณฑ์ 69'!C:C,"ยานพาหนะและขนส่ง",'ครุภัณฑ์ 69'!E:E,B6)</f>
        <v>0</v>
      </c>
      <c r="J6" s="68">
        <f>SUMIFS('ครุภัณฑ์ 69'!F:F,'ครุภัณฑ์ 69'!C:C,"ยานพาหนะและขนส่ง",'ครุภัณฑ์ 69'!E:E,B6)</f>
        <v>0</v>
      </c>
      <c r="K6" s="68">
        <f>I6</f>
        <v>0</v>
      </c>
      <c r="L6" s="69">
        <f>SUMIFS('รวมครุภัณฑ์ 70'!L:L,'รวมครุภัณฑ์ 70'!C:C,"ครุภัณฑ์ยานพาหนะและขนส่ง",'รวมครุภัณฑ์ 70'!H:H,B6)</f>
        <v>1207900</v>
      </c>
      <c r="M6" s="69">
        <f>SUMIFS('รวมครุภัณฑ์ 70'!Q:Q,'รวมครุภัณฑ์ 70'!C:C,"ครุภัณฑ์ยานพาหนะและขนส่ง",'รวมครุภัณฑ์ 70'!H:H,B6)</f>
        <v>1</v>
      </c>
      <c r="N6" s="69">
        <f>SUMIFS('รวมครุภัณฑ์ 70'!R:R,'รวมครุภัณฑ์ 70'!C:C,"ครุภัณฑ์ยานพาหนะและขนส่ง",'รวมครุภัณฑ์ 70'!H:H,B6)</f>
        <v>0</v>
      </c>
      <c r="O6" s="69">
        <f>M6+N6</f>
        <v>1</v>
      </c>
      <c r="P6" s="69">
        <f>L6</f>
        <v>1207900</v>
      </c>
      <c r="Q6" s="72">
        <f>SUM(L6:L17)</f>
        <v>13982300</v>
      </c>
    </row>
    <row r="7" spans="1:17" ht="21">
      <c r="A7" s="71" t="s">
        <v>14</v>
      </c>
      <c r="B7" s="67" t="s">
        <v>21</v>
      </c>
      <c r="C7" s="22">
        <f>SUMIFS('ครุภัณฑ์ 67'!G:G,'ครุภัณฑ์ 67'!C:C,"ยานพาหนะและขนส่ง",'ครุภัณฑ์ 67'!E:E,B7)</f>
        <v>0</v>
      </c>
      <c r="D7" s="75">
        <f>SUMIFS('ครุภัณฑ์ 67'!F:F,'ครุภัณฑ์ 67'!C:C,"ยานพาหนะและขนส่ง",'ครุภัณฑ์ 67'!E:E,B7)</f>
        <v>0</v>
      </c>
      <c r="E7" s="22">
        <f>C7:C18</f>
        <v>0</v>
      </c>
      <c r="F7" s="13">
        <f>SUMIFS('ครุภัณฑ์ 68'!G:G,'ครุภัณฑ์ 68'!C:C,"ยานพาหนะและขนส่ง",'ครุภัณฑ์ 68'!E:E,B7)</f>
        <v>0</v>
      </c>
      <c r="G7" s="13">
        <f>SUMIFS('ครุภัณฑ์ 68'!F:F,'ครุภัณฑ์ 68'!C:C,"ยานพาหนะและขนส่ง",'ครุภัณฑ์ 68'!E:E,B7)</f>
        <v>0</v>
      </c>
      <c r="H7" s="13">
        <f t="shared" ref="H7:H17" si="0">F7</f>
        <v>0</v>
      </c>
      <c r="I7" s="68">
        <f>SUMIFS('ครุภัณฑ์ 69'!G:G,'ครุภัณฑ์ 69'!C:C,"ยานพาหนะและขนส่ง",'ครุภัณฑ์ 69'!E:E,B7)</f>
        <v>0</v>
      </c>
      <c r="J7" s="68">
        <f>SUMIFS('ครุภัณฑ์ 69'!F:F,'ครุภัณฑ์ 69'!C:C,"ยานพาหนะและขนส่ง",'ครุภัณฑ์ 69'!E:E,B7)</f>
        <v>0</v>
      </c>
      <c r="K7" s="68">
        <f t="shared" ref="K7:K17" si="1">I7</f>
        <v>0</v>
      </c>
      <c r="L7" s="69">
        <f>SUMIFS('รวมครุภัณฑ์ 70'!L:L,'รวมครุภัณฑ์ 70'!C:C,"ครุภัณฑ์ยานพาหนะและขนส่ง",'รวมครุภัณฑ์ 70'!H:H,B7)</f>
        <v>2707900</v>
      </c>
      <c r="M7" s="69">
        <f>SUMIFS('รวมครุภัณฑ์ 70'!Q:Q,'รวมครุภัณฑ์ 70'!C:C,"ครุภัณฑ์ยานพาหนะและขนส่ง",'รวมครุภัณฑ์ 70'!H:H,B7)</f>
        <v>2</v>
      </c>
      <c r="N7" s="69">
        <f>SUMIFS('รวมครุภัณฑ์ 70'!R:R,'รวมครุภัณฑ์ 70'!C:C,"ครุภัณฑ์ยานพาหนะและขนส่ง",'รวมครุภัณฑ์ 70'!H:H,B7)</f>
        <v>0</v>
      </c>
      <c r="O7" s="69">
        <f t="shared" ref="O7:O17" si="2">M7+N7</f>
        <v>2</v>
      </c>
      <c r="P7" s="69">
        <f t="shared" ref="P7:P17" si="3">L7</f>
        <v>2707900</v>
      </c>
      <c r="Q7" s="72" t="e">
        <f>SUM(#REF!)</f>
        <v>#REF!</v>
      </c>
    </row>
    <row r="8" spans="1:17" ht="21">
      <c r="A8" s="71" t="s">
        <v>22</v>
      </c>
      <c r="B8" s="67" t="s">
        <v>26</v>
      </c>
      <c r="C8" s="22">
        <f>SUMIFS('ครุภัณฑ์ 67'!G:G,'ครุภัณฑ์ 67'!C:C,"ยานพาหนะและขนส่ง",'ครุภัณฑ์ 67'!E:E,B8)</f>
        <v>2448900</v>
      </c>
      <c r="D8" s="75">
        <f>SUMIFS('ครุภัณฑ์ 67'!F:F,'ครุภัณฑ์ 67'!C:C,"ยานพาหนะและขนส่ง",'ครุภัณฑ์ 67'!E:E,B8)</f>
        <v>2</v>
      </c>
      <c r="E8" s="22">
        <f>C8:C19</f>
        <v>2448900</v>
      </c>
      <c r="F8" s="13">
        <f>SUMIFS('ครุภัณฑ์ 68'!G:G,'ครุภัณฑ์ 68'!C:C,"ยานพาหนะและขนส่ง",'ครุภัณฑ์ 68'!E:E,B8)</f>
        <v>0</v>
      </c>
      <c r="G8" s="13">
        <f>SUMIFS('ครุภัณฑ์ 68'!F:F,'ครุภัณฑ์ 68'!C:C,"ยานพาหนะและขนส่ง",'ครุภัณฑ์ 68'!E:E,B8)</f>
        <v>0</v>
      </c>
      <c r="H8" s="13">
        <f t="shared" si="0"/>
        <v>0</v>
      </c>
      <c r="I8" s="68">
        <f>SUMIFS('ครุภัณฑ์ 69'!G:G,'ครุภัณฑ์ 69'!C:C,"ยานพาหนะและขนส่ง",'ครุภัณฑ์ 69'!E:E,B8)</f>
        <v>0</v>
      </c>
      <c r="J8" s="68">
        <f>SUMIFS('ครุภัณฑ์ 69'!F:F,'ครุภัณฑ์ 69'!C:C,"ยานพาหนะและขนส่ง",'ครุภัณฑ์ 69'!E:E,B8)</f>
        <v>0</v>
      </c>
      <c r="K8" s="68">
        <f t="shared" si="1"/>
        <v>0</v>
      </c>
      <c r="L8" s="69">
        <f>SUMIFS('รวมครุภัณฑ์ 70'!L:L,'รวมครุภัณฑ์ 70'!C:C,"ครุภัณฑ์ยานพาหนะและขนส่ง",'รวมครุภัณฑ์ 70'!H:H,B8)</f>
        <v>0</v>
      </c>
      <c r="M8" s="69">
        <f>SUMIFS('รวมครุภัณฑ์ 70'!Q:Q,'รวมครุภัณฑ์ 70'!C:C,"ครุภัณฑ์ยานพาหนะและขนส่ง",'รวมครุภัณฑ์ 70'!H:H,B8)</f>
        <v>0</v>
      </c>
      <c r="N8" s="69">
        <f>SUMIFS('รวมครุภัณฑ์ 70'!R:R,'รวมครุภัณฑ์ 70'!C:C,"ครุภัณฑ์ยานพาหนะและขนส่ง",'รวมครุภัณฑ์ 70'!H:H,B8)</f>
        <v>0</v>
      </c>
      <c r="O8" s="69">
        <f t="shared" si="2"/>
        <v>0</v>
      </c>
      <c r="P8" s="69">
        <f t="shared" si="3"/>
        <v>0</v>
      </c>
      <c r="Q8" s="72">
        <f>SUM(P6:P17)</f>
        <v>13982300</v>
      </c>
    </row>
    <row r="9" spans="1:17" ht="21">
      <c r="A9" s="71" t="s">
        <v>22</v>
      </c>
      <c r="B9" s="67" t="s">
        <v>24</v>
      </c>
      <c r="C9" s="22">
        <f>SUMIFS('ครุภัณฑ์ 67'!G:G,'ครุภัณฑ์ 67'!C:C,"ยานพาหนะและขนส่ง",'ครุภัณฑ์ 67'!E:E,B9)</f>
        <v>0</v>
      </c>
      <c r="D9" s="75">
        <f>SUMIFS('ครุภัณฑ์ 67'!F:F,'ครุภัณฑ์ 67'!C:C,"ยานพาหนะและขนส่ง",'ครุภัณฑ์ 67'!E:E,B9)</f>
        <v>0</v>
      </c>
      <c r="E9" s="22" t="s">
        <v>468</v>
      </c>
      <c r="F9" s="13">
        <f>SUMIFS('ครุภัณฑ์ 68'!G:G,'ครุภัณฑ์ 68'!C:C,"ยานพาหนะและขนส่ง",'ครุภัณฑ์ 68'!E:E,B9)</f>
        <v>1358000</v>
      </c>
      <c r="G9" s="13">
        <f>SUMIFS('ครุภัณฑ์ 68'!F:F,'ครุภัณฑ์ 68'!C:C,"ยานพาหนะและขนส่ง",'ครุภัณฑ์ 68'!E:E,B9)</f>
        <v>1</v>
      </c>
      <c r="H9" s="13">
        <f>F9</f>
        <v>1358000</v>
      </c>
      <c r="I9" s="68">
        <f>SUMIFS('ครุภัณฑ์ 69'!G:G,'ครุภัณฑ์ 69'!C:C,"ยานพาหนะและขนส่ง",'ครุภัณฑ์ 69'!E:E,B9)</f>
        <v>0</v>
      </c>
      <c r="J9" s="68">
        <f>SUMIFS('ครุภัณฑ์ 69'!F:F,'ครุภัณฑ์ 69'!C:C,"ยานพาหนะและขนส่ง",'ครุภัณฑ์ 69'!E:E,B9)</f>
        <v>0</v>
      </c>
      <c r="K9" s="68">
        <f t="shared" si="1"/>
        <v>0</v>
      </c>
      <c r="L9" s="69">
        <f>SUMIFS('รวมครุภัณฑ์ 70'!L:L,'รวมครุภัณฑ์ 70'!C:C,"ครุภัณฑ์ยานพาหนะและขนส่ง",'รวมครุภัณฑ์ 70'!H:H,B9)</f>
        <v>1207900</v>
      </c>
      <c r="M9" s="69">
        <f>SUMIFS('รวมครุภัณฑ์ 70'!Q:Q,'รวมครุภัณฑ์ 70'!C:C,"ครุภัณฑ์ยานพาหนะและขนส่ง",'รวมครุภัณฑ์ 70'!H:H,B9)</f>
        <v>1</v>
      </c>
      <c r="N9" s="69">
        <f>SUMIFS('รวมครุภัณฑ์ 70'!R:R,'รวมครุภัณฑ์ 70'!C:C,"ครุภัณฑ์ยานพาหนะและขนส่ง",'รวมครุภัณฑ์ 70'!H:H,B9)</f>
        <v>0</v>
      </c>
      <c r="O9" s="69">
        <f t="shared" si="2"/>
        <v>1</v>
      </c>
      <c r="P9" s="69">
        <f t="shared" si="3"/>
        <v>1207900</v>
      </c>
      <c r="Q9" s="70"/>
    </row>
    <row r="10" spans="1:17" ht="21">
      <c r="A10" s="71" t="s">
        <v>27</v>
      </c>
      <c r="B10" s="67" t="s">
        <v>29</v>
      </c>
      <c r="C10" s="22">
        <f>SUMIFS('ครุภัณฑ์ 67'!G:G,'ครุภัณฑ์ 67'!C:C,"ยานพาหนะและขนส่ง",'ครุภัณฑ์ 67'!E:E,B10)</f>
        <v>1358000</v>
      </c>
      <c r="D10" s="75">
        <f>SUMIFS('ครุภัณฑ์ 67'!F:F,'ครุภัณฑ์ 67'!C:C,"ยานพาหนะและขนส่ง",'ครุภัณฑ์ 67'!E:E,B10)</f>
        <v>1</v>
      </c>
      <c r="E10" s="22">
        <f t="shared" ref="E10:E17" si="4">C10:C21</f>
        <v>1358000</v>
      </c>
      <c r="F10" s="13">
        <f>SUMIFS('ครุภัณฑ์ 68'!G:G,'ครุภัณฑ์ 68'!C:C,"ยานพาหนะและขนส่ง",'ครุภัณฑ์ 68'!E:E,B10)</f>
        <v>0</v>
      </c>
      <c r="G10" s="13">
        <f>SUMIFS('ครุภัณฑ์ 68'!F:F,'ครุภัณฑ์ 68'!C:C,"ยานพาหนะและขนส่ง",'ครุภัณฑ์ 68'!E:E,B10)</f>
        <v>0</v>
      </c>
      <c r="H10" s="13">
        <f t="shared" si="0"/>
        <v>0</v>
      </c>
      <c r="I10" s="68">
        <f>SUMIFS('ครุภัณฑ์ 69'!G:G,'ครุภัณฑ์ 69'!C:C,"ยานพาหนะและขนส่ง",'ครุภัณฑ์ 69'!E:E,B10)</f>
        <v>0</v>
      </c>
      <c r="J10" s="68">
        <f>SUMIFS('ครุภัณฑ์ 69'!F:F,'ครุภัณฑ์ 69'!C:C,"ยานพาหนะและขนส่ง",'ครุภัณฑ์ 69'!E:E,B10)</f>
        <v>0</v>
      </c>
      <c r="K10" s="68">
        <f t="shared" si="1"/>
        <v>0</v>
      </c>
      <c r="L10" s="69">
        <f>SUMIFS('รวมครุภัณฑ์ 70'!L:L,'รวมครุภัณฑ์ 70'!C:C,"ครุภัณฑ์ยานพาหนะและขนส่ง",'รวมครุภัณฑ์ 70'!H:H,B10)</f>
        <v>1207900</v>
      </c>
      <c r="M10" s="69">
        <f>SUMIFS('รวมครุภัณฑ์ 70'!Q:Q,'รวมครุภัณฑ์ 70'!C:C,"ครุภัณฑ์ยานพาหนะและขนส่ง",'รวมครุภัณฑ์ 70'!H:H,B10)</f>
        <v>1</v>
      </c>
      <c r="N10" s="69">
        <f>SUMIFS('รวมครุภัณฑ์ 70'!R:R,'รวมครุภัณฑ์ 70'!C:C,"ครุภัณฑ์ยานพาหนะและขนส่ง",'รวมครุภัณฑ์ 70'!H:H,B10)</f>
        <v>0</v>
      </c>
      <c r="O10" s="69">
        <f t="shared" si="2"/>
        <v>1</v>
      </c>
      <c r="P10" s="69">
        <f t="shared" si="3"/>
        <v>1207900</v>
      </c>
      <c r="Q10" s="70"/>
    </row>
    <row r="11" spans="1:17" ht="21">
      <c r="A11" s="71" t="s">
        <v>445</v>
      </c>
      <c r="B11" s="67" t="s">
        <v>450</v>
      </c>
      <c r="C11" s="22">
        <f>SUMIFS('ครุภัณฑ์ 67'!G:G,'ครุภัณฑ์ 67'!C:C,"ยานพาหนะและขนส่ง",'ครุภัณฑ์ 67'!E:E,B11)</f>
        <v>0</v>
      </c>
      <c r="D11" s="75">
        <f>SUMIFS('ครุภัณฑ์ 67'!F:F,'ครุภัณฑ์ 67'!C:C,"ยานพาหนะและขนส่ง",'ครุภัณฑ์ 67'!E:E,B11)</f>
        <v>0</v>
      </c>
      <c r="E11" s="22">
        <f t="shared" si="4"/>
        <v>0</v>
      </c>
      <c r="F11" s="13">
        <f>SUMIFS('ครุภัณฑ์ 68'!G:G,'ครุภัณฑ์ 68'!C:C,"ยานพาหนะและขนส่ง",'ครุภัณฑ์ 68'!E:E,B11)</f>
        <v>0</v>
      </c>
      <c r="G11" s="13">
        <f>SUMIFS('ครุภัณฑ์ 68'!F:F,'ครุภัณฑ์ 68'!C:C,"ยานพาหนะและขนส่ง",'ครุภัณฑ์ 68'!E:E,B11)</f>
        <v>0</v>
      </c>
      <c r="H11" s="13">
        <f t="shared" si="0"/>
        <v>0</v>
      </c>
      <c r="I11" s="68">
        <f>SUMIFS('ครุภัณฑ์ 69'!G:G,'ครุภัณฑ์ 69'!C:C,"ยานพาหนะและขนส่ง",'ครุภัณฑ์ 69'!E:E,B11)</f>
        <v>0</v>
      </c>
      <c r="J11" s="68">
        <f>SUMIFS('ครุภัณฑ์ 69'!F:F,'ครุภัณฑ์ 69'!C:C,"ยานพาหนะและขนส่ง",'ครุภัณฑ์ 69'!E:E,B11)</f>
        <v>0</v>
      </c>
      <c r="K11" s="68">
        <f t="shared" si="1"/>
        <v>0</v>
      </c>
      <c r="L11" s="69">
        <f>SUMIFS('รวมครุภัณฑ์ 70'!L:L,'รวมครุภัณฑ์ 70'!C:C,"ครุภัณฑ์ยานพาหนะและขนส่ง",'รวมครุภัณฑ์ 70'!H:H,B11)</f>
        <v>0</v>
      </c>
      <c r="M11" s="69">
        <f>SUMIFS('รวมครุภัณฑ์ 70'!Q:Q,'รวมครุภัณฑ์ 70'!C:C,"ครุภัณฑ์ยานพาหนะและขนส่ง",'รวมครุภัณฑ์ 70'!H:H,B11)</f>
        <v>0</v>
      </c>
      <c r="N11" s="69">
        <f>SUMIFS('รวมครุภัณฑ์ 70'!R:R,'รวมครุภัณฑ์ 70'!C:C,"ครุภัณฑ์ยานพาหนะและขนส่ง",'รวมครุภัณฑ์ 70'!H:H,B11)</f>
        <v>0</v>
      </c>
      <c r="O11" s="69">
        <f t="shared" si="2"/>
        <v>0</v>
      </c>
      <c r="P11" s="69">
        <f t="shared" si="3"/>
        <v>0</v>
      </c>
      <c r="Q11" s="70"/>
    </row>
    <row r="12" spans="1:17" ht="21">
      <c r="A12" s="71" t="s">
        <v>176</v>
      </c>
      <c r="B12" s="67" t="s">
        <v>179</v>
      </c>
      <c r="C12" s="22">
        <f>SUMIFS('ครุภัณฑ์ 67'!G:G,'ครุภัณฑ์ 67'!C:C,"ยานพาหนะและขนส่ง",'ครุภัณฑ์ 67'!E:E,B12)</f>
        <v>0</v>
      </c>
      <c r="D12" s="75">
        <f>SUMIFS('ครุภัณฑ์ 67'!F:F,'ครุภัณฑ์ 67'!C:C,"ยานพาหนะและขนส่ง",'ครุภัณฑ์ 67'!E:E,B12)</f>
        <v>0</v>
      </c>
      <c r="E12" s="22">
        <f t="shared" si="4"/>
        <v>0</v>
      </c>
      <c r="F12" s="13">
        <f>SUMIFS('ครุภัณฑ์ 68'!G:G,'ครุภัณฑ์ 68'!C:C,"ยานพาหนะและขนส่ง",'ครุภัณฑ์ 68'!E:E,B12)</f>
        <v>885900</v>
      </c>
      <c r="G12" s="13">
        <f>SUMIFS('ครุภัณฑ์ 68'!F:F,'ครุภัณฑ์ 68'!C:C,"ยานพาหนะและขนส่ง",'ครุภัณฑ์ 68'!E:E,B12)</f>
        <v>1</v>
      </c>
      <c r="H12" s="13">
        <f t="shared" si="0"/>
        <v>885900</v>
      </c>
      <c r="I12" s="68">
        <f>SUMIFS('ครุภัณฑ์ 69'!G:G,'ครุภัณฑ์ 69'!C:C,"ยานพาหนะและขนส่ง",'ครุภัณฑ์ 69'!E:E,B12)</f>
        <v>0</v>
      </c>
      <c r="J12" s="68">
        <f>SUMIFS('ครุภัณฑ์ 69'!F:F,'ครุภัณฑ์ 69'!C:C,"ยานพาหนะและขนส่ง",'ครุภัณฑ์ 69'!E:E,B12)</f>
        <v>0</v>
      </c>
      <c r="K12" s="68">
        <f t="shared" si="1"/>
        <v>0</v>
      </c>
      <c r="L12" s="69">
        <f>SUMIFS('รวมครุภัณฑ์ 70'!L:L,'รวมครุภัณฑ์ 70'!C:C,"ครุภัณฑ์ยานพาหนะและขนส่ง",'รวมครุภัณฑ์ 70'!H:H,B12)</f>
        <v>0</v>
      </c>
      <c r="M12" s="69">
        <f>SUMIFS('รวมครุภัณฑ์ 70'!Q:Q,'รวมครุภัณฑ์ 70'!C:C,"ครุภัณฑ์ยานพาหนะและขนส่ง",'รวมครุภัณฑ์ 70'!H:H,B12)</f>
        <v>0</v>
      </c>
      <c r="N12" s="69">
        <f>SUMIFS('รวมครุภัณฑ์ 70'!R:R,'รวมครุภัณฑ์ 70'!C:C,"ครุภัณฑ์ยานพาหนะและขนส่ง",'รวมครุภัณฑ์ 70'!H:H,B12)</f>
        <v>0</v>
      </c>
      <c r="O12" s="69">
        <f t="shared" si="2"/>
        <v>0</v>
      </c>
      <c r="P12" s="69">
        <f t="shared" si="3"/>
        <v>0</v>
      </c>
      <c r="Q12" s="70"/>
    </row>
    <row r="13" spans="1:17" ht="21">
      <c r="A13" s="71" t="s">
        <v>30</v>
      </c>
      <c r="B13" s="67" t="s">
        <v>33</v>
      </c>
      <c r="C13" s="22">
        <f>SUMIFS('ครุภัณฑ์ 67'!G:G,'ครุภัณฑ์ 67'!C:C,"ยานพาหนะและขนส่ง",'ครุภัณฑ์ 67'!E:E,B13)</f>
        <v>0</v>
      </c>
      <c r="D13" s="75">
        <f>SUMIFS('ครุภัณฑ์ 67'!F:F,'ครุภัณฑ์ 67'!C:C,"ยานพาหนะและขนส่ง",'ครุภัณฑ์ 67'!E:E,B13)</f>
        <v>0</v>
      </c>
      <c r="E13" s="22">
        <f t="shared" si="4"/>
        <v>0</v>
      </c>
      <c r="F13" s="13">
        <f>SUMIFS('ครุภัณฑ์ 68'!G:G,'ครุภัณฑ์ 68'!C:C,"ยานพาหนะและขนส่ง",'ครุภัณฑ์ 68'!E:E,B13)</f>
        <v>1090900</v>
      </c>
      <c r="G13" s="13">
        <f>SUMIFS('ครุภัณฑ์ 68'!F:F,'ครุภัณฑ์ 68'!C:C,"ยานพาหนะและขนส่ง",'ครุภัณฑ์ 68'!E:E,B13)</f>
        <v>1</v>
      </c>
      <c r="H13" s="13">
        <f t="shared" si="0"/>
        <v>1090900</v>
      </c>
      <c r="I13" s="68">
        <f>SUMIFS('ครุภัณฑ์ 69'!G:G,'ครุภัณฑ์ 69'!C:C,"ยานพาหนะและขนส่ง",'ครุภัณฑ์ 69'!E:E,B13)</f>
        <v>1369000</v>
      </c>
      <c r="J13" s="68">
        <f>SUMIFS('ครุภัณฑ์ 69'!F:F,'ครุภัณฑ์ 69'!C:C,"ยานพาหนะและขนส่ง",'ครุภัณฑ์ 69'!E:E,B13)</f>
        <v>1</v>
      </c>
      <c r="K13" s="68">
        <f t="shared" si="1"/>
        <v>1369000</v>
      </c>
      <c r="L13" s="69">
        <f>SUMIFS('รวมครุภัณฑ์ 70'!L:L,'รวมครุภัณฑ์ 70'!C:C,"ครุภัณฑ์ยานพาหนะและขนส่ง",'รวมครุภัณฑ์ 70'!H:H,B13)</f>
        <v>1268000</v>
      </c>
      <c r="M13" s="69">
        <f>SUMIFS('รวมครุภัณฑ์ 70'!Q:Q,'รวมครุภัณฑ์ 70'!C:C,"ครุภัณฑ์ยานพาหนะและขนส่ง",'รวมครุภัณฑ์ 70'!H:H,B13)</f>
        <v>2</v>
      </c>
      <c r="N13" s="69">
        <f>SUMIFS('รวมครุภัณฑ์ 70'!R:R,'รวมครุภัณฑ์ 70'!C:C,"ครุภัณฑ์ยานพาหนะและขนส่ง",'รวมครุภัณฑ์ 70'!H:H,B13)</f>
        <v>0</v>
      </c>
      <c r="O13" s="69">
        <f t="shared" si="2"/>
        <v>2</v>
      </c>
      <c r="P13" s="69">
        <f t="shared" si="3"/>
        <v>1268000</v>
      </c>
      <c r="Q13" s="70"/>
    </row>
    <row r="14" spans="1:17" ht="21">
      <c r="A14" s="71" t="s">
        <v>230</v>
      </c>
      <c r="B14" s="67" t="s">
        <v>232</v>
      </c>
      <c r="C14" s="22">
        <f>SUMIFS('ครุภัณฑ์ 67'!G:G,'ครุภัณฑ์ 67'!C:C,"ยานพาหนะและขนส่ง",'ครุภัณฑ์ 67'!E:E,B14)</f>
        <v>0</v>
      </c>
      <c r="D14" s="75">
        <f>SUMIFS('ครุภัณฑ์ 67'!F:F,'ครุภัณฑ์ 67'!C:C,"ยานพาหนะและขนส่ง",'ครุภัณฑ์ 67'!E:E,B14)</f>
        <v>0</v>
      </c>
      <c r="E14" s="22">
        <f t="shared" si="4"/>
        <v>0</v>
      </c>
      <c r="F14" s="13">
        <f>SUMIFS('ครุภัณฑ์ 68'!G:G,'ครุภัณฑ์ 68'!C:C,"ยานพาหนะและขนส่ง",'ครุภัณฑ์ 68'!E:E,B14)</f>
        <v>1358000</v>
      </c>
      <c r="G14" s="13">
        <f>SUMIFS('ครุภัณฑ์ 68'!F:F,'ครุภัณฑ์ 68'!C:C,"ยานพาหนะและขนส่ง",'ครุภัณฑ์ 68'!E:E,B14)</f>
        <v>1</v>
      </c>
      <c r="H14" s="13">
        <f t="shared" si="0"/>
        <v>1358000</v>
      </c>
      <c r="I14" s="68">
        <f>SUMIFS('ครุภัณฑ์ 69'!G:G,'ครุภัณฑ์ 69'!C:C,"ยานพาหนะและขนส่ง",'ครุภัณฑ์ 69'!E:E,B14)</f>
        <v>0</v>
      </c>
      <c r="J14" s="68">
        <f>SUMIFS('ครุภัณฑ์ 69'!F:F,'ครุภัณฑ์ 69'!C:C,"ยานพาหนะและขนส่ง",'ครุภัณฑ์ 69'!E:E,B14)</f>
        <v>0</v>
      </c>
      <c r="K14" s="68">
        <f t="shared" si="1"/>
        <v>0</v>
      </c>
      <c r="L14" s="69">
        <f>SUMIFS('รวมครุภัณฑ์ 70'!L:L,'รวมครุภัณฑ์ 70'!C:C,"ครุภัณฑ์ยานพาหนะและขนส่ง",'รวมครุภัณฑ์ 70'!H:H,B14)</f>
        <v>970900</v>
      </c>
      <c r="M14" s="69">
        <f>SUMIFS('รวมครุภัณฑ์ 70'!Q:Q,'รวมครุภัณฑ์ 70'!C:C,"ครุภัณฑ์ยานพาหนะและขนส่ง",'รวมครุภัณฑ์ 70'!H:H,B14)</f>
        <v>1</v>
      </c>
      <c r="N14" s="69">
        <f>SUMIFS('รวมครุภัณฑ์ 70'!R:R,'รวมครุภัณฑ์ 70'!C:C,"ครุภัณฑ์ยานพาหนะและขนส่ง",'รวมครุภัณฑ์ 70'!H:H,B14)</f>
        <v>0</v>
      </c>
      <c r="O14" s="69">
        <f t="shared" si="2"/>
        <v>1</v>
      </c>
      <c r="P14" s="69">
        <f t="shared" si="3"/>
        <v>970900</v>
      </c>
      <c r="Q14" s="70"/>
    </row>
    <row r="15" spans="1:17" ht="21">
      <c r="A15" s="71" t="s">
        <v>444</v>
      </c>
      <c r="B15" s="67" t="s">
        <v>451</v>
      </c>
      <c r="C15" s="22">
        <f>SUMIFS('ครุภัณฑ์ 67'!G:G,'ครุภัณฑ์ 67'!C:C,"ยานพาหนะและขนส่ง",'ครุภัณฑ์ 67'!E:E,B15)</f>
        <v>0</v>
      </c>
      <c r="D15" s="75">
        <f>SUMIFS('ครุภัณฑ์ 67'!F:F,'ครุภัณฑ์ 67'!C:C,"ยานพาหนะและขนส่ง",'ครุภัณฑ์ 67'!E:E,B15)</f>
        <v>0</v>
      </c>
      <c r="E15" s="22">
        <f t="shared" si="4"/>
        <v>0</v>
      </c>
      <c r="F15" s="13">
        <f>SUMIFS('ครุภัณฑ์ 68'!G:G,'ครุภัณฑ์ 68'!C:C,"ยานพาหนะและขนส่ง",'ครุภัณฑ์ 68'!E:E,B15)</f>
        <v>0</v>
      </c>
      <c r="G15" s="13">
        <f>SUMIFS('ครุภัณฑ์ 68'!F:F,'ครุภัณฑ์ 68'!C:C,"ยานพาหนะและขนส่ง",'ครุภัณฑ์ 68'!E:E,B15)</f>
        <v>0</v>
      </c>
      <c r="H15" s="13">
        <f t="shared" si="0"/>
        <v>0</v>
      </c>
      <c r="I15" s="68">
        <f>SUMIFS('ครุภัณฑ์ 69'!G:G,'ครุภัณฑ์ 69'!C:C,"ยานพาหนะและขนส่ง",'ครุภัณฑ์ 69'!E:E,B15)</f>
        <v>0</v>
      </c>
      <c r="J15" s="68">
        <f>SUMIFS('ครุภัณฑ์ 69'!F:F,'ครุภัณฑ์ 69'!C:C,"ยานพาหนะและขนส่ง",'ครุภัณฑ์ 69'!E:E,B15)</f>
        <v>0</v>
      </c>
      <c r="K15" s="68">
        <f t="shared" si="1"/>
        <v>0</v>
      </c>
      <c r="L15" s="69">
        <f>SUMIFS('รวมครุภัณฑ์ 70'!L:L,'รวมครุภัณฑ์ 70'!C:C,"ครุภัณฑ์ยานพาหนะและขนส่ง",'รวมครุภัณฑ์ 70'!H:H,B15)</f>
        <v>2705900</v>
      </c>
      <c r="M15" s="69">
        <f>SUMIFS('รวมครุภัณฑ์ 70'!Q:Q,'รวมครุภัณฑ์ 70'!C:C,"ครุภัณฑ์ยานพาหนะและขนส่ง",'รวมครุภัณฑ์ 70'!H:H,B15)</f>
        <v>2</v>
      </c>
      <c r="N15" s="69">
        <f>SUMIFS('รวมครุภัณฑ์ 70'!R:R,'รวมครุภัณฑ์ 70'!C:C,"ครุภัณฑ์ยานพาหนะและขนส่ง",'รวมครุภัณฑ์ 70'!H:H,B15)</f>
        <v>0</v>
      </c>
      <c r="O15" s="69">
        <f t="shared" si="2"/>
        <v>2</v>
      </c>
      <c r="P15" s="69">
        <f t="shared" si="3"/>
        <v>2705900</v>
      </c>
      <c r="Q15" s="70"/>
    </row>
    <row r="16" spans="1:17" ht="21">
      <c r="A16" s="71" t="s">
        <v>34</v>
      </c>
      <c r="B16" s="67" t="s">
        <v>36</v>
      </c>
      <c r="C16" s="22">
        <f>SUMIFS('ครุภัณฑ์ 67'!G:G,'ครุภัณฑ์ 67'!C:C,"ยานพาหนะและขนส่ง",'ครุภัณฑ์ 67'!E:E,B16)</f>
        <v>885900</v>
      </c>
      <c r="D16" s="75">
        <f>SUMIFS('ครุภัณฑ์ 67'!F:F,'ครุภัณฑ์ 67'!C:C,"ยานพาหนะและขนส่ง",'ครุภัณฑ์ 67'!E:E,B16)</f>
        <v>1</v>
      </c>
      <c r="E16" s="22">
        <f t="shared" si="4"/>
        <v>885900</v>
      </c>
      <c r="F16" s="13">
        <f>SUMIFS('ครุภัณฑ์ 68'!G:G,'ครุภัณฑ์ 68'!C:C,"ยานพาหนะและขนส่ง",'ครุภัณฑ์ 68'!E:E,B16)</f>
        <v>0</v>
      </c>
      <c r="G16" s="13">
        <f>SUMIFS('ครุภัณฑ์ 68'!F:F,'ครุภัณฑ์ 68'!C:C,"ยานพาหนะและขนส่ง",'ครุภัณฑ์ 68'!E:E,B16)</f>
        <v>0</v>
      </c>
      <c r="H16" s="13">
        <f t="shared" si="0"/>
        <v>0</v>
      </c>
      <c r="I16" s="68">
        <f>SUMIFS('ครุภัณฑ์ 69'!G:G,'ครุภัณฑ์ 69'!C:C,"ยานพาหนะและขนส่ง",'ครุภัณฑ์ 69'!E:E,B16)</f>
        <v>1207900</v>
      </c>
      <c r="J16" s="68">
        <f>SUMIFS('ครุภัณฑ์ 69'!F:F,'ครุภัณฑ์ 69'!C:C,"ยานพาหนะและขนส่ง",'ครุภัณฑ์ 69'!E:E,B16)</f>
        <v>1</v>
      </c>
      <c r="K16" s="68">
        <f t="shared" si="1"/>
        <v>1207900</v>
      </c>
      <c r="L16" s="69">
        <f>SUMIFS('รวมครุภัณฑ์ 70'!L:L,'รวมครุภัณฑ์ 70'!C:C,"ครุภัณฑ์ยานพาหนะและขนส่ง",'รวมครุภัณฑ์ 70'!H:H,B16)</f>
        <v>0</v>
      </c>
      <c r="M16" s="69">
        <f>SUMIFS('รวมครุภัณฑ์ 70'!Q:Q,'รวมครุภัณฑ์ 70'!C:C,"ครุภัณฑ์ยานพาหนะและขนส่ง",'รวมครุภัณฑ์ 70'!H:H,B16)</f>
        <v>0</v>
      </c>
      <c r="N16" s="69">
        <f>SUMIFS('รวมครุภัณฑ์ 70'!R:R,'รวมครุภัณฑ์ 70'!C:C,"ครุภัณฑ์ยานพาหนะและขนส่ง",'รวมครุภัณฑ์ 70'!H:H,B16)</f>
        <v>0</v>
      </c>
      <c r="O16" s="69">
        <f t="shared" si="2"/>
        <v>0</v>
      </c>
      <c r="P16" s="69">
        <f t="shared" si="3"/>
        <v>0</v>
      </c>
      <c r="Q16" s="70"/>
    </row>
    <row r="17" spans="1:17" ht="21">
      <c r="A17" s="71" t="s">
        <v>34</v>
      </c>
      <c r="B17" s="67" t="s">
        <v>39</v>
      </c>
      <c r="C17" s="22">
        <f>SUMIFS('ครุภัณฑ์ 67'!G:G,'ครุภัณฑ์ 67'!C:C,"ยานพาหนะและขนส่ง",'ครุภัณฑ์ 67'!E:E,B17)</f>
        <v>0</v>
      </c>
      <c r="D17" s="75">
        <f>SUMIFS('ครุภัณฑ์ 67'!F:F,'ครุภัณฑ์ 67'!C:C,"ยานพาหนะและขนส่ง",'ครุภัณฑ์ 67'!E:E,B17)</f>
        <v>0</v>
      </c>
      <c r="E17" s="22">
        <f t="shared" si="4"/>
        <v>0</v>
      </c>
      <c r="F17" s="13">
        <f>SUMIFS('ครุภัณฑ์ 68'!G:G,'ครุภัณฑ์ 68'!C:C,"ยานพาหนะและขนส่ง",'ครุภัณฑ์ 68'!E:E,B17)</f>
        <v>1090900</v>
      </c>
      <c r="G17" s="13">
        <f>SUMIFS('ครุภัณฑ์ 68'!F:F,'ครุภัณฑ์ 68'!C:C,"ยานพาหนะและขนส่ง",'ครุภัณฑ์ 68'!E:E,B17)</f>
        <v>1</v>
      </c>
      <c r="H17" s="13">
        <f t="shared" si="0"/>
        <v>1090900</v>
      </c>
      <c r="I17" s="68">
        <f>SUMIFS('ครุภัณฑ์ 69'!G:G,'ครุภัณฑ์ 69'!C:C,"ยานพาหนะและขนส่ง",'ครุภัณฑ์ 69'!E:E,B17)</f>
        <v>0</v>
      </c>
      <c r="J17" s="68">
        <f>SUMIFS('ครุภัณฑ์ 69'!F:F,'ครุภัณฑ์ 69'!C:C,"ยานพาหนะและขนส่ง",'ครุภัณฑ์ 69'!E:E,B17)</f>
        <v>0</v>
      </c>
      <c r="K17" s="68">
        <f t="shared" si="1"/>
        <v>0</v>
      </c>
      <c r="L17" s="69">
        <f>SUMIFS('รวมครุภัณฑ์ 70'!L:L,'รวมครุภัณฑ์ 70'!C:C,"ครุภัณฑ์ยานพาหนะและขนส่ง",'รวมครุภัณฑ์ 70'!H:H,B17)</f>
        <v>2705900</v>
      </c>
      <c r="M17" s="69">
        <f>SUMIFS('รวมครุภัณฑ์ 70'!Q:Q,'รวมครุภัณฑ์ 70'!C:C,"ครุภัณฑ์ยานพาหนะและขนส่ง",'รวมครุภัณฑ์ 70'!H:H,B17)</f>
        <v>2</v>
      </c>
      <c r="N17" s="69">
        <f>SUMIFS('รวมครุภัณฑ์ 70'!R:R,'รวมครุภัณฑ์ 70'!C:C,"ครุภัณฑ์ยานพาหนะและขนส่ง",'รวมครุภัณฑ์ 70'!H:H,B17)</f>
        <v>0</v>
      </c>
      <c r="O17" s="69">
        <f t="shared" si="2"/>
        <v>2</v>
      </c>
      <c r="P17" s="69">
        <f t="shared" si="3"/>
        <v>2705900</v>
      </c>
      <c r="Q17" s="70"/>
    </row>
    <row r="18" spans="1:17" ht="21">
      <c r="A18" s="179" t="s">
        <v>10</v>
      </c>
      <c r="B18" s="179"/>
      <c r="C18" s="179"/>
      <c r="D18" s="179"/>
      <c r="E18" s="179"/>
      <c r="F18" s="179"/>
      <c r="G18" s="179"/>
      <c r="H18" s="179"/>
      <c r="I18" s="179"/>
      <c r="J18" s="179"/>
      <c r="K18" s="179"/>
      <c r="L18" s="179"/>
      <c r="M18" s="179"/>
      <c r="N18" s="179"/>
      <c r="O18" s="179"/>
      <c r="P18" s="179"/>
      <c r="Q18" s="70"/>
    </row>
    <row r="19" spans="1:17" ht="21">
      <c r="A19" s="71" t="s">
        <v>41</v>
      </c>
      <c r="B19" s="67" t="s">
        <v>45</v>
      </c>
      <c r="C19" s="22">
        <f>SUMIFS('ครุภัณฑ์ 67'!G:G,'ครุภัณฑ์ 67'!C:C,"ยานพาหนะและขนส่ง",'ครุภัณฑ์ 67'!E:E,B19)</f>
        <v>1976800</v>
      </c>
      <c r="D19" s="75">
        <f>SUMIFS('ครุภัณฑ์ 67'!F:F,'ครุภัณฑ์ 67'!C:C,"ยานพาหนะและขนส่ง",'ครุภัณฑ์ 67'!E:E,B19)</f>
        <v>2</v>
      </c>
      <c r="E19" s="22">
        <f>C19:C30</f>
        <v>1976800</v>
      </c>
      <c r="F19" s="13">
        <f>SUMIFS('ครุภัณฑ์ 68'!G:G,'ครุภัณฑ์ 68'!C:C,"ยานพาหนะและขนส่ง",'ครุภัณฑ์ 68'!E:E,B19)</f>
        <v>0</v>
      </c>
      <c r="G19" s="13">
        <f>SUMIFS('ครุภัณฑ์ 68'!F:F,'ครุภัณฑ์ 68'!C:C,"ยานพาหนะและขนส่ง",'ครุภัณฑ์ 68'!E:E,B19)</f>
        <v>0</v>
      </c>
      <c r="H19" s="13">
        <f>F19</f>
        <v>0</v>
      </c>
      <c r="I19" s="68">
        <f>SUMIFS('ครุภัณฑ์ 69'!G:G,'ครุภัณฑ์ 69'!C:C,"ยานพาหนะและขนส่ง",'ครุภัณฑ์ 69'!E:E,B19)</f>
        <v>970900</v>
      </c>
      <c r="J19" s="68">
        <f>SUMIFS('ครุภัณฑ์ 69'!F:F,'ครุภัณฑ์ 69'!C:C,"ยานพาหนะและขนส่ง",'ครุภัณฑ์ 69'!E:E,B19)</f>
        <v>1</v>
      </c>
      <c r="K19" s="68">
        <f>I19</f>
        <v>970900</v>
      </c>
      <c r="L19" s="69">
        <f>SUMIFS('รวมครุภัณฑ์ 70'!L:L,'รวมครุภัณฑ์ 70'!C:C,"ครุภัณฑ์ยานพาหนะและขนส่ง",'รวมครุภัณฑ์ 70'!H:H,B19)</f>
        <v>1498000</v>
      </c>
      <c r="M19" s="69">
        <f>SUMIFS('รวมครุภัณฑ์ 70'!Q:Q,'รวมครุภัณฑ์ 70'!C:C,"ครุภัณฑ์ยานพาหนะและขนส่ง",'รวมครุภัณฑ์ 70'!H:H,B19)</f>
        <v>1</v>
      </c>
      <c r="N19" s="69">
        <f>SUMIFS('รวมครุภัณฑ์ 70'!R:R,'รวมครุภัณฑ์ 70'!C:C,"ครุภัณฑ์ยานพาหนะและขนส่ง",'รวมครุภัณฑ์ 70'!H:H,B19)</f>
        <v>0</v>
      </c>
      <c r="O19" s="69">
        <f>M19+N19</f>
        <v>1</v>
      </c>
      <c r="P19" s="69">
        <f>L19</f>
        <v>1498000</v>
      </c>
      <c r="Q19" s="72">
        <f>SUM(L19:L42)</f>
        <v>16485500</v>
      </c>
    </row>
    <row r="20" spans="1:17" ht="21">
      <c r="A20" s="71" t="s">
        <v>41</v>
      </c>
      <c r="B20" s="67" t="s">
        <v>43</v>
      </c>
      <c r="C20" s="22">
        <f>SUMIFS('ครุภัณฑ์ 67'!G:G,'ครุภัณฑ์ 67'!C:C,"ยานพาหนะและขนส่ง",'ครุภัณฑ์ 67'!E:E,B20)</f>
        <v>0</v>
      </c>
      <c r="D20" s="75">
        <f>SUMIFS('ครุภัณฑ์ 67'!F:F,'ครุภัณฑ์ 67'!C:C,"ยานพาหนะและขนส่ง",'ครุภัณฑ์ 67'!E:E,B20)</f>
        <v>0</v>
      </c>
      <c r="E20" s="22">
        <f>C20:C31</f>
        <v>0</v>
      </c>
      <c r="F20" s="13">
        <f>SUMIFS('ครุภัณฑ์ 68'!G:G,'ครุภัณฑ์ 68'!C:C,"ยานพาหนะและขนส่ง",'ครุภัณฑ์ 68'!E:E,B20)</f>
        <v>0</v>
      </c>
      <c r="G20" s="13">
        <f>SUMIFS('ครุภัณฑ์ 68'!F:F,'ครุภัณฑ์ 68'!C:C,"ยานพาหนะและขนส่ง",'ครุภัณฑ์ 68'!E:E,B20)</f>
        <v>0</v>
      </c>
      <c r="H20" s="13">
        <f t="shared" ref="H20:H42" si="5">F20</f>
        <v>0</v>
      </c>
      <c r="I20" s="68">
        <f>SUMIFS('ครุภัณฑ์ 69'!G:G,'ครุภัณฑ์ 69'!C:C,"ยานพาหนะและขนส่ง",'ครุภัณฑ์ 69'!E:E,B20)</f>
        <v>1369000</v>
      </c>
      <c r="J20" s="68">
        <f>SUMIFS('ครุภัณฑ์ 69'!F:F,'ครุภัณฑ์ 69'!C:C,"ยานพาหนะและขนส่ง",'ครุภัณฑ์ 69'!E:E,B20)</f>
        <v>1</v>
      </c>
      <c r="K20" s="68">
        <f t="shared" ref="K20:K42" si="6">I20</f>
        <v>1369000</v>
      </c>
      <c r="L20" s="69">
        <f>SUMIFS('รวมครุภัณฑ์ 70'!L:L,'รวมครุภัณฑ์ 70'!C:C,"ครุภัณฑ์ยานพาหนะและขนส่ง",'รวมครุภัณฑ์ 70'!H:H,B20)</f>
        <v>0</v>
      </c>
      <c r="M20" s="69">
        <f>SUMIFS('รวมครุภัณฑ์ 70'!Q:Q,'รวมครุภัณฑ์ 70'!C:C,"ครุภัณฑ์ยานพาหนะและขนส่ง",'รวมครุภัณฑ์ 70'!H:H,B20)</f>
        <v>0</v>
      </c>
      <c r="N20" s="69">
        <f>SUMIFS('รวมครุภัณฑ์ 70'!R:R,'รวมครุภัณฑ์ 70'!C:C,"ครุภัณฑ์ยานพาหนะและขนส่ง",'รวมครุภัณฑ์ 70'!H:H,B20)</f>
        <v>0</v>
      </c>
      <c r="O20" s="69">
        <f t="shared" ref="O20:O42" si="7">M20+N20</f>
        <v>0</v>
      </c>
      <c r="P20" s="69">
        <f t="shared" ref="P20:P42" si="8">L20</f>
        <v>0</v>
      </c>
      <c r="Q20" s="72" t="e">
        <f>SUM(#REF!)</f>
        <v>#REF!</v>
      </c>
    </row>
    <row r="21" spans="1:17" ht="21">
      <c r="A21" s="71" t="s">
        <v>317</v>
      </c>
      <c r="B21" s="67" t="s">
        <v>319</v>
      </c>
      <c r="C21" s="22">
        <f>SUMIFS('ครุภัณฑ์ 67'!G:G,'ครุภัณฑ์ 67'!C:C,"ยานพาหนะและขนส่ง",'ครุภัณฑ์ 67'!E:E,B21)</f>
        <v>0</v>
      </c>
      <c r="D21" s="75">
        <f>SUMIFS('ครุภัณฑ์ 67'!F:F,'ครุภัณฑ์ 67'!C:C,"ยานพาหนะและขนส่ง",'ครุภัณฑ์ 67'!E:E,B21)</f>
        <v>0</v>
      </c>
      <c r="E21" s="22">
        <f t="shared" ref="E21:E42" si="9">C21</f>
        <v>0</v>
      </c>
      <c r="F21" s="13">
        <f>SUMIFS('ครุภัณฑ์ 68'!G:G,'ครุภัณฑ์ 68'!C:C,"ยานพาหนะและขนส่ง",'ครุภัณฑ์ 68'!E:E,B21)</f>
        <v>0</v>
      </c>
      <c r="G21" s="13">
        <f>SUMIFS('ครุภัณฑ์ 68'!F:F,'ครุภัณฑ์ 68'!C:C,"ยานพาหนะและขนส่ง",'ครุภัณฑ์ 68'!E:E,B21)</f>
        <v>0</v>
      </c>
      <c r="H21" s="13">
        <f t="shared" si="5"/>
        <v>0</v>
      </c>
      <c r="I21" s="68">
        <f>SUMIFS('ครุภัณฑ์ 69'!G:G,'ครุภัณฑ์ 69'!C:C,"ยานพาหนะและขนส่ง",'ครุภัณฑ์ 69'!E:E,B21)</f>
        <v>0</v>
      </c>
      <c r="J21" s="68">
        <f>SUMIFS('ครุภัณฑ์ 69'!F:F,'ครุภัณฑ์ 69'!C:C,"ยานพาหนะและขนส่ง",'ครุภัณฑ์ 69'!E:E,B21)</f>
        <v>0</v>
      </c>
      <c r="K21" s="68">
        <f t="shared" si="6"/>
        <v>0</v>
      </c>
      <c r="L21" s="69">
        <f>SUMIFS('รวมครุภัณฑ์ 70'!L:L,'รวมครุภัณฑ์ 70'!C:C,"ครุภัณฑ์ยานพาหนะและขนส่ง",'รวมครุภัณฑ์ 70'!H:H,B21)</f>
        <v>0</v>
      </c>
      <c r="M21" s="69">
        <f>SUMIFS('รวมครุภัณฑ์ 70'!Q:Q,'รวมครุภัณฑ์ 70'!C:C,"ครุภัณฑ์ยานพาหนะและขนส่ง",'รวมครุภัณฑ์ 70'!H:H,B21)</f>
        <v>0</v>
      </c>
      <c r="N21" s="69">
        <f>SUMIFS('รวมครุภัณฑ์ 70'!R:R,'รวมครุภัณฑ์ 70'!C:C,"ครุภัณฑ์ยานพาหนะและขนส่ง",'รวมครุภัณฑ์ 70'!H:H,B21)</f>
        <v>0</v>
      </c>
      <c r="O21" s="69">
        <f t="shared" si="7"/>
        <v>0</v>
      </c>
      <c r="P21" s="69">
        <f t="shared" si="8"/>
        <v>0</v>
      </c>
      <c r="Q21" s="72">
        <f>SUM(P19:P42)</f>
        <v>16485500</v>
      </c>
    </row>
    <row r="22" spans="1:17" ht="21">
      <c r="A22" s="71" t="s">
        <v>317</v>
      </c>
      <c r="B22" s="67" t="s">
        <v>411</v>
      </c>
      <c r="C22" s="22">
        <f>SUMIFS('ครุภัณฑ์ 67'!G:G,'ครุภัณฑ์ 67'!C:C,"ยานพาหนะและขนส่ง",'ครุภัณฑ์ 67'!E:E,B22)</f>
        <v>1358000</v>
      </c>
      <c r="D22" s="75">
        <f>SUMIFS('ครุภัณฑ์ 67'!F:F,'ครุภัณฑ์ 67'!C:C,"ยานพาหนะและขนส่ง",'ครุภัณฑ์ 67'!E:E,B22)</f>
        <v>1</v>
      </c>
      <c r="E22" s="22">
        <f t="shared" si="9"/>
        <v>1358000</v>
      </c>
      <c r="F22" s="13">
        <f>SUMIFS('ครุภัณฑ์ 68'!G:G,'ครุภัณฑ์ 68'!C:C,"ยานพาหนะและขนส่ง",'ครุภัณฑ์ 68'!E:E,B22)</f>
        <v>0</v>
      </c>
      <c r="G22" s="13">
        <f>SUMIFS('ครุภัณฑ์ 68'!F:F,'ครุภัณฑ์ 68'!C:C,"ยานพาหนะและขนส่ง",'ครุภัณฑ์ 68'!E:E,B22)</f>
        <v>0</v>
      </c>
      <c r="H22" s="13">
        <f t="shared" si="5"/>
        <v>0</v>
      </c>
      <c r="I22" s="68">
        <f>SUMIFS('ครุภัณฑ์ 69'!G:G,'ครุภัณฑ์ 69'!C:C,"ยานพาหนะและขนส่ง",'ครุภัณฑ์ 69'!E:E,B22)</f>
        <v>0</v>
      </c>
      <c r="J22" s="68">
        <f>SUMIFS('ครุภัณฑ์ 69'!F:F,'ครุภัณฑ์ 69'!C:C,"ยานพาหนะและขนส่ง",'ครุภัณฑ์ 69'!E:E,B22)</f>
        <v>0</v>
      </c>
      <c r="K22" s="68">
        <f t="shared" si="6"/>
        <v>0</v>
      </c>
      <c r="L22" s="69">
        <f>SUMIFS('รวมครุภัณฑ์ 70'!L:L,'รวมครุภัณฑ์ 70'!C:C,"ครุภัณฑ์ยานพาหนะและขนส่ง",'รวมครุภัณฑ์ 70'!H:H,B22)</f>
        <v>0</v>
      </c>
      <c r="M22" s="69">
        <f>SUMIFS('รวมครุภัณฑ์ 70'!Q:Q,'รวมครุภัณฑ์ 70'!C:C,"ครุภัณฑ์ยานพาหนะและขนส่ง",'รวมครุภัณฑ์ 70'!H:H,B22)</f>
        <v>0</v>
      </c>
      <c r="N22" s="69">
        <f>SUMIFS('รวมครุภัณฑ์ 70'!R:R,'รวมครุภัณฑ์ 70'!C:C,"ครุภัณฑ์ยานพาหนะและขนส่ง",'รวมครุภัณฑ์ 70'!H:H,B22)</f>
        <v>0</v>
      </c>
      <c r="O22" s="69">
        <f t="shared" si="7"/>
        <v>0</v>
      </c>
      <c r="P22" s="69">
        <f t="shared" si="8"/>
        <v>0</v>
      </c>
      <c r="Q22" s="70"/>
    </row>
    <row r="23" spans="1:17" ht="21">
      <c r="A23" s="71" t="s">
        <v>320</v>
      </c>
      <c r="B23" s="67" t="s">
        <v>322</v>
      </c>
      <c r="C23" s="22">
        <f>SUMIFS('ครุภัณฑ์ 67'!G:G,'ครุภัณฑ์ 67'!C:C,"ยานพาหนะและขนส่ง",'ครุภัณฑ์ 67'!E:E,B23)</f>
        <v>1090900</v>
      </c>
      <c r="D23" s="75">
        <f>SUMIFS('ครุภัณฑ์ 67'!F:F,'ครุภัณฑ์ 67'!C:C,"ยานพาหนะและขนส่ง",'ครุภัณฑ์ 67'!E:E,B23)</f>
        <v>1</v>
      </c>
      <c r="E23" s="22">
        <f t="shared" si="9"/>
        <v>1090900</v>
      </c>
      <c r="F23" s="13">
        <f>SUMIFS('ครุภัณฑ์ 68'!G:G,'ครุภัณฑ์ 68'!C:C,"ยานพาหนะและขนส่ง",'ครุภัณฑ์ 68'!E:E,B23)</f>
        <v>0</v>
      </c>
      <c r="G23" s="13">
        <f>SUMIFS('ครุภัณฑ์ 68'!F:F,'ครุภัณฑ์ 68'!C:C,"ยานพาหนะและขนส่ง",'ครุภัณฑ์ 68'!E:E,B23)</f>
        <v>0</v>
      </c>
      <c r="H23" s="13">
        <f t="shared" si="5"/>
        <v>0</v>
      </c>
      <c r="I23" s="68">
        <f>SUMIFS('ครุภัณฑ์ 69'!G:G,'ครุภัณฑ์ 69'!C:C,"ยานพาหนะและขนส่ง",'ครุภัณฑ์ 69'!E:E,B23)</f>
        <v>0</v>
      </c>
      <c r="J23" s="68">
        <f>SUMIFS('ครุภัณฑ์ 69'!F:F,'ครุภัณฑ์ 69'!C:C,"ยานพาหนะและขนส่ง",'ครุภัณฑ์ 69'!E:E,B23)</f>
        <v>0</v>
      </c>
      <c r="K23" s="68">
        <f t="shared" si="6"/>
        <v>0</v>
      </c>
      <c r="L23" s="69">
        <f>SUMIFS('รวมครุภัณฑ์ 70'!L:L,'รวมครุภัณฑ์ 70'!C:C,"ครุภัณฑ์ยานพาหนะและขนส่ง",'รวมครุภัณฑ์ 70'!H:H,B23)</f>
        <v>2415800</v>
      </c>
      <c r="M23" s="69">
        <f>SUMIFS('รวมครุภัณฑ์ 70'!Q:Q,'รวมครุภัณฑ์ 70'!C:C,"ครุภัณฑ์ยานพาหนะและขนส่ง",'รวมครุภัณฑ์ 70'!H:H,B23)</f>
        <v>2</v>
      </c>
      <c r="N23" s="69">
        <f>SUMIFS('รวมครุภัณฑ์ 70'!R:R,'รวมครุภัณฑ์ 70'!C:C,"ครุภัณฑ์ยานพาหนะและขนส่ง",'รวมครุภัณฑ์ 70'!H:H,B23)</f>
        <v>0</v>
      </c>
      <c r="O23" s="69">
        <f t="shared" si="7"/>
        <v>2</v>
      </c>
      <c r="P23" s="69">
        <f t="shared" si="8"/>
        <v>2415800</v>
      </c>
      <c r="Q23" s="70"/>
    </row>
    <row r="24" spans="1:17" ht="21">
      <c r="A24" s="71" t="s">
        <v>182</v>
      </c>
      <c r="B24" s="67" t="s">
        <v>185</v>
      </c>
      <c r="C24" s="22">
        <f>SUMIFS('ครุภัณฑ์ 67'!G:G,'ครุภัณฑ์ 67'!C:C,"ยานพาหนะและขนส่ง",'ครุภัณฑ์ 67'!E:E,B24)</f>
        <v>1358000</v>
      </c>
      <c r="D24" s="75">
        <f>SUMIFS('ครุภัณฑ์ 67'!F:F,'ครุภัณฑ์ 67'!C:C,"ยานพาหนะและขนส่ง",'ครุภัณฑ์ 67'!E:E,B24)</f>
        <v>1</v>
      </c>
      <c r="E24" s="22">
        <f t="shared" si="9"/>
        <v>1358000</v>
      </c>
      <c r="F24" s="13">
        <f>SUMIFS('ครุภัณฑ์ 68'!G:G,'ครุภัณฑ์ 68'!C:C,"ยานพาหนะและขนส่ง",'ครุภัณฑ์ 68'!E:E,B24)</f>
        <v>0</v>
      </c>
      <c r="G24" s="13">
        <f>SUMIFS('ครุภัณฑ์ 68'!F:F,'ครุภัณฑ์ 68'!C:C,"ยานพาหนะและขนส่ง",'ครุภัณฑ์ 68'!E:E,B24)</f>
        <v>0</v>
      </c>
      <c r="H24" s="13">
        <f t="shared" si="5"/>
        <v>0</v>
      </c>
      <c r="I24" s="68">
        <f>SUMIFS('ครุภัณฑ์ 69'!G:G,'ครุภัณฑ์ 69'!C:C,"ยานพาหนะและขนส่ง",'ครุภัณฑ์ 69'!E:E,B24)</f>
        <v>0</v>
      </c>
      <c r="J24" s="68">
        <f>SUMIFS('ครุภัณฑ์ 69'!F:F,'ครุภัณฑ์ 69'!C:C,"ยานพาหนะและขนส่ง",'ครุภัณฑ์ 69'!E:E,B24)</f>
        <v>0</v>
      </c>
      <c r="K24" s="68">
        <f t="shared" si="6"/>
        <v>0</v>
      </c>
      <c r="L24" s="69">
        <f>SUMIFS('รวมครุภัณฑ์ 70'!L:L,'รวมครุภัณฑ์ 70'!C:C,"ครุภัณฑ์ยานพาหนะและขนส่ง",'รวมครุภัณฑ์ 70'!H:H,B24)</f>
        <v>0</v>
      </c>
      <c r="M24" s="69">
        <f>SUMIFS('รวมครุภัณฑ์ 70'!Q:Q,'รวมครุภัณฑ์ 70'!C:C,"ครุภัณฑ์ยานพาหนะและขนส่ง",'รวมครุภัณฑ์ 70'!H:H,B24)</f>
        <v>0</v>
      </c>
      <c r="N24" s="69">
        <f>SUMIFS('รวมครุภัณฑ์ 70'!R:R,'รวมครุภัณฑ์ 70'!C:C,"ครุภัณฑ์ยานพาหนะและขนส่ง",'รวมครุภัณฑ์ 70'!H:H,B24)</f>
        <v>0</v>
      </c>
      <c r="O24" s="69">
        <f t="shared" si="7"/>
        <v>0</v>
      </c>
      <c r="P24" s="69">
        <f t="shared" si="8"/>
        <v>0</v>
      </c>
      <c r="Q24" s="70"/>
    </row>
    <row r="25" spans="1:17" ht="21">
      <c r="A25" s="71" t="s">
        <v>46</v>
      </c>
      <c r="B25" s="67" t="s">
        <v>50</v>
      </c>
      <c r="C25" s="22">
        <f>SUMIFS('ครุภัณฑ์ 67'!G:G,'ครุภัณฑ์ 67'!C:C,"ยานพาหนะและขนส่ง",'ครุภัณฑ์ 67'!E:E,B25)</f>
        <v>1090900</v>
      </c>
      <c r="D25" s="75">
        <f>SUMIFS('ครุภัณฑ์ 67'!F:F,'ครุภัณฑ์ 67'!C:C,"ยานพาหนะและขนส่ง",'ครุภัณฑ์ 67'!E:E,B25)</f>
        <v>1</v>
      </c>
      <c r="E25" s="22">
        <f t="shared" si="9"/>
        <v>1090900</v>
      </c>
      <c r="F25" s="13">
        <f>SUMIFS('ครุภัณฑ์ 68'!G:G,'ครุภัณฑ์ 68'!C:C,"ยานพาหนะและขนส่ง",'ครุภัณฑ์ 68'!E:E,B25)</f>
        <v>0</v>
      </c>
      <c r="G25" s="13">
        <f>SUMIFS('ครุภัณฑ์ 68'!F:F,'ครุภัณฑ์ 68'!C:C,"ยานพาหนะและขนส่ง",'ครุภัณฑ์ 68'!E:E,B25)</f>
        <v>0</v>
      </c>
      <c r="H25" s="13">
        <f t="shared" si="5"/>
        <v>0</v>
      </c>
      <c r="I25" s="68">
        <f>SUMIFS('ครุภัณฑ์ 69'!G:G,'ครุภัณฑ์ 69'!C:C,"ยานพาหนะและขนส่ง",'ครุภัณฑ์ 69'!E:E,B25)</f>
        <v>0</v>
      </c>
      <c r="J25" s="68">
        <f>SUMIFS('ครุภัณฑ์ 69'!F:F,'ครุภัณฑ์ 69'!C:C,"ยานพาหนะและขนส่ง",'ครุภัณฑ์ 69'!E:E,B25)</f>
        <v>0</v>
      </c>
      <c r="K25" s="68">
        <f t="shared" si="6"/>
        <v>0</v>
      </c>
      <c r="L25" s="69">
        <f>SUMIFS('รวมครุภัณฑ์ 70'!L:L,'รวมครุภัณฑ์ 70'!C:C,"ครุภัณฑ์ยานพาหนะและขนส่ง",'รวมครุภัณฑ์ 70'!H:H,B25)</f>
        <v>2975000</v>
      </c>
      <c r="M25" s="69">
        <f>SUMIFS('รวมครุภัณฑ์ 70'!Q:Q,'รวมครุภัณฑ์ 70'!C:C,"ครุภัณฑ์ยานพาหนะและขนส่ง",'รวมครุภัณฑ์ 70'!H:H,B25)</f>
        <v>1</v>
      </c>
      <c r="N25" s="69">
        <f>SUMIFS('รวมครุภัณฑ์ 70'!R:R,'รวมครุภัณฑ์ 70'!C:C,"ครุภัณฑ์ยานพาหนะและขนส่ง",'รวมครุภัณฑ์ 70'!H:H,B25)</f>
        <v>1</v>
      </c>
      <c r="O25" s="69">
        <f t="shared" si="7"/>
        <v>2</v>
      </c>
      <c r="P25" s="69">
        <f t="shared" si="8"/>
        <v>2975000</v>
      </c>
      <c r="Q25" s="70"/>
    </row>
    <row r="26" spans="1:17" ht="21">
      <c r="A26" s="71" t="s">
        <v>46</v>
      </c>
      <c r="B26" s="67" t="s">
        <v>1178</v>
      </c>
      <c r="C26" s="22">
        <f>SUMIFS('ครุภัณฑ์ 67'!G:G,'ครุภัณฑ์ 67'!C:C,"ยานพาหนะและขนส่ง",'ครุภัณฑ์ 67'!E:E,B26)</f>
        <v>0</v>
      </c>
      <c r="D26" s="75">
        <f>SUMIFS('ครุภัณฑ์ 67'!F:F,'ครุภัณฑ์ 67'!C:C,"ยานพาหนะและขนส่ง",'ครุภัณฑ์ 67'!E:E,B26)</f>
        <v>0</v>
      </c>
      <c r="E26" s="22">
        <f t="shared" si="9"/>
        <v>0</v>
      </c>
      <c r="F26" s="13">
        <f>SUMIFS('ครุภัณฑ์ 68'!G:G,'ครุภัณฑ์ 68'!C:C,"ยานพาหนะและขนส่ง",'ครุภัณฑ์ 68'!E:E,B26)</f>
        <v>0</v>
      </c>
      <c r="G26" s="13">
        <f>SUMIFS('ครุภัณฑ์ 68'!F:F,'ครุภัณฑ์ 68'!C:C,"ยานพาหนะและขนส่ง",'ครุภัณฑ์ 68'!E:E,B26)</f>
        <v>0</v>
      </c>
      <c r="H26" s="13">
        <f t="shared" si="5"/>
        <v>0</v>
      </c>
      <c r="I26" s="68">
        <f>SUMIFS('ครุภัณฑ์ 69'!G:G,'ครุภัณฑ์ 69'!C:C,"ยานพาหนะและขนส่ง",'ครุภัณฑ์ 69'!E:E,B26)</f>
        <v>0</v>
      </c>
      <c r="J26" s="68">
        <f>SUMIFS('ครุภัณฑ์ 69'!F:F,'ครุภัณฑ์ 69'!C:C,"ยานพาหนะและขนส่ง",'ครุภัณฑ์ 69'!E:E,B26)</f>
        <v>0</v>
      </c>
      <c r="K26" s="68">
        <f t="shared" si="6"/>
        <v>0</v>
      </c>
      <c r="L26" s="69">
        <f>SUMIFS('รวมครุภัณฑ์ 70'!L:L,'รวมครุภัณฑ์ 70'!C:C,"ครุภัณฑ์ยานพาหนะและขนส่ง",'รวมครุภัณฑ์ 70'!H:H,B26)</f>
        <v>0</v>
      </c>
      <c r="M26" s="69">
        <f>SUMIFS('รวมครุภัณฑ์ 70'!Q:Q,'รวมครุภัณฑ์ 70'!C:C,"ครุภัณฑ์ยานพาหนะและขนส่ง",'รวมครุภัณฑ์ 70'!H:H,B26)</f>
        <v>0</v>
      </c>
      <c r="N26" s="69">
        <f>SUMIFS('รวมครุภัณฑ์ 70'!R:R,'รวมครุภัณฑ์ 70'!C:C,"ครุภัณฑ์ยานพาหนะและขนส่ง",'รวมครุภัณฑ์ 70'!H:H,B26)</f>
        <v>0</v>
      </c>
      <c r="O26" s="69">
        <f t="shared" si="7"/>
        <v>0</v>
      </c>
      <c r="P26" s="69">
        <f t="shared" si="8"/>
        <v>0</v>
      </c>
      <c r="Q26" s="70"/>
    </row>
    <row r="27" spans="1:17" ht="21">
      <c r="A27" s="71" t="s">
        <v>46</v>
      </c>
      <c r="B27" s="67" t="s">
        <v>48</v>
      </c>
      <c r="C27" s="22">
        <f>SUMIFS('ครุภัณฑ์ 67'!G:G,'ครุภัณฑ์ 67'!C:C,"ยานพาหนะและขนส่ง",'ครุภัณฑ์ 67'!E:E,B27)</f>
        <v>0</v>
      </c>
      <c r="D27" s="75">
        <f>SUMIFS('ครุภัณฑ์ 67'!F:F,'ครุภัณฑ์ 67'!C:C,"ยานพาหนะและขนส่ง",'ครุภัณฑ์ 67'!E:E,B27)</f>
        <v>0</v>
      </c>
      <c r="E27" s="22">
        <f t="shared" si="9"/>
        <v>0</v>
      </c>
      <c r="F27" s="13">
        <f>SUMIFS('ครุภัณฑ์ 68'!G:G,'ครุภัณฑ์ 68'!C:C,"ยานพาหนะและขนส่ง",'ครุภัณฑ์ 68'!E:E,B27)</f>
        <v>0</v>
      </c>
      <c r="G27" s="13">
        <f>SUMIFS('ครุภัณฑ์ 68'!F:F,'ครุภัณฑ์ 68'!C:C,"ยานพาหนะและขนส่ง",'ครุภัณฑ์ 68'!E:E,B27)</f>
        <v>0</v>
      </c>
      <c r="H27" s="13">
        <f t="shared" si="5"/>
        <v>0</v>
      </c>
      <c r="I27" s="68">
        <f>SUMIFS('ครุภัณฑ์ 69'!G:G,'ครุภัณฑ์ 69'!C:C,"ยานพาหนะและขนส่ง",'ครุภัณฑ์ 69'!E:E,B27)</f>
        <v>1941800</v>
      </c>
      <c r="J27" s="68">
        <f>SUMIFS('ครุภัณฑ์ 69'!F:F,'ครุภัณฑ์ 69'!C:C,"ยานพาหนะและขนส่ง",'ครุภัณฑ์ 69'!E:E,B27)</f>
        <v>2</v>
      </c>
      <c r="K27" s="68">
        <f t="shared" si="6"/>
        <v>1941800</v>
      </c>
      <c r="L27" s="69">
        <f>SUMIFS('รวมครุภัณฑ์ 70'!L:L,'รวมครุภัณฑ์ 70'!C:C,"ครุภัณฑ์ยานพาหนะและขนส่ง",'รวมครุภัณฑ์ 70'!H:H,B27)</f>
        <v>0</v>
      </c>
      <c r="M27" s="69">
        <f>SUMIFS('รวมครุภัณฑ์ 70'!Q:Q,'รวมครุภัณฑ์ 70'!C:C,"ครุภัณฑ์ยานพาหนะและขนส่ง",'รวมครุภัณฑ์ 70'!H:H,B27)</f>
        <v>0</v>
      </c>
      <c r="N27" s="69">
        <f>SUMIFS('รวมครุภัณฑ์ 70'!R:R,'รวมครุภัณฑ์ 70'!C:C,"ครุภัณฑ์ยานพาหนะและขนส่ง",'รวมครุภัณฑ์ 70'!H:H,B27)</f>
        <v>0</v>
      </c>
      <c r="O27" s="69">
        <f t="shared" si="7"/>
        <v>0</v>
      </c>
      <c r="P27" s="69">
        <f t="shared" si="8"/>
        <v>0</v>
      </c>
      <c r="Q27" s="70"/>
    </row>
    <row r="28" spans="1:17" ht="21">
      <c r="A28" s="71" t="s">
        <v>443</v>
      </c>
      <c r="B28" s="67" t="s">
        <v>455</v>
      </c>
      <c r="C28" s="22">
        <f>SUMIFS('ครุภัณฑ์ 67'!G:G,'ครุภัณฑ์ 67'!C:C,"ยานพาหนะและขนส่ง",'ครุภัณฑ์ 67'!E:E,B28)</f>
        <v>0</v>
      </c>
      <c r="D28" s="75">
        <f>SUMIFS('ครุภัณฑ์ 67'!F:F,'ครุภัณฑ์ 67'!C:C,"ยานพาหนะและขนส่ง",'ครุภัณฑ์ 67'!E:E,B28)</f>
        <v>0</v>
      </c>
      <c r="E28" s="22">
        <f t="shared" si="9"/>
        <v>0</v>
      </c>
      <c r="F28" s="13">
        <f>SUMIFS('ครุภัณฑ์ 68'!G:G,'ครุภัณฑ์ 68'!C:C,"ยานพาหนะและขนส่ง",'ครุภัณฑ์ 68'!E:E,B28)</f>
        <v>0</v>
      </c>
      <c r="G28" s="13">
        <f>SUMIFS('ครุภัณฑ์ 68'!F:F,'ครุภัณฑ์ 68'!C:C,"ยานพาหนะและขนส่ง",'ครุภัณฑ์ 68'!E:E,B28)</f>
        <v>0</v>
      </c>
      <c r="H28" s="13">
        <f t="shared" si="5"/>
        <v>0</v>
      </c>
      <c r="I28" s="68">
        <f>SUMIFS('ครุภัณฑ์ 69'!G:G,'ครุภัณฑ์ 69'!C:C,"ยานพาหนะและขนส่ง",'ครุภัณฑ์ 69'!E:E,B28)</f>
        <v>0</v>
      </c>
      <c r="J28" s="68">
        <f>SUMIFS('ครุภัณฑ์ 69'!F:F,'ครุภัณฑ์ 69'!C:C,"ยานพาหนะและขนส่ง",'ครุภัณฑ์ 69'!E:E,B28)</f>
        <v>0</v>
      </c>
      <c r="K28" s="68">
        <f t="shared" si="6"/>
        <v>0</v>
      </c>
      <c r="L28" s="69">
        <f>SUMIFS('รวมครุภัณฑ์ 70'!L:L,'รวมครุภัณฑ์ 70'!C:C,"ครุภัณฑ์ยานพาหนะและขนส่ง",'รวมครุภัณฑ์ 70'!H:H,B28)</f>
        <v>1207900</v>
      </c>
      <c r="M28" s="69">
        <f>SUMIFS('รวมครุภัณฑ์ 70'!Q:Q,'รวมครุภัณฑ์ 70'!C:C,"ครุภัณฑ์ยานพาหนะและขนส่ง",'รวมครุภัณฑ์ 70'!H:H,B28)</f>
        <v>1</v>
      </c>
      <c r="N28" s="69">
        <f>SUMIFS('รวมครุภัณฑ์ 70'!R:R,'รวมครุภัณฑ์ 70'!C:C,"ครุภัณฑ์ยานพาหนะและขนส่ง",'รวมครุภัณฑ์ 70'!H:H,B28)</f>
        <v>0</v>
      </c>
      <c r="O28" s="69">
        <f t="shared" si="7"/>
        <v>1</v>
      </c>
      <c r="P28" s="69">
        <f t="shared" si="8"/>
        <v>1207900</v>
      </c>
      <c r="Q28" s="70"/>
    </row>
    <row r="29" spans="1:17" ht="21">
      <c r="A29" s="71" t="s">
        <v>326</v>
      </c>
      <c r="B29" s="67" t="s">
        <v>329</v>
      </c>
      <c r="C29" s="22">
        <f>SUMIFS('ครุภัณฑ์ 67'!G:G,'ครุภัณฑ์ 67'!C:C,"ยานพาหนะและขนส่ง",'ครุภัณฑ์ 67'!E:E,B29)</f>
        <v>3539800</v>
      </c>
      <c r="D29" s="75">
        <f>SUMIFS('ครุภัณฑ์ 67'!F:F,'ครุภัณฑ์ 67'!C:C,"ยานพาหนะและขนส่ง",'ครุภัณฑ์ 67'!E:E,B29)</f>
        <v>3</v>
      </c>
      <c r="E29" s="22">
        <f t="shared" si="9"/>
        <v>3539800</v>
      </c>
      <c r="F29" s="13">
        <f>SUMIFS('ครุภัณฑ์ 68'!G:G,'ครุภัณฑ์ 68'!C:C,"ยานพาหนะและขนส่ง",'ครุภัณฑ์ 68'!E:E,B29)</f>
        <v>0</v>
      </c>
      <c r="G29" s="13">
        <f>SUMIFS('ครุภัณฑ์ 68'!F:F,'ครุภัณฑ์ 68'!C:C,"ยานพาหนะและขนส่ง",'ครุภัณฑ์ 68'!E:E,B29)</f>
        <v>0</v>
      </c>
      <c r="H29" s="13">
        <f t="shared" si="5"/>
        <v>0</v>
      </c>
      <c r="I29" s="68">
        <f>SUMIFS('ครุภัณฑ์ 69'!G:G,'ครุภัณฑ์ 69'!C:C,"ยานพาหนะและขนส่ง",'ครุภัณฑ์ 69'!E:E,B29)</f>
        <v>0</v>
      </c>
      <c r="J29" s="68">
        <f>SUMIFS('ครุภัณฑ์ 69'!F:F,'ครุภัณฑ์ 69'!C:C,"ยานพาหนะและขนส่ง",'ครุภัณฑ์ 69'!E:E,B29)</f>
        <v>0</v>
      </c>
      <c r="K29" s="68">
        <f t="shared" si="6"/>
        <v>0</v>
      </c>
      <c r="L29" s="69">
        <f>SUMIFS('รวมครุภัณฑ์ 70'!L:L,'รวมครุภัณฑ์ 70'!C:C,"ครุภัณฑ์ยานพาหนะและขนส่ง",'รวมครุภัณฑ์ 70'!H:H,B29)</f>
        <v>0</v>
      </c>
      <c r="M29" s="69">
        <f>SUMIFS('รวมครุภัณฑ์ 70'!Q:Q,'รวมครุภัณฑ์ 70'!C:C,"ครุภัณฑ์ยานพาหนะและขนส่ง",'รวมครุภัณฑ์ 70'!H:H,B29)</f>
        <v>0</v>
      </c>
      <c r="N29" s="69">
        <f>SUMIFS('รวมครุภัณฑ์ 70'!R:R,'รวมครุภัณฑ์ 70'!C:C,"ครุภัณฑ์ยานพาหนะและขนส่ง",'รวมครุภัณฑ์ 70'!H:H,B29)</f>
        <v>0</v>
      </c>
      <c r="O29" s="69">
        <f t="shared" si="7"/>
        <v>0</v>
      </c>
      <c r="P29" s="69">
        <f t="shared" si="8"/>
        <v>0</v>
      </c>
      <c r="Q29" s="70"/>
    </row>
    <row r="30" spans="1:17" ht="21">
      <c r="A30" s="71" t="s">
        <v>442</v>
      </c>
      <c r="B30" s="67" t="s">
        <v>456</v>
      </c>
      <c r="C30" s="22">
        <f>SUMIFS('ครุภัณฑ์ 67'!G:G,'ครุภัณฑ์ 67'!C:C,"ยานพาหนะและขนส่ง",'ครุภัณฑ์ 67'!E:E,B30)</f>
        <v>0</v>
      </c>
      <c r="D30" s="75">
        <f>SUMIFS('ครุภัณฑ์ 67'!F:F,'ครุภัณฑ์ 67'!C:C,"ยานพาหนะและขนส่ง",'ครุภัณฑ์ 67'!E:E,B30)</f>
        <v>0</v>
      </c>
      <c r="E30" s="22">
        <f t="shared" si="9"/>
        <v>0</v>
      </c>
      <c r="F30" s="13">
        <f>SUMIFS('ครุภัณฑ์ 68'!G:G,'ครุภัณฑ์ 68'!C:C,"ยานพาหนะและขนส่ง",'ครุภัณฑ์ 68'!E:E,B30)</f>
        <v>0</v>
      </c>
      <c r="G30" s="13">
        <f>SUMIFS('ครุภัณฑ์ 68'!F:F,'ครุภัณฑ์ 68'!C:C,"ยานพาหนะและขนส่ง",'ครุภัณฑ์ 68'!E:E,B30)</f>
        <v>0</v>
      </c>
      <c r="H30" s="13">
        <f t="shared" si="5"/>
        <v>0</v>
      </c>
      <c r="I30" s="68">
        <f>SUMIFS('ครุภัณฑ์ 69'!G:G,'ครุภัณฑ์ 69'!C:C,"ยานพาหนะและขนส่ง",'ครุภัณฑ์ 69'!E:E,B30)</f>
        <v>0</v>
      </c>
      <c r="J30" s="68">
        <f>SUMIFS('ครุภัณฑ์ 69'!F:F,'ครุภัณฑ์ 69'!C:C,"ยานพาหนะและขนส่ง",'ครุภัณฑ์ 69'!E:E,B30)</f>
        <v>0</v>
      </c>
      <c r="K30" s="68">
        <f t="shared" si="6"/>
        <v>0</v>
      </c>
      <c r="L30" s="69">
        <f>SUMIFS('รวมครุภัณฑ์ 70'!L:L,'รวมครุภัณฑ์ 70'!C:C,"ครุภัณฑ์ยานพาหนะและขนส่ง",'รวมครุภัณฑ์ 70'!H:H,B30)</f>
        <v>0</v>
      </c>
      <c r="M30" s="69">
        <f>SUMIFS('รวมครุภัณฑ์ 70'!Q:Q,'รวมครุภัณฑ์ 70'!C:C,"ครุภัณฑ์ยานพาหนะและขนส่ง",'รวมครุภัณฑ์ 70'!H:H,B30)</f>
        <v>0</v>
      </c>
      <c r="N30" s="69">
        <f>SUMIFS('รวมครุภัณฑ์ 70'!R:R,'รวมครุภัณฑ์ 70'!C:C,"ครุภัณฑ์ยานพาหนะและขนส่ง",'รวมครุภัณฑ์ 70'!H:H,B30)</f>
        <v>0</v>
      </c>
      <c r="O30" s="69">
        <f t="shared" si="7"/>
        <v>0</v>
      </c>
      <c r="P30" s="69">
        <f t="shared" si="8"/>
        <v>0</v>
      </c>
      <c r="Q30" s="70"/>
    </row>
    <row r="31" spans="1:17" ht="21">
      <c r="A31" s="71" t="s">
        <v>424</v>
      </c>
      <c r="B31" s="67" t="s">
        <v>426</v>
      </c>
      <c r="C31" s="22">
        <f>SUMIFS('ครุภัณฑ์ 67'!G:G,'ครุภัณฑ์ 67'!C:C,"ยานพาหนะและขนส่ง",'ครุภัณฑ์ 67'!E:E,B31)</f>
        <v>0</v>
      </c>
      <c r="D31" s="75">
        <f>SUMIFS('ครุภัณฑ์ 67'!F:F,'ครุภัณฑ์ 67'!C:C,"ยานพาหนะและขนส่ง",'ครุภัณฑ์ 67'!E:E,B31)</f>
        <v>0</v>
      </c>
      <c r="E31" s="22">
        <f t="shared" si="9"/>
        <v>0</v>
      </c>
      <c r="F31" s="13">
        <f>SUMIFS('ครุภัณฑ์ 68'!G:G,'ครุภัณฑ์ 68'!C:C,"ยานพาหนะและขนส่ง",'ครุภัณฑ์ 68'!E:E,B31)</f>
        <v>0</v>
      </c>
      <c r="G31" s="13">
        <f>SUMIFS('ครุภัณฑ์ 68'!F:F,'ครุภัณฑ์ 68'!C:C,"ยานพาหนะและขนส่ง",'ครุภัณฑ์ 68'!E:E,B31)</f>
        <v>0</v>
      </c>
      <c r="H31" s="13">
        <f t="shared" si="5"/>
        <v>0</v>
      </c>
      <c r="I31" s="68">
        <f>SUMIFS('ครุภัณฑ์ 69'!G:G,'ครุภัณฑ์ 69'!C:C,"ยานพาหนะและขนส่ง",'ครุภัณฑ์ 69'!E:E,B31)</f>
        <v>0</v>
      </c>
      <c r="J31" s="68">
        <f>SUMIFS('ครุภัณฑ์ 69'!F:F,'ครุภัณฑ์ 69'!C:C,"ยานพาหนะและขนส่ง",'ครุภัณฑ์ 69'!E:E,B31)</f>
        <v>0</v>
      </c>
      <c r="K31" s="68">
        <f t="shared" si="6"/>
        <v>0</v>
      </c>
      <c r="L31" s="69">
        <f>SUMIFS('รวมครุภัณฑ์ 70'!L:L,'รวมครุภัณฑ์ 70'!C:C,"ครุภัณฑ์ยานพาหนะและขนส่ง",'รวมครุภัณฑ์ 70'!H:H,B31)</f>
        <v>0</v>
      </c>
      <c r="M31" s="69">
        <f>SUMIFS('รวมครุภัณฑ์ 70'!Q:Q,'รวมครุภัณฑ์ 70'!C:C,"ครุภัณฑ์ยานพาหนะและขนส่ง",'รวมครุภัณฑ์ 70'!H:H,B31)</f>
        <v>0</v>
      </c>
      <c r="N31" s="69">
        <f>SUMIFS('รวมครุภัณฑ์ 70'!R:R,'รวมครุภัณฑ์ 70'!C:C,"ครุภัณฑ์ยานพาหนะและขนส่ง",'รวมครุภัณฑ์ 70'!H:H,B31)</f>
        <v>0</v>
      </c>
      <c r="O31" s="69">
        <f t="shared" si="7"/>
        <v>0</v>
      </c>
      <c r="P31" s="69">
        <f t="shared" si="8"/>
        <v>0</v>
      </c>
      <c r="Q31" s="70"/>
    </row>
    <row r="32" spans="1:17" ht="21">
      <c r="A32" s="71" t="s">
        <v>51</v>
      </c>
      <c r="B32" s="67" t="s">
        <v>53</v>
      </c>
      <c r="C32" s="22">
        <f>SUMIFS('ครุภัณฑ์ 67'!G:G,'ครุภัณฑ์ 67'!C:C,"ยานพาหนะและขนส่ง",'ครุภัณฑ์ 67'!E:E,B32)</f>
        <v>0</v>
      </c>
      <c r="D32" s="75">
        <f>SUMIFS('ครุภัณฑ์ 67'!F:F,'ครุภัณฑ์ 67'!C:C,"ยานพาหนะและขนส่ง",'ครุภัณฑ์ 67'!E:E,B32)</f>
        <v>0</v>
      </c>
      <c r="E32" s="22">
        <f t="shared" si="9"/>
        <v>0</v>
      </c>
      <c r="F32" s="13">
        <f>SUMIFS('ครุภัณฑ์ 68'!G:G,'ครุภัณฑ์ 68'!C:C,"ยานพาหนะและขนส่ง",'ครุภัณฑ์ 68'!E:E,B32)</f>
        <v>0</v>
      </c>
      <c r="G32" s="13">
        <f>SUMIFS('ครุภัณฑ์ 68'!F:F,'ครุภัณฑ์ 68'!C:C,"ยานพาหนะและขนส่ง",'ครุภัณฑ์ 68'!E:E,B32)</f>
        <v>0</v>
      </c>
      <c r="H32" s="13">
        <f t="shared" si="5"/>
        <v>0</v>
      </c>
      <c r="I32" s="68">
        <f>SUMIFS('ครุภัณฑ์ 69'!G:G,'ครุภัณฑ์ 69'!C:C,"ยานพาหนะและขนส่ง",'ครุภัณฑ์ 69'!E:E,B32)</f>
        <v>970900</v>
      </c>
      <c r="J32" s="68">
        <f>SUMIFS('ครุภัณฑ์ 69'!F:F,'ครุภัณฑ์ 69'!C:C,"ยานพาหนะและขนส่ง",'ครุภัณฑ์ 69'!E:E,B32)</f>
        <v>1</v>
      </c>
      <c r="K32" s="68">
        <f t="shared" si="6"/>
        <v>970900</v>
      </c>
      <c r="L32" s="69">
        <f>SUMIFS('รวมครุภัณฑ์ 70'!L:L,'รวมครุภัณฑ์ 70'!C:C,"ครุภัณฑ์ยานพาหนะและขนส่ง",'รวมครุภัณฑ์ 70'!H:H,B32)</f>
        <v>52000</v>
      </c>
      <c r="M32" s="69">
        <f>SUMIFS('รวมครุภัณฑ์ 70'!Q:Q,'รวมครุภัณฑ์ 70'!C:C,"ครุภัณฑ์ยานพาหนะและขนส่ง",'รวมครุภัณฑ์ 70'!H:H,B32)</f>
        <v>1</v>
      </c>
      <c r="N32" s="69">
        <f>SUMIFS('รวมครุภัณฑ์ 70'!R:R,'รวมครุภัณฑ์ 70'!C:C,"ครุภัณฑ์ยานพาหนะและขนส่ง",'รวมครุภัณฑ์ 70'!H:H,B32)</f>
        <v>0</v>
      </c>
      <c r="O32" s="69">
        <f t="shared" si="7"/>
        <v>1</v>
      </c>
      <c r="P32" s="69">
        <f t="shared" si="8"/>
        <v>52000</v>
      </c>
      <c r="Q32" s="70"/>
    </row>
    <row r="33" spans="1:19" ht="21">
      <c r="A33" s="71" t="s">
        <v>188</v>
      </c>
      <c r="B33" s="67" t="s">
        <v>190</v>
      </c>
      <c r="C33" s="22">
        <f>SUMIFS('ครุภัณฑ์ 67'!G:G,'ครุภัณฑ์ 67'!C:C,"ยานพาหนะและขนส่ง",'ครุภัณฑ์ 67'!E:E,B33)</f>
        <v>1090900</v>
      </c>
      <c r="D33" s="75">
        <f>SUMIFS('ครุภัณฑ์ 67'!F:F,'ครุภัณฑ์ 67'!C:C,"ยานพาหนะและขนส่ง",'ครุภัณฑ์ 67'!E:E,B33)</f>
        <v>1</v>
      </c>
      <c r="E33" s="22">
        <f t="shared" si="9"/>
        <v>1090900</v>
      </c>
      <c r="F33" s="13">
        <f>SUMIFS('ครุภัณฑ์ 68'!G:G,'ครุภัณฑ์ 68'!C:C,"ยานพาหนะและขนส่ง",'ครุภัณฑ์ 68'!E:E,B33)</f>
        <v>1358000</v>
      </c>
      <c r="G33" s="13">
        <f>SUMIFS('ครุภัณฑ์ 68'!F:F,'ครุภัณฑ์ 68'!C:C,"ยานพาหนะและขนส่ง",'ครุภัณฑ์ 68'!E:E,B33)</f>
        <v>1</v>
      </c>
      <c r="H33" s="13">
        <f t="shared" si="5"/>
        <v>1358000</v>
      </c>
      <c r="I33" s="68">
        <f>SUMIFS('ครุภัณฑ์ 69'!G:G,'ครุภัณฑ์ 69'!C:C,"ยานพาหนะและขนส่ง",'ครุภัณฑ์ 69'!E:E,B33)</f>
        <v>0</v>
      </c>
      <c r="J33" s="68">
        <f>SUMIFS('ครุภัณฑ์ 69'!F:F,'ครุภัณฑ์ 69'!C:C,"ยานพาหนะและขนส่ง",'ครุภัณฑ์ 69'!E:E,B33)</f>
        <v>0</v>
      </c>
      <c r="K33" s="68">
        <f t="shared" si="6"/>
        <v>0</v>
      </c>
      <c r="L33" s="69">
        <f>SUMIFS('รวมครุภัณฑ์ 70'!L:L,'รวมครุภัณฑ์ 70'!C:C,"ครุภัณฑ์ยานพาหนะและขนส่ง",'รวมครุภัณฑ์ 70'!H:H,B33)</f>
        <v>0</v>
      </c>
      <c r="M33" s="69">
        <f>SUMIFS('รวมครุภัณฑ์ 70'!Q:Q,'รวมครุภัณฑ์ 70'!C:C,"ครุภัณฑ์ยานพาหนะและขนส่ง",'รวมครุภัณฑ์ 70'!H:H,B33)</f>
        <v>0</v>
      </c>
      <c r="N33" s="69">
        <f>SUMIFS('รวมครุภัณฑ์ 70'!R:R,'รวมครุภัณฑ์ 70'!C:C,"ครุภัณฑ์ยานพาหนะและขนส่ง",'รวมครุภัณฑ์ 70'!H:H,B33)</f>
        <v>0</v>
      </c>
      <c r="O33" s="69">
        <f t="shared" si="7"/>
        <v>0</v>
      </c>
      <c r="P33" s="69">
        <f t="shared" si="8"/>
        <v>0</v>
      </c>
      <c r="Q33" s="70"/>
    </row>
    <row r="34" spans="1:19" ht="21">
      <c r="A34" s="71" t="s">
        <v>54</v>
      </c>
      <c r="B34" s="67" t="s">
        <v>56</v>
      </c>
      <c r="C34" s="22">
        <f>SUMIFS('ครุภัณฑ์ 67'!G:G,'ครุภัณฑ์ 67'!C:C,"ยานพาหนะและขนส่ง",'ครุภัณฑ์ 67'!E:E,B34)</f>
        <v>0</v>
      </c>
      <c r="D34" s="75">
        <f>SUMIFS('ครุภัณฑ์ 67'!F:F,'ครุภัณฑ์ 67'!C:C,"ยานพาหนะและขนส่ง",'ครุภัณฑ์ 67'!E:E,B34)</f>
        <v>0</v>
      </c>
      <c r="E34" s="22">
        <f t="shared" si="9"/>
        <v>0</v>
      </c>
      <c r="F34" s="13">
        <f>SUMIFS('ครุภัณฑ์ 68'!G:G,'ครุภัณฑ์ 68'!C:C,"ยานพาหนะและขนส่ง",'ครุภัณฑ์ 68'!E:E,B34)</f>
        <v>0</v>
      </c>
      <c r="G34" s="13">
        <f>SUMIFS('ครุภัณฑ์ 68'!F:F,'ครุภัณฑ์ 68'!C:C,"ยานพาหนะและขนส่ง",'ครุภัณฑ์ 68'!E:E,B34)</f>
        <v>0</v>
      </c>
      <c r="H34" s="13">
        <f t="shared" si="5"/>
        <v>0</v>
      </c>
      <c r="I34" s="68">
        <f>SUMIFS('ครุภัณฑ์ 69'!G:G,'ครุภัณฑ์ 69'!C:C,"ยานพาหนะและขนส่ง",'ครุภัณฑ์ 69'!E:E,B34)</f>
        <v>0</v>
      </c>
      <c r="J34" s="68">
        <f>SUMIFS('ครุภัณฑ์ 69'!F:F,'ครุภัณฑ์ 69'!C:C,"ยานพาหนะและขนส่ง",'ครุภัณฑ์ 69'!E:E,B34)</f>
        <v>0</v>
      </c>
      <c r="K34" s="68">
        <f t="shared" si="6"/>
        <v>0</v>
      </c>
      <c r="L34" s="69">
        <f>SUMIFS('รวมครุภัณฑ์ 70'!L:L,'รวมครุภัณฑ์ 70'!C:C,"ครุภัณฑ์ยานพาหนะและขนส่ง",'รวมครุภัณฑ์ 70'!H:H,B34)</f>
        <v>0</v>
      </c>
      <c r="M34" s="69">
        <f>SUMIFS('รวมครุภัณฑ์ 70'!Q:Q,'รวมครุภัณฑ์ 70'!C:C,"ครุภัณฑ์ยานพาหนะและขนส่ง",'รวมครุภัณฑ์ 70'!H:H,B34)</f>
        <v>0</v>
      </c>
      <c r="N34" s="69">
        <f>SUMIFS('รวมครุภัณฑ์ 70'!R:R,'รวมครุภัณฑ์ 70'!C:C,"ครุภัณฑ์ยานพาหนะและขนส่ง",'รวมครุภัณฑ์ 70'!H:H,B34)</f>
        <v>0</v>
      </c>
      <c r="O34" s="69">
        <f t="shared" si="7"/>
        <v>0</v>
      </c>
      <c r="P34" s="69">
        <f t="shared" si="8"/>
        <v>0</v>
      </c>
      <c r="Q34" s="70"/>
    </row>
    <row r="35" spans="1:19" ht="21">
      <c r="A35" s="71" t="s">
        <v>193</v>
      </c>
      <c r="B35" s="67" t="s">
        <v>195</v>
      </c>
      <c r="C35" s="22">
        <f>SUMIFS('ครุภัณฑ์ 67'!G:G,'ครุภัณฑ์ 67'!C:C,"ยานพาหนะและขนส่ง",'ครุภัณฑ์ 67'!E:E,B35)</f>
        <v>1090900</v>
      </c>
      <c r="D35" s="75">
        <f>SUMIFS('ครุภัณฑ์ 67'!F:F,'ครุภัณฑ์ 67'!C:C,"ยานพาหนะและขนส่ง",'ครุภัณฑ์ 67'!E:E,B35)</f>
        <v>1</v>
      </c>
      <c r="E35" s="22">
        <f t="shared" si="9"/>
        <v>1090900</v>
      </c>
      <c r="F35" s="13">
        <f>SUMIFS('ครุภัณฑ์ 68'!G:G,'ครุภัณฑ์ 68'!C:C,"ยานพาหนะและขนส่ง",'ครุภัณฑ์ 68'!E:E,B35)</f>
        <v>1358000</v>
      </c>
      <c r="G35" s="13">
        <f>SUMIFS('ครุภัณฑ์ 68'!F:F,'ครุภัณฑ์ 68'!C:C,"ยานพาหนะและขนส่ง",'ครุภัณฑ์ 68'!E:E,B35)</f>
        <v>1</v>
      </c>
      <c r="H35" s="13">
        <f t="shared" si="5"/>
        <v>1358000</v>
      </c>
      <c r="I35" s="68">
        <f>SUMIFS('ครุภัณฑ์ 69'!G:G,'ครุภัณฑ์ 69'!C:C,"ยานพาหนะและขนส่ง",'ครุภัณฑ์ 69'!E:E,B35)</f>
        <v>0</v>
      </c>
      <c r="J35" s="68">
        <f>SUMIFS('ครุภัณฑ์ 69'!F:F,'ครุภัณฑ์ 69'!C:C,"ยานพาหนะและขนส่ง",'ครุภัณฑ์ 69'!E:E,B35)</f>
        <v>0</v>
      </c>
      <c r="K35" s="68">
        <f t="shared" si="6"/>
        <v>0</v>
      </c>
      <c r="L35" s="69">
        <f>SUMIFS('รวมครุภัณฑ์ 70'!L:L,'รวมครุภัณฑ์ 70'!C:C,"ครุภัณฑ์ยานพาหนะและขนส่ง",'รวมครุภัณฑ์ 70'!H:H,B35)</f>
        <v>0</v>
      </c>
      <c r="M35" s="69">
        <f>SUMIFS('รวมครุภัณฑ์ 70'!Q:Q,'รวมครุภัณฑ์ 70'!C:C,"ครุภัณฑ์ยานพาหนะและขนส่ง",'รวมครุภัณฑ์ 70'!H:H,B35)</f>
        <v>0</v>
      </c>
      <c r="N35" s="69">
        <f>SUMIFS('รวมครุภัณฑ์ 70'!R:R,'รวมครุภัณฑ์ 70'!C:C,"ครุภัณฑ์ยานพาหนะและขนส่ง",'รวมครุภัณฑ์ 70'!H:H,B35)</f>
        <v>0</v>
      </c>
      <c r="O35" s="69">
        <f t="shared" si="7"/>
        <v>0</v>
      </c>
      <c r="P35" s="69">
        <f t="shared" si="8"/>
        <v>0</v>
      </c>
      <c r="Q35" s="70"/>
    </row>
    <row r="36" spans="1:19" ht="21">
      <c r="A36" s="71" t="s">
        <v>278</v>
      </c>
      <c r="B36" s="67" t="s">
        <v>280</v>
      </c>
      <c r="C36" s="22">
        <f>SUMIFS('ครุภัณฑ์ 67'!G:G,'ครุภัณฑ์ 67'!C:C,"ยานพาหนะและขนส่ง",'ครุภัณฑ์ 67'!E:E,B36)</f>
        <v>0</v>
      </c>
      <c r="D36" s="75">
        <f>SUMIFS('ครุภัณฑ์ 67'!F:F,'ครุภัณฑ์ 67'!C:C,"ยานพาหนะและขนส่ง",'ครุภัณฑ์ 67'!E:E,B36)</f>
        <v>0</v>
      </c>
      <c r="E36" s="22">
        <f t="shared" si="9"/>
        <v>0</v>
      </c>
      <c r="F36" s="13">
        <f>SUMIFS('ครุภัณฑ์ 68'!G:G,'ครุภัณฑ์ 68'!C:C,"ยานพาหนะและขนส่ง",'ครุภัณฑ์ 68'!E:E,B36)</f>
        <v>0</v>
      </c>
      <c r="G36" s="13">
        <f>SUMIFS('ครุภัณฑ์ 68'!F:F,'ครุภัณฑ์ 68'!C:C,"ยานพาหนะและขนส่ง",'ครุภัณฑ์ 68'!E:E,B36)</f>
        <v>0</v>
      </c>
      <c r="H36" s="13">
        <f t="shared" si="5"/>
        <v>0</v>
      </c>
      <c r="I36" s="68">
        <f>SUMIFS('ครุภัณฑ์ 69'!G:G,'ครุภัณฑ์ 69'!C:C,"ยานพาหนะและขนส่ง",'ครุภัณฑ์ 69'!E:E,B36)</f>
        <v>0</v>
      </c>
      <c r="J36" s="68">
        <f>SUMIFS('ครุภัณฑ์ 69'!F:F,'ครุภัณฑ์ 69'!C:C,"ยานพาหนะและขนส่ง",'ครุภัณฑ์ 69'!E:E,B36)</f>
        <v>0</v>
      </c>
      <c r="K36" s="68">
        <f t="shared" si="6"/>
        <v>0</v>
      </c>
      <c r="L36" s="69">
        <f>SUMIFS('รวมครุภัณฑ์ 70'!L:L,'รวมครุภัณฑ์ 70'!C:C,"ครุภัณฑ์ยานพาหนะและขนส่ง",'รวมครุภัณฑ์ 70'!H:H,B36)</f>
        <v>2871900</v>
      </c>
      <c r="M36" s="69">
        <f>SUMIFS('รวมครุภัณฑ์ 70'!Q:Q,'รวมครุภัณฑ์ 70'!C:C,"ครุภัณฑ์ยานพาหนะและขนส่ง",'รวมครุภัณฑ์ 70'!H:H,B36)</f>
        <v>1</v>
      </c>
      <c r="N36" s="69">
        <f>SUMIFS('รวมครุภัณฑ์ 70'!R:R,'รวมครุภัณฑ์ 70'!C:C,"ครุภัณฑ์ยานพาหนะและขนส่ง",'รวมครุภัณฑ์ 70'!H:H,B36)</f>
        <v>1</v>
      </c>
      <c r="O36" s="69">
        <f t="shared" si="7"/>
        <v>2</v>
      </c>
      <c r="P36" s="69">
        <f t="shared" si="8"/>
        <v>2871900</v>
      </c>
      <c r="Q36" s="70"/>
    </row>
    <row r="37" spans="1:19" ht="21">
      <c r="A37" s="71" t="s">
        <v>441</v>
      </c>
      <c r="B37" s="67" t="s">
        <v>457</v>
      </c>
      <c r="C37" s="22">
        <f>SUMIFS('ครุภัณฑ์ 67'!G:G,'ครุภัณฑ์ 67'!C:C,"ยานพาหนะและขนส่ง",'ครุภัณฑ์ 67'!E:E,B37)</f>
        <v>0</v>
      </c>
      <c r="D37" s="75">
        <f>SUMIFS('ครุภัณฑ์ 67'!F:F,'ครุภัณฑ์ 67'!C:C,"ยานพาหนะและขนส่ง",'ครุภัณฑ์ 67'!E:E,B37)</f>
        <v>0</v>
      </c>
      <c r="E37" s="22">
        <f t="shared" si="9"/>
        <v>0</v>
      </c>
      <c r="F37" s="13">
        <f>SUMIFS('ครุภัณฑ์ 68'!G:G,'ครุภัณฑ์ 68'!C:C,"ยานพาหนะและขนส่ง",'ครุภัณฑ์ 68'!E:E,B37)</f>
        <v>0</v>
      </c>
      <c r="G37" s="13">
        <f>SUMIFS('ครุภัณฑ์ 68'!F:F,'ครุภัณฑ์ 68'!C:C,"ยานพาหนะและขนส่ง",'ครุภัณฑ์ 68'!E:E,B37)</f>
        <v>0</v>
      </c>
      <c r="H37" s="13">
        <f t="shared" si="5"/>
        <v>0</v>
      </c>
      <c r="I37" s="68">
        <f>SUMIFS('ครุภัณฑ์ 69'!G:G,'ครุภัณฑ์ 69'!C:C,"ยานพาหนะและขนส่ง",'ครุภัณฑ์ 69'!E:E,B37)</f>
        <v>0</v>
      </c>
      <c r="J37" s="68">
        <f>SUMIFS('ครุภัณฑ์ 69'!F:F,'ครุภัณฑ์ 69'!C:C,"ยานพาหนะและขนส่ง",'ครุภัณฑ์ 69'!E:E,B37)</f>
        <v>0</v>
      </c>
      <c r="K37" s="68">
        <f t="shared" si="6"/>
        <v>0</v>
      </c>
      <c r="L37" s="69">
        <f>SUMIFS('รวมครุภัณฑ์ 70'!L:L,'รวมครุภัณฑ์ 70'!C:C,"ครุภัณฑ์ยานพาหนะและขนส่ง",'รวมครุภัณฑ์ 70'!H:H,B37)</f>
        <v>1498000</v>
      </c>
      <c r="M37" s="69">
        <f>SUMIFS('รวมครุภัณฑ์ 70'!Q:Q,'รวมครุภัณฑ์ 70'!C:C,"ครุภัณฑ์ยานพาหนะและขนส่ง",'รวมครุภัณฑ์ 70'!H:H,B37)</f>
        <v>1</v>
      </c>
      <c r="N37" s="69">
        <f>SUMIFS('รวมครุภัณฑ์ 70'!R:R,'รวมครุภัณฑ์ 70'!C:C,"ครุภัณฑ์ยานพาหนะและขนส่ง",'รวมครุภัณฑ์ 70'!H:H,B37)</f>
        <v>0</v>
      </c>
      <c r="O37" s="69">
        <f t="shared" si="7"/>
        <v>1</v>
      </c>
      <c r="P37" s="69">
        <f t="shared" si="8"/>
        <v>1498000</v>
      </c>
      <c r="Q37" s="70"/>
    </row>
    <row r="38" spans="1:19" ht="21">
      <c r="A38" s="71" t="s">
        <v>237</v>
      </c>
      <c r="B38" s="67" t="s">
        <v>239</v>
      </c>
      <c r="C38" s="22">
        <f>SUMIFS('ครุภัณฑ์ 67'!G:G,'ครุภัณฑ์ 67'!C:C,"ยานพาหนะและขนส่ง",'ครุภัณฑ์ 67'!E:E,B38)</f>
        <v>0</v>
      </c>
      <c r="D38" s="75">
        <f>SUMIFS('ครุภัณฑ์ 67'!F:F,'ครุภัณฑ์ 67'!C:C,"ยานพาหนะและขนส่ง",'ครุภัณฑ์ 67'!E:E,B38)</f>
        <v>0</v>
      </c>
      <c r="E38" s="22">
        <f t="shared" si="9"/>
        <v>0</v>
      </c>
      <c r="F38" s="13">
        <f>SUMIFS('ครุภัณฑ์ 68'!G:G,'ครุภัณฑ์ 68'!C:C,"ยานพาหนะและขนส่ง",'ครุภัณฑ์ 68'!E:E,B38)</f>
        <v>1940900</v>
      </c>
      <c r="G38" s="13">
        <f>SUMIFS('ครุภัณฑ์ 68'!F:F,'ครุภัณฑ์ 68'!C:C,"ยานพาหนะและขนส่ง",'ครุภัณฑ์ 68'!E:E,B38)</f>
        <v>2</v>
      </c>
      <c r="H38" s="13">
        <f t="shared" si="5"/>
        <v>1940900</v>
      </c>
      <c r="I38" s="68">
        <f>SUMIFS('ครุภัณฑ์ 69'!G:G,'ครุภัณฑ์ 69'!C:C,"ยานพาหนะและขนส่ง",'ครุภัณฑ์ 69'!E:E,B38)</f>
        <v>0</v>
      </c>
      <c r="J38" s="68">
        <f>SUMIFS('ครุภัณฑ์ 69'!F:F,'ครุภัณฑ์ 69'!C:C,"ยานพาหนะและขนส่ง",'ครุภัณฑ์ 69'!E:E,B38)</f>
        <v>0</v>
      </c>
      <c r="K38" s="68">
        <f t="shared" si="6"/>
        <v>0</v>
      </c>
      <c r="L38" s="69">
        <f>SUMIFS('รวมครุภัณฑ์ 70'!L:L,'รวมครุภัณฑ์ 70'!C:C,"ครุภัณฑ์ยานพาหนะและขนส่ง",'รวมครุภัณฑ์ 70'!H:H,B38)</f>
        <v>0</v>
      </c>
      <c r="M38" s="69">
        <f>SUMIFS('รวมครุภัณฑ์ 70'!Q:Q,'รวมครุภัณฑ์ 70'!C:C,"ครุภัณฑ์ยานพาหนะและขนส่ง",'รวมครุภัณฑ์ 70'!H:H,B38)</f>
        <v>0</v>
      </c>
      <c r="N38" s="69">
        <f>SUMIFS('รวมครุภัณฑ์ 70'!R:R,'รวมครุภัณฑ์ 70'!C:C,"ครุภัณฑ์ยานพาหนะและขนส่ง",'รวมครุภัณฑ์ 70'!H:H,B38)</f>
        <v>0</v>
      </c>
      <c r="O38" s="69">
        <f t="shared" si="7"/>
        <v>0</v>
      </c>
      <c r="P38" s="69">
        <f t="shared" si="8"/>
        <v>0</v>
      </c>
      <c r="Q38" s="70"/>
    </row>
    <row r="39" spans="1:19" ht="21">
      <c r="A39" s="71" t="s">
        <v>241</v>
      </c>
      <c r="B39" s="67" t="s">
        <v>243</v>
      </c>
      <c r="C39" s="22">
        <f>SUMIFS('ครุภัณฑ์ 67'!G:G,'ครุภัณฑ์ 67'!C:C,"ยานพาหนะและขนส่ง",'ครุภัณฑ์ 67'!E:E,B39)</f>
        <v>0</v>
      </c>
      <c r="D39" s="75">
        <f>SUMIFS('ครุภัณฑ์ 67'!F:F,'ครุภัณฑ์ 67'!C:C,"ยานพาหนะและขนส่ง",'ครุภัณฑ์ 67'!E:E,B39)</f>
        <v>0</v>
      </c>
      <c r="E39" s="22">
        <f t="shared" si="9"/>
        <v>0</v>
      </c>
      <c r="F39" s="13">
        <f>SUMIFS('ครุภัณฑ์ 68'!G:G,'ครุภัณฑ์ 68'!C:C,"ยานพาหนะและขนส่ง",'ครุภัณฑ์ 68'!E:E,B39)</f>
        <v>885900</v>
      </c>
      <c r="G39" s="13">
        <f>SUMIFS('ครุภัณฑ์ 68'!F:F,'ครุภัณฑ์ 68'!C:C,"ยานพาหนะและขนส่ง",'ครุภัณฑ์ 68'!E:E,B39)</f>
        <v>1</v>
      </c>
      <c r="H39" s="13">
        <f t="shared" si="5"/>
        <v>885900</v>
      </c>
      <c r="I39" s="68">
        <f>SUMIFS('ครุภัณฑ์ 69'!G:G,'ครุภัณฑ์ 69'!C:C,"ยานพาหนะและขนส่ง",'ครุภัณฑ์ 69'!E:E,B39)</f>
        <v>0</v>
      </c>
      <c r="J39" s="68">
        <f>SUMIFS('ครุภัณฑ์ 69'!F:F,'ครุภัณฑ์ 69'!C:C,"ยานพาหนะและขนส่ง",'ครุภัณฑ์ 69'!E:E,B39)</f>
        <v>0</v>
      </c>
      <c r="K39" s="68">
        <f t="shared" si="6"/>
        <v>0</v>
      </c>
      <c r="L39" s="69">
        <f>SUMIFS('รวมครุภัณฑ์ 70'!L:L,'รวมครุภัณฑ์ 70'!C:C,"ครุภัณฑ์ยานพาหนะและขนส่ง",'รวมครุภัณฑ์ 70'!H:H,B39)</f>
        <v>1498000</v>
      </c>
      <c r="M39" s="69">
        <f>SUMIFS('รวมครุภัณฑ์ 70'!Q:Q,'รวมครุภัณฑ์ 70'!C:C,"ครุภัณฑ์ยานพาหนะและขนส่ง",'รวมครุภัณฑ์ 70'!H:H,B39)</f>
        <v>1</v>
      </c>
      <c r="N39" s="69">
        <f>SUMIFS('รวมครุภัณฑ์ 70'!R:R,'รวมครุภัณฑ์ 70'!C:C,"ครุภัณฑ์ยานพาหนะและขนส่ง",'รวมครุภัณฑ์ 70'!H:H,B39)</f>
        <v>0</v>
      </c>
      <c r="O39" s="69">
        <f t="shared" si="7"/>
        <v>1</v>
      </c>
      <c r="P39" s="69">
        <f t="shared" si="8"/>
        <v>1498000</v>
      </c>
      <c r="Q39" s="70"/>
    </row>
    <row r="40" spans="1:19" ht="21">
      <c r="A40" s="71" t="s">
        <v>57</v>
      </c>
      <c r="B40" s="67" t="s">
        <v>59</v>
      </c>
      <c r="C40" s="22">
        <f>SUMIFS('ครุภัณฑ์ 67'!G:G,'ครุภัณฑ์ 67'!C:C,"ยานพาหนะและขนส่ง",'ครุภัณฑ์ 67'!E:E,B40)</f>
        <v>0</v>
      </c>
      <c r="D40" s="75">
        <f>SUMIFS('ครุภัณฑ์ 67'!F:F,'ครุภัณฑ์ 67'!C:C,"ยานพาหนะและขนส่ง",'ครุภัณฑ์ 67'!E:E,B40)</f>
        <v>0</v>
      </c>
      <c r="E40" s="22">
        <f t="shared" si="9"/>
        <v>0</v>
      </c>
      <c r="F40" s="13">
        <f>SUMIFS('ครุภัณฑ์ 68'!G:G,'ครุภัณฑ์ 68'!C:C,"ยานพาหนะและขนส่ง",'ครุภัณฑ์ 68'!E:E,B40)</f>
        <v>0</v>
      </c>
      <c r="G40" s="13">
        <f>SUMIFS('ครุภัณฑ์ 68'!F:F,'ครุภัณฑ์ 68'!C:C,"ยานพาหนะและขนส่ง",'ครุภัณฑ์ 68'!E:E,B40)</f>
        <v>0</v>
      </c>
      <c r="H40" s="13">
        <f t="shared" si="5"/>
        <v>0</v>
      </c>
      <c r="I40" s="68">
        <f>SUMIFS('ครุภัณฑ์ 69'!G:G,'ครุภัณฑ์ 69'!C:C,"ยานพาหนะและขนส่ง",'ครุภัณฑ์ 69'!E:E,B40)</f>
        <v>970900</v>
      </c>
      <c r="J40" s="68">
        <f>SUMIFS('ครุภัณฑ์ 69'!F:F,'ครุภัณฑ์ 69'!C:C,"ยานพาหนะและขนส่ง",'ครุภัณฑ์ 69'!E:E,B40)</f>
        <v>1</v>
      </c>
      <c r="K40" s="68">
        <f t="shared" si="6"/>
        <v>970900</v>
      </c>
      <c r="L40" s="69">
        <f>SUMIFS('รวมครุภัณฑ์ 70'!L:L,'รวมครุภัณฑ์ 70'!C:C,"ครุภัณฑ์ยานพาหนะและขนส่ง",'รวมครุภัณฑ์ 70'!H:H,B40)</f>
        <v>0</v>
      </c>
      <c r="M40" s="69">
        <f>SUMIFS('รวมครุภัณฑ์ 70'!Q:Q,'รวมครุภัณฑ์ 70'!C:C,"ครุภัณฑ์ยานพาหนะและขนส่ง",'รวมครุภัณฑ์ 70'!H:H,B40)</f>
        <v>0</v>
      </c>
      <c r="N40" s="69">
        <f>SUMIFS('รวมครุภัณฑ์ 70'!R:R,'รวมครุภัณฑ์ 70'!C:C,"ครุภัณฑ์ยานพาหนะและขนส่ง",'รวมครุภัณฑ์ 70'!H:H,B40)</f>
        <v>0</v>
      </c>
      <c r="O40" s="69">
        <f t="shared" si="7"/>
        <v>0</v>
      </c>
      <c r="P40" s="69">
        <f t="shared" si="8"/>
        <v>0</v>
      </c>
      <c r="Q40" s="70"/>
    </row>
    <row r="41" spans="1:19" ht="21">
      <c r="A41" s="71" t="s">
        <v>440</v>
      </c>
      <c r="B41" s="67" t="s">
        <v>458</v>
      </c>
      <c r="C41" s="22">
        <f>SUMIFS('ครุภัณฑ์ 67'!G:G,'ครุภัณฑ์ 67'!C:C,"ยานพาหนะและขนส่ง",'ครุภัณฑ์ 67'!E:E,B41)</f>
        <v>0</v>
      </c>
      <c r="D41" s="75">
        <f>SUMIFS('ครุภัณฑ์ 67'!F:F,'ครุภัณฑ์ 67'!C:C,"ยานพาหนะและขนส่ง",'ครุภัณฑ์ 67'!E:E,B41)</f>
        <v>0</v>
      </c>
      <c r="E41" s="22">
        <f t="shared" si="9"/>
        <v>0</v>
      </c>
      <c r="F41" s="13">
        <f>SUMIFS('ครุภัณฑ์ 68'!G:G,'ครุภัณฑ์ 68'!C:C,"ยานพาหนะและขนส่ง",'ครุภัณฑ์ 68'!E:E,B41)</f>
        <v>0</v>
      </c>
      <c r="G41" s="13">
        <f>SUMIFS('ครุภัณฑ์ 68'!F:F,'ครุภัณฑ์ 68'!C:C,"ยานพาหนะและขนส่ง",'ครุภัณฑ์ 68'!E:E,B41)</f>
        <v>0</v>
      </c>
      <c r="H41" s="13">
        <f t="shared" si="5"/>
        <v>0</v>
      </c>
      <c r="I41" s="68">
        <f>SUMIFS('ครุภัณฑ์ 69'!G:G,'ครุภัณฑ์ 69'!C:C,"ยานพาหนะและขนส่ง",'ครุภัณฑ์ 69'!E:E,B41)</f>
        <v>0</v>
      </c>
      <c r="J41" s="68">
        <f>SUMIFS('ครุภัณฑ์ 69'!F:F,'ครุภัณฑ์ 69'!C:C,"ยานพาหนะและขนส่ง",'ครุภัณฑ์ 69'!E:E,B41)</f>
        <v>0</v>
      </c>
      <c r="K41" s="68">
        <f t="shared" si="6"/>
        <v>0</v>
      </c>
      <c r="L41" s="69">
        <f>SUMIFS('รวมครุภัณฑ์ 70'!L:L,'รวมครุภัณฑ์ 70'!C:C,"ครุภัณฑ์ยานพาหนะและขนส่ง",'รวมครุภัณฑ์ 70'!H:H,B41)</f>
        <v>970900</v>
      </c>
      <c r="M41" s="69">
        <f>SUMIFS('รวมครุภัณฑ์ 70'!Q:Q,'รวมครุภัณฑ์ 70'!C:C,"ครุภัณฑ์ยานพาหนะและขนส่ง",'รวมครุภัณฑ์ 70'!H:H,B41)</f>
        <v>1</v>
      </c>
      <c r="N41" s="69">
        <f>SUMIFS('รวมครุภัณฑ์ 70'!R:R,'รวมครุภัณฑ์ 70'!C:C,"ครุภัณฑ์ยานพาหนะและขนส่ง",'รวมครุภัณฑ์ 70'!H:H,B41)</f>
        <v>0</v>
      </c>
      <c r="O41" s="69">
        <f t="shared" si="7"/>
        <v>1</v>
      </c>
      <c r="P41" s="69">
        <f t="shared" si="8"/>
        <v>970900</v>
      </c>
      <c r="Q41" s="70"/>
    </row>
    <row r="42" spans="1:19" ht="21">
      <c r="A42" s="71" t="s">
        <v>60</v>
      </c>
      <c r="B42" s="67" t="s">
        <v>62</v>
      </c>
      <c r="C42" s="22">
        <f>SUMIFS('ครุภัณฑ์ 67'!G:G,'ครุภัณฑ์ 67'!C:C,"ยานพาหนะและขนส่ง",'ครุภัณฑ์ 67'!E:E,B42)</f>
        <v>0</v>
      </c>
      <c r="D42" s="75">
        <f>SUMIFS('ครุภัณฑ์ 67'!F:F,'ครุภัณฑ์ 67'!C:C,"ยานพาหนะและขนส่ง",'ครุภัณฑ์ 67'!E:E,B42)</f>
        <v>0</v>
      </c>
      <c r="E42" s="22">
        <f t="shared" si="9"/>
        <v>0</v>
      </c>
      <c r="F42" s="13">
        <f>SUMIFS('ครุภัณฑ์ 68'!G:G,'ครุภัณฑ์ 68'!C:C,"ยานพาหนะและขนส่ง",'ครุภัณฑ์ 68'!E:E,B42)</f>
        <v>0</v>
      </c>
      <c r="G42" s="13">
        <f>SUMIFS('ครุภัณฑ์ 68'!F:F,'ครุภัณฑ์ 68'!C:C,"ยานพาหนะและขนส่ง",'ครุภัณฑ์ 68'!E:E,B42)</f>
        <v>0</v>
      </c>
      <c r="H42" s="13">
        <f t="shared" si="5"/>
        <v>0</v>
      </c>
      <c r="I42" s="68">
        <f>SUMIFS('ครุภัณฑ์ 69'!G:G,'ครุภัณฑ์ 69'!C:C,"ยานพาหนะและขนส่ง",'ครุภัณฑ์ 69'!E:E,B42)</f>
        <v>0</v>
      </c>
      <c r="J42" s="68">
        <f>SUMIFS('ครุภัณฑ์ 69'!F:F,'ครุภัณฑ์ 69'!C:C,"ยานพาหนะและขนส่ง",'ครุภัณฑ์ 69'!E:E,B42)</f>
        <v>0</v>
      </c>
      <c r="K42" s="68">
        <f t="shared" si="6"/>
        <v>0</v>
      </c>
      <c r="L42" s="69">
        <f>SUMIFS('รวมครุภัณฑ์ 70'!L:L,'รวมครุภัณฑ์ 70'!C:C,"ครุภัณฑ์ยานพาหนะและขนส่ง",'รวมครุภัณฑ์ 70'!H:H,B42)</f>
        <v>1498000</v>
      </c>
      <c r="M42" s="69">
        <f>SUMIFS('รวมครุภัณฑ์ 70'!Q:Q,'รวมครุภัณฑ์ 70'!C:C,"ครุภัณฑ์ยานพาหนะและขนส่ง",'รวมครุภัณฑ์ 70'!H:H,B42)</f>
        <v>1</v>
      </c>
      <c r="N42" s="69">
        <f>SUMIFS('รวมครุภัณฑ์ 70'!R:R,'รวมครุภัณฑ์ 70'!C:C,"ครุภัณฑ์ยานพาหนะและขนส่ง",'รวมครุภัณฑ์ 70'!H:H,B42)</f>
        <v>0</v>
      </c>
      <c r="O42" s="69">
        <f t="shared" si="7"/>
        <v>1</v>
      </c>
      <c r="P42" s="69">
        <f t="shared" si="8"/>
        <v>1498000</v>
      </c>
      <c r="Q42" s="70"/>
    </row>
    <row r="43" spans="1:19" ht="21">
      <c r="A43" s="179" t="s">
        <v>11</v>
      </c>
      <c r="B43" s="179"/>
      <c r="C43" s="179"/>
      <c r="D43" s="179"/>
      <c r="E43" s="179"/>
      <c r="F43" s="179"/>
      <c r="G43" s="179"/>
      <c r="H43" s="179"/>
      <c r="I43" s="179"/>
      <c r="J43" s="179"/>
      <c r="K43" s="179"/>
      <c r="L43" s="179"/>
      <c r="M43" s="179"/>
      <c r="N43" s="179"/>
      <c r="O43" s="179"/>
      <c r="P43" s="179"/>
      <c r="Q43" s="70"/>
    </row>
    <row r="44" spans="1:19" ht="21">
      <c r="A44" s="71" t="s">
        <v>64</v>
      </c>
      <c r="B44" s="67" t="s">
        <v>66</v>
      </c>
      <c r="C44" s="22">
        <f>SUMIFS('ครุภัณฑ์ 67'!G:G,'ครุภัณฑ์ 67'!C:C,"ยานพาหนะและขนส่ง",'ครุภัณฑ์ 67'!E:E,B44)</f>
        <v>2749000</v>
      </c>
      <c r="D44" s="75">
        <f>SUMIFS('ครุภัณฑ์ 67'!F:F,'ครุภัณฑ์ 67'!C:C,"ยานพาหนะและขนส่ง",'ครุภัณฑ์ 67'!E:E,B44)</f>
        <v>1</v>
      </c>
      <c r="E44" s="22">
        <f>C44</f>
        <v>2749000</v>
      </c>
      <c r="F44" s="13">
        <f>SUMIFS('ครุภัณฑ์ 68'!G:G,'ครุภัณฑ์ 68'!C:C,"ยานพาหนะและขนส่ง",'ครุภัณฑ์ 68'!E:E,B44)</f>
        <v>0</v>
      </c>
      <c r="G44" s="13">
        <f>SUMIFS('ครุภัณฑ์ 68'!F:F,'ครุภัณฑ์ 68'!C:C,"ยานพาหนะและขนส่ง",'ครุภัณฑ์ 68'!E:E,B44)</f>
        <v>0</v>
      </c>
      <c r="H44" s="13">
        <f>F44</f>
        <v>0</v>
      </c>
      <c r="I44" s="68">
        <f>SUMIFS('ครุภัณฑ์ 69'!G:G,'ครุภัณฑ์ 69'!C:C,"ยานพาหนะและขนส่ง",'ครุภัณฑ์ 69'!E:E,B44)</f>
        <v>1836000</v>
      </c>
      <c r="J44" s="68">
        <f>SUMIFS('ครุภัณฑ์ 69'!F:F,'ครุภัณฑ์ 69'!C:C,"ยานพาหนะและขนส่ง",'ครุภัณฑ์ 69'!E:E,B44)</f>
        <v>2</v>
      </c>
      <c r="K44" s="68">
        <f>I44</f>
        <v>1836000</v>
      </c>
      <c r="L44" s="69">
        <f>SUMIFS('รวมครุภัณฑ์ 70'!L:L,'รวมครุภัณฑ์ 70'!C:C,"ครุภัณฑ์ยานพาหนะและขนส่ง",'รวมครุภัณฑ์ 70'!H:H,B44)</f>
        <v>9522000</v>
      </c>
      <c r="M44" s="73">
        <f>SUMIFS('รวมครุภัณฑ์ 70'!Q:Q,'รวมครุภัณฑ์ 70'!C:C,"ครุภัณฑ์ยานพาหนะและขนส่ง",'รวมครุภัณฑ์ 70'!H:H,B44)</f>
        <v>6</v>
      </c>
      <c r="N44" s="73">
        <f>SUMIFS('รวมครุภัณฑ์ 70'!R:R,'รวมครุภัณฑ์ 70'!C:C,"ครุภัณฑ์ยานพาหนะและขนส่ง",'รวมครุภัณฑ์ 70'!H:H,B44)</f>
        <v>0</v>
      </c>
      <c r="O44" s="73">
        <f>M44+N44</f>
        <v>6</v>
      </c>
      <c r="P44" s="69">
        <f>L44</f>
        <v>9522000</v>
      </c>
      <c r="Q44" s="72">
        <f>SUM(L44:L95)</f>
        <v>54641100</v>
      </c>
      <c r="S44" s="62"/>
    </row>
    <row r="45" spans="1:19" ht="21">
      <c r="A45" s="71" t="s">
        <v>64</v>
      </c>
      <c r="B45" s="67" t="s">
        <v>70</v>
      </c>
      <c r="C45" s="22">
        <f>SUMIFS('ครุภัณฑ์ 67'!G:G,'ครุภัณฑ์ 67'!C:C,"ยานพาหนะและขนส่ง",'ครุภัณฑ์ 67'!E:E,B45)</f>
        <v>0</v>
      </c>
      <c r="D45" s="75">
        <f>SUMIFS('ครุภัณฑ์ 67'!F:F,'ครุภัณฑ์ 67'!C:C,"ยานพาหนะและขนส่ง",'ครุภัณฑ์ 67'!E:E,B45)</f>
        <v>0</v>
      </c>
      <c r="E45" s="22">
        <f>C45</f>
        <v>0</v>
      </c>
      <c r="F45" s="13">
        <f>SUMIFS('ครุภัณฑ์ 68'!G:G,'ครุภัณฑ์ 68'!C:C,"ยานพาหนะและขนส่ง",'ครุภัณฑ์ 68'!E:E,B45)</f>
        <v>0</v>
      </c>
      <c r="G45" s="13">
        <f>SUMIFS('ครุภัณฑ์ 68'!F:F,'ครุภัณฑ์ 68'!C:C,"ยานพาหนะและขนส่ง",'ครุภัณฑ์ 68'!E:E,B45)</f>
        <v>0</v>
      </c>
      <c r="H45" s="13">
        <f t="shared" ref="H45:H95" si="10">F45</f>
        <v>0</v>
      </c>
      <c r="I45" s="68">
        <f>SUMIFS('ครุภัณฑ์ 69'!G:G,'ครุภัณฑ์ 69'!C:C,"ยานพาหนะและขนส่ง",'ครุภัณฑ์ 69'!E:E,B45)</f>
        <v>918000</v>
      </c>
      <c r="J45" s="68">
        <f>SUMIFS('ครุภัณฑ์ 69'!F:F,'ครุภัณฑ์ 69'!C:C,"ยานพาหนะและขนส่ง",'ครุภัณฑ์ 69'!E:E,B45)</f>
        <v>1</v>
      </c>
      <c r="K45" s="68">
        <f t="shared" ref="K45:K95" si="11">I45</f>
        <v>918000</v>
      </c>
      <c r="L45" s="69">
        <f>SUMIFS('รวมครุภัณฑ์ 70'!L:L,'รวมครุภัณฑ์ 70'!C:C,"ครุภัณฑ์ยานพาหนะและขนส่ง",'รวมครุภัณฑ์ 70'!H:H,B45)</f>
        <v>5701900</v>
      </c>
      <c r="M45" s="73">
        <f>SUMIFS('รวมครุภัณฑ์ 70'!Q:Q,'รวมครุภัณฑ์ 70'!C:C,"ครุภัณฑ์ยานพาหนะและขนส่ง",'รวมครุภัณฑ์ 70'!H:H,B45)</f>
        <v>5</v>
      </c>
      <c r="N45" s="73">
        <f>SUMIFS('รวมครุภัณฑ์ 70'!R:R,'รวมครุภัณฑ์ 70'!C:C,"ครุภัณฑ์ยานพาหนะและขนส่ง",'รวมครุภัณฑ์ 70'!H:H,B45)</f>
        <v>0</v>
      </c>
      <c r="O45" s="73">
        <f t="shared" ref="O45:O95" si="12">M45+N45</f>
        <v>5</v>
      </c>
      <c r="P45" s="69">
        <f t="shared" ref="P45:P95" si="13">L45</f>
        <v>5701900</v>
      </c>
      <c r="Q45" s="72" t="e">
        <f>SUM(#REF!)</f>
        <v>#REF!</v>
      </c>
    </row>
    <row r="46" spans="1:19" ht="21">
      <c r="A46" s="71" t="s">
        <v>64</v>
      </c>
      <c r="B46" s="67" t="s">
        <v>448</v>
      </c>
      <c r="C46" s="22">
        <f>SUMIFS('ครุภัณฑ์ 67'!G:G,'ครุภัณฑ์ 67'!C:C,"ยานพาหนะและขนส่ง",'ครุภัณฑ์ 67'!E:E,B46)</f>
        <v>21326000</v>
      </c>
      <c r="D46" s="75">
        <f>SUMIFS('ครุภัณฑ์ 67'!F:F,'ครุภัณฑ์ 67'!C:C,"ยานพาหนะและขนส่ง",'ครุภัณฑ์ 67'!E:E,B46)</f>
        <v>13</v>
      </c>
      <c r="E46" s="22">
        <f t="shared" ref="E46:E95" si="14">C46</f>
        <v>21326000</v>
      </c>
      <c r="F46" s="13">
        <f>SUMIFS('ครุภัณฑ์ 68'!G:G,'ครุภัณฑ์ 68'!C:C,"ยานพาหนะและขนส่ง",'ครุภัณฑ์ 68'!E:E,B46)</f>
        <v>0</v>
      </c>
      <c r="G46" s="13">
        <f>SUMIFS('ครุภัณฑ์ 68'!F:F,'ครุภัณฑ์ 68'!C:C,"ยานพาหนะและขนส่ง",'ครุภัณฑ์ 68'!E:E,B46)</f>
        <v>0</v>
      </c>
      <c r="H46" s="13">
        <f t="shared" si="10"/>
        <v>0</v>
      </c>
      <c r="I46" s="68">
        <f>SUMIFS('ครุภัณฑ์ 69'!G:G,'ครุภัณฑ์ 69'!C:C,"ยานพาหนะและขนส่ง",'ครุภัณฑ์ 69'!E:E,B46)</f>
        <v>0</v>
      </c>
      <c r="J46" s="68">
        <f>SUMIFS('ครุภัณฑ์ 69'!F:F,'ครุภัณฑ์ 69'!C:C,"ยานพาหนะและขนส่ง",'ครุภัณฑ์ 69'!E:E,B46)</f>
        <v>0</v>
      </c>
      <c r="K46" s="68">
        <f t="shared" si="11"/>
        <v>0</v>
      </c>
      <c r="L46" s="69">
        <f>SUMIFS('รวมครุภัณฑ์ 70'!L:L,'รวมครุภัณฑ์ 70'!C:C,"ครุภัณฑ์ยานพาหนะและขนส่ง",'รวมครุภัณฑ์ 70'!H:H,B46)</f>
        <v>10913900</v>
      </c>
      <c r="M46" s="73">
        <f>SUMIFS('รวมครุภัณฑ์ 70'!Q:Q,'รวมครุภัณฑ์ 70'!C:C,"ครุภัณฑ์ยานพาหนะและขนส่ง",'รวมครุภัณฑ์ 70'!H:H,B46)</f>
        <v>3</v>
      </c>
      <c r="N46" s="73">
        <f>SUMIFS('รวมครุภัณฑ์ 70'!R:R,'รวมครุภัณฑ์ 70'!C:C,"ครุภัณฑ์ยานพาหนะและขนส่ง",'รวมครุภัณฑ์ 70'!H:H,B46)</f>
        <v>3</v>
      </c>
      <c r="O46" s="73">
        <f t="shared" si="12"/>
        <v>6</v>
      </c>
      <c r="P46" s="69">
        <f>L46</f>
        <v>10913900</v>
      </c>
      <c r="Q46" s="72" t="e">
        <f>Q44+Q45</f>
        <v>#REF!</v>
      </c>
    </row>
    <row r="47" spans="1:19" ht="21">
      <c r="A47" s="71" t="s">
        <v>64</v>
      </c>
      <c r="B47" s="67" t="s">
        <v>245</v>
      </c>
      <c r="C47" s="22">
        <f>SUMIFS('ครุภัณฑ์ 67'!G:G,'ครุภัณฑ์ 67'!C:C,"ยานพาหนะและขนส่ง",'ครุภัณฑ์ 67'!E:E,B47)</f>
        <v>0</v>
      </c>
      <c r="D47" s="75">
        <f>SUMIFS('ครุภัณฑ์ 67'!F:F,'ครุภัณฑ์ 67'!C:C,"ยานพาหนะและขนส่ง",'ครุภัณฑ์ 67'!E:E,B47)</f>
        <v>0</v>
      </c>
      <c r="E47" s="22">
        <f t="shared" si="14"/>
        <v>0</v>
      </c>
      <c r="F47" s="13">
        <f>SUMIFS('ครุภัณฑ์ 68'!G:G,'ครุภัณฑ์ 68'!C:C,"ยานพาหนะและขนส่ง",'ครุภัณฑ์ 68'!E:E,B47)</f>
        <v>1358000</v>
      </c>
      <c r="G47" s="13">
        <f>SUMIFS('ครุภัณฑ์ 68'!F:F,'ครุภัณฑ์ 68'!C:C,"ยานพาหนะและขนส่ง",'ครุภัณฑ์ 68'!E:E,B47)</f>
        <v>1</v>
      </c>
      <c r="H47" s="13">
        <f t="shared" si="10"/>
        <v>1358000</v>
      </c>
      <c r="I47" s="68">
        <f>SUMIFS('ครุภัณฑ์ 69'!G:G,'ครุภัณฑ์ 69'!C:C,"ยานพาหนะและขนส่ง",'ครุภัณฑ์ 69'!E:E,B47)</f>
        <v>0</v>
      </c>
      <c r="J47" s="68">
        <f>SUMIFS('ครุภัณฑ์ 69'!F:F,'ครุภัณฑ์ 69'!C:C,"ยานพาหนะและขนส่ง",'ครุภัณฑ์ 69'!E:E,B47)</f>
        <v>0</v>
      </c>
      <c r="K47" s="68">
        <f t="shared" si="11"/>
        <v>0</v>
      </c>
      <c r="L47" s="69">
        <f>SUMIFS('รวมครุภัณฑ์ 70'!L:L,'รวมครุภัณฑ์ 70'!C:C,"ครุภัณฑ์ยานพาหนะและขนส่ง",'รวมครุภัณฑ์ 70'!H:H,B47)</f>
        <v>0</v>
      </c>
      <c r="M47" s="73">
        <f>SUMIFS('รวมครุภัณฑ์ 70'!Q:Q,'รวมครุภัณฑ์ 70'!C:C,"ครุภัณฑ์ยานพาหนะและขนส่ง",'รวมครุภัณฑ์ 70'!H:H,B47)</f>
        <v>0</v>
      </c>
      <c r="N47" s="73">
        <f>SUMIFS('รวมครุภัณฑ์ 70'!R:R,'รวมครุภัณฑ์ 70'!C:C,"ครุภัณฑ์ยานพาหนะและขนส่ง",'รวมครุภัณฑ์ 70'!H:H,B47)</f>
        <v>0</v>
      </c>
      <c r="O47" s="73">
        <f t="shared" si="12"/>
        <v>0</v>
      </c>
      <c r="P47" s="69">
        <f t="shared" si="13"/>
        <v>0</v>
      </c>
      <c r="Q47" s="70"/>
    </row>
    <row r="48" spans="1:19" ht="21">
      <c r="A48" s="71" t="s">
        <v>64</v>
      </c>
      <c r="B48" s="67" t="s">
        <v>69</v>
      </c>
      <c r="C48" s="22">
        <f>SUMIFS('ครุภัณฑ์ 67'!G:G,'ครุภัณฑ์ 67'!C:C,"ยานพาหนะและขนส่ง",'ครุภัณฑ์ 67'!E:E,B48)</f>
        <v>0</v>
      </c>
      <c r="D48" s="75">
        <f>SUMIFS('ครุภัณฑ์ 67'!F:F,'ครุภัณฑ์ 67'!C:C,"ยานพาหนะและขนส่ง",'ครุภัณฑ์ 67'!E:E,B48)</f>
        <v>0</v>
      </c>
      <c r="E48" s="22">
        <f t="shared" si="14"/>
        <v>0</v>
      </c>
      <c r="F48" s="13">
        <f>SUMIFS('ครุภัณฑ์ 68'!G:G,'ครุภัณฑ์ 68'!C:C,"ยานพาหนะและขนส่ง",'ครุภัณฑ์ 68'!E:E,B48)</f>
        <v>0</v>
      </c>
      <c r="G48" s="13">
        <f>SUMIFS('ครุภัณฑ์ 68'!F:F,'ครุภัณฑ์ 68'!C:C,"ยานพาหนะและขนส่ง",'ครุภัณฑ์ 68'!E:E,B48)</f>
        <v>0</v>
      </c>
      <c r="H48" s="13">
        <f t="shared" si="10"/>
        <v>0</v>
      </c>
      <c r="I48" s="68">
        <f>SUMIFS('ครุภัณฑ์ 69'!G:G,'ครุภัณฑ์ 69'!C:C,"ยานพาหนะและขนส่ง",'ครุภัณฑ์ 69'!E:E,B48)</f>
        <v>918000</v>
      </c>
      <c r="J48" s="68">
        <f>SUMIFS('ครุภัณฑ์ 69'!F:F,'ครุภัณฑ์ 69'!C:C,"ยานพาหนะและขนส่ง",'ครุภัณฑ์ 69'!E:E,B48)</f>
        <v>1</v>
      </c>
      <c r="K48" s="68">
        <f t="shared" si="11"/>
        <v>918000</v>
      </c>
      <c r="L48" s="69">
        <f>SUMIFS('รวมครุภัณฑ์ 70'!L:L,'รวมครุภัณฑ์ 70'!C:C,"ครุภัณฑ์ยานพาหนะและขนส่ง",'รวมครุภัณฑ์ 70'!H:H,B48)</f>
        <v>0</v>
      </c>
      <c r="M48" s="73">
        <f>SUMIFS('รวมครุภัณฑ์ 70'!Q:Q,'รวมครุภัณฑ์ 70'!C:C,"ครุภัณฑ์ยานพาหนะและขนส่ง",'รวมครุภัณฑ์ 70'!H:H,B48)</f>
        <v>0</v>
      </c>
      <c r="N48" s="73">
        <f>SUMIFS('รวมครุภัณฑ์ 70'!R:R,'รวมครุภัณฑ์ 70'!C:C,"ครุภัณฑ์ยานพาหนะและขนส่ง",'รวมครุภัณฑ์ 70'!H:H,B48)</f>
        <v>0</v>
      </c>
      <c r="O48" s="73">
        <f t="shared" si="12"/>
        <v>0</v>
      </c>
      <c r="P48" s="69">
        <f t="shared" si="13"/>
        <v>0</v>
      </c>
      <c r="Q48" s="70"/>
    </row>
    <row r="49" spans="1:17" ht="21">
      <c r="A49" s="71" t="s">
        <v>64</v>
      </c>
      <c r="B49" s="67" t="s">
        <v>460</v>
      </c>
      <c r="C49" s="22">
        <f>SUMIFS('ครุภัณฑ์ 67'!G:G,'ครุภัณฑ์ 67'!C:C,"ยานพาหนะและขนส่ง",'ครุภัณฑ์ 67'!E:E,B49)</f>
        <v>0</v>
      </c>
      <c r="D49" s="75">
        <f>SUMIFS('ครุภัณฑ์ 67'!F:F,'ครุภัณฑ์ 67'!C:C,"ยานพาหนะและขนส่ง",'ครุภัณฑ์ 67'!E:E,B49)</f>
        <v>0</v>
      </c>
      <c r="E49" s="22">
        <f t="shared" si="14"/>
        <v>0</v>
      </c>
      <c r="F49" s="13">
        <f>SUMIFS('ครุภัณฑ์ 68'!G:G,'ครุภัณฑ์ 68'!C:C,"ยานพาหนะและขนส่ง",'ครุภัณฑ์ 68'!E:E,B49)</f>
        <v>0</v>
      </c>
      <c r="G49" s="13">
        <f>SUMIFS('ครุภัณฑ์ 68'!F:F,'ครุภัณฑ์ 68'!C:C,"ยานพาหนะและขนส่ง",'ครุภัณฑ์ 68'!E:E,B49)</f>
        <v>0</v>
      </c>
      <c r="H49" s="13">
        <f t="shared" si="10"/>
        <v>0</v>
      </c>
      <c r="I49" s="68">
        <f>SUMIFS('ครุภัณฑ์ 69'!G:G,'ครุภัณฑ์ 69'!C:C,"ยานพาหนะและขนส่ง",'ครุภัณฑ์ 69'!E:E,B49)</f>
        <v>0</v>
      </c>
      <c r="J49" s="68">
        <f>SUMIFS('ครุภัณฑ์ 69'!F:F,'ครุภัณฑ์ 69'!C:C,"ยานพาหนะและขนส่ง",'ครุภัณฑ์ 69'!E:E,B49)</f>
        <v>0</v>
      </c>
      <c r="K49" s="68">
        <f t="shared" si="11"/>
        <v>0</v>
      </c>
      <c r="L49" s="69">
        <f>SUMIFS('รวมครุภัณฑ์ 70'!L:L,'รวมครุภัณฑ์ 70'!C:C,"ครุภัณฑ์ยานพาหนะและขนส่ง",'รวมครุภัณฑ์ 70'!H:H,B49)</f>
        <v>1498000</v>
      </c>
      <c r="M49" s="73">
        <f>SUMIFS('รวมครุภัณฑ์ 70'!Q:Q,'รวมครุภัณฑ์ 70'!C:C,"ครุภัณฑ์ยานพาหนะและขนส่ง",'รวมครุภัณฑ์ 70'!H:H,B49)</f>
        <v>1</v>
      </c>
      <c r="N49" s="73">
        <f>SUMIFS('รวมครุภัณฑ์ 70'!R:R,'รวมครุภัณฑ์ 70'!C:C,"ครุภัณฑ์ยานพาหนะและขนส่ง",'รวมครุภัณฑ์ 70'!H:H,B49)</f>
        <v>0</v>
      </c>
      <c r="O49" s="73">
        <f t="shared" si="12"/>
        <v>1</v>
      </c>
      <c r="P49" s="69">
        <f t="shared" si="13"/>
        <v>1498000</v>
      </c>
      <c r="Q49" s="70"/>
    </row>
    <row r="50" spans="1:17" ht="21">
      <c r="A50" s="71" t="s">
        <v>64</v>
      </c>
      <c r="B50" s="67" t="s">
        <v>198</v>
      </c>
      <c r="C50" s="22">
        <f>SUMIFS('ครุภัณฑ์ 67'!G:G,'ครุภัณฑ์ 67'!C:C,"ยานพาหนะและขนส่ง",'ครุภัณฑ์ 67'!E:E,B50)</f>
        <v>0</v>
      </c>
      <c r="D50" s="75">
        <f>SUMIFS('ครุภัณฑ์ 67'!F:F,'ครุภัณฑ์ 67'!C:C,"ยานพาหนะและขนส่ง",'ครุภัณฑ์ 67'!E:E,B50)</f>
        <v>0</v>
      </c>
      <c r="E50" s="22">
        <f t="shared" si="14"/>
        <v>0</v>
      </c>
      <c r="F50" s="13">
        <f>SUMIFS('ครุภัณฑ์ 68'!G:G,'ครุภัณฑ์ 68'!C:C,"ยานพาหนะและขนส่ง",'ครุภัณฑ์ 68'!E:E,B50)</f>
        <v>0</v>
      </c>
      <c r="G50" s="13">
        <f>SUMIFS('ครุภัณฑ์ 68'!F:F,'ครุภัณฑ์ 68'!C:C,"ยานพาหนะและขนส่ง",'ครุภัณฑ์ 68'!E:E,B50)</f>
        <v>0</v>
      </c>
      <c r="H50" s="13">
        <f t="shared" si="10"/>
        <v>0</v>
      </c>
      <c r="I50" s="68">
        <f>SUMIFS('ครุภัณฑ์ 69'!G:G,'ครุภัณฑ์ 69'!C:C,"ยานพาหนะและขนส่ง",'ครุภัณฑ์ 69'!E:E,B50)</f>
        <v>0</v>
      </c>
      <c r="J50" s="68">
        <f>SUMIFS('ครุภัณฑ์ 69'!F:F,'ครุภัณฑ์ 69'!C:C,"ยานพาหนะและขนส่ง",'ครุภัณฑ์ 69'!E:E,B50)</f>
        <v>0</v>
      </c>
      <c r="K50" s="68">
        <f t="shared" si="11"/>
        <v>0</v>
      </c>
      <c r="L50" s="69">
        <f>SUMIFS('รวมครุภัณฑ์ 70'!L:L,'รวมครุภัณฑ์ 70'!C:C,"ครุภัณฑ์ยานพาหนะและขนส่ง",'รวมครุภัณฑ์ 70'!H:H,B50)</f>
        <v>849500</v>
      </c>
      <c r="M50" s="73">
        <f>SUMIFS('รวมครุภัณฑ์ 70'!Q:Q,'รวมครุภัณฑ์ 70'!C:C,"ครุภัณฑ์ยานพาหนะและขนส่ง",'รวมครุภัณฑ์ 70'!H:H,B50)</f>
        <v>1</v>
      </c>
      <c r="N50" s="73">
        <f>SUMIFS('รวมครุภัณฑ์ 70'!R:R,'รวมครุภัณฑ์ 70'!C:C,"ครุภัณฑ์ยานพาหนะและขนส่ง",'รวมครุภัณฑ์ 70'!H:H,B50)</f>
        <v>0</v>
      </c>
      <c r="O50" s="73">
        <f t="shared" si="12"/>
        <v>1</v>
      </c>
      <c r="P50" s="69">
        <f t="shared" si="13"/>
        <v>849500</v>
      </c>
      <c r="Q50" s="70"/>
    </row>
    <row r="51" spans="1:17" ht="21">
      <c r="A51" s="71" t="s">
        <v>64</v>
      </c>
      <c r="B51" s="67" t="s">
        <v>250</v>
      </c>
      <c r="C51" s="22">
        <f>SUMIFS('ครุภัณฑ์ 67'!G:G,'ครุภัณฑ์ 67'!C:C,"ยานพาหนะและขนส่ง",'ครุภัณฑ์ 67'!E:E,B51)</f>
        <v>1090900</v>
      </c>
      <c r="D51" s="75">
        <f>SUMIFS('ครุภัณฑ์ 67'!F:F,'ครุภัณฑ์ 67'!C:C,"ยานพาหนะและขนส่ง",'ครุภัณฑ์ 67'!E:E,B51)</f>
        <v>1</v>
      </c>
      <c r="E51" s="22">
        <f t="shared" si="14"/>
        <v>1090900</v>
      </c>
      <c r="F51" s="13">
        <f>SUMIFS('ครุภัณฑ์ 68'!G:G,'ครุภัณฑ์ 68'!C:C,"ยานพาหนะและขนส่ง",'ครุภัณฑ์ 68'!E:E,B51)</f>
        <v>0</v>
      </c>
      <c r="G51" s="13">
        <f>SUMIFS('ครุภัณฑ์ 68'!F:F,'ครุภัณฑ์ 68'!C:C,"ยานพาหนะและขนส่ง",'ครุภัณฑ์ 68'!E:E,B51)</f>
        <v>0</v>
      </c>
      <c r="H51" s="13">
        <f t="shared" si="10"/>
        <v>0</v>
      </c>
      <c r="I51" s="68">
        <f>SUMIFS('ครุภัณฑ์ 69'!G:G,'ครุภัณฑ์ 69'!C:C,"ยานพาหนะและขนส่ง",'ครุภัณฑ์ 69'!E:E,B51)</f>
        <v>0</v>
      </c>
      <c r="J51" s="68">
        <f>SUMIFS('ครุภัณฑ์ 69'!F:F,'ครุภัณฑ์ 69'!C:C,"ยานพาหนะและขนส่ง",'ครุภัณฑ์ 69'!E:E,B51)</f>
        <v>0</v>
      </c>
      <c r="K51" s="68">
        <f t="shared" si="11"/>
        <v>0</v>
      </c>
      <c r="L51" s="69">
        <f>SUMIFS('รวมครุภัณฑ์ 70'!L:L,'รวมครุภัณฑ์ 70'!C:C,"ครุภัณฑ์ยานพาหนะและขนส่ง",'รวมครุภัณฑ์ 70'!H:H,B51)</f>
        <v>0</v>
      </c>
      <c r="M51" s="73">
        <f>SUMIFS('รวมครุภัณฑ์ 70'!Q:Q,'รวมครุภัณฑ์ 70'!C:C,"ครุภัณฑ์ยานพาหนะและขนส่ง",'รวมครุภัณฑ์ 70'!H:H,B51)</f>
        <v>0</v>
      </c>
      <c r="N51" s="73">
        <f>SUMIFS('รวมครุภัณฑ์ 70'!R:R,'รวมครุภัณฑ์ 70'!C:C,"ครุภัณฑ์ยานพาหนะและขนส่ง",'รวมครุภัณฑ์ 70'!H:H,B51)</f>
        <v>0</v>
      </c>
      <c r="O51" s="73">
        <f t="shared" si="12"/>
        <v>0</v>
      </c>
      <c r="P51" s="69">
        <f t="shared" si="13"/>
        <v>0</v>
      </c>
      <c r="Q51" s="70"/>
    </row>
    <row r="52" spans="1:17" ht="21">
      <c r="A52" s="71" t="s">
        <v>64</v>
      </c>
      <c r="B52" s="67" t="s">
        <v>247</v>
      </c>
      <c r="C52" s="22">
        <f>SUMIFS('ครุภัณฑ์ 67'!G:G,'ครุภัณฑ์ 67'!C:C,"ยานพาหนะและขนส่ง",'ครุภัณฑ์ 67'!E:E,B52)</f>
        <v>0</v>
      </c>
      <c r="D52" s="75">
        <f>SUMIFS('ครุภัณฑ์ 67'!F:F,'ครุภัณฑ์ 67'!C:C,"ยานพาหนะและขนส่ง",'ครุภัณฑ์ 67'!E:E,B52)</f>
        <v>0</v>
      </c>
      <c r="E52" s="22">
        <f t="shared" si="14"/>
        <v>0</v>
      </c>
      <c r="F52" s="13">
        <f>SUMIFS('ครุภัณฑ์ 68'!G:G,'ครุภัณฑ์ 68'!C:C,"ยานพาหนะและขนส่ง",'ครุภัณฑ์ 68'!E:E,B52)</f>
        <v>13312000</v>
      </c>
      <c r="G52" s="13">
        <f>SUMIFS('ครุภัณฑ์ 68'!F:F,'ครุภัณฑ์ 68'!C:C,"ยานพาหนะและขนส่ง",'ครุภัณฑ์ 68'!E:E,B52)</f>
        <v>8</v>
      </c>
      <c r="H52" s="13">
        <f t="shared" si="10"/>
        <v>13312000</v>
      </c>
      <c r="I52" s="68">
        <f>SUMIFS('ครุภัณฑ์ 69'!G:G,'ครุภัณฑ์ 69'!C:C,"ยานพาหนะและขนส่ง",'ครุภัณฑ์ 69'!E:E,B52)</f>
        <v>0</v>
      </c>
      <c r="J52" s="68">
        <f>SUMIFS('ครุภัณฑ์ 69'!F:F,'ครุภัณฑ์ 69'!C:C,"ยานพาหนะและขนส่ง",'ครุภัณฑ์ 69'!E:E,B52)</f>
        <v>0</v>
      </c>
      <c r="K52" s="68">
        <f t="shared" si="11"/>
        <v>0</v>
      </c>
      <c r="L52" s="69">
        <f>SUMIFS('รวมครุภัณฑ์ 70'!L:L,'รวมครุภัณฑ์ 70'!C:C,"ครุภัณฑ์ยานพาหนะและขนส่ง",'รวมครุภัณฑ์ 70'!H:H,B52)</f>
        <v>0</v>
      </c>
      <c r="M52" s="73">
        <f>SUMIFS('รวมครุภัณฑ์ 70'!Q:Q,'รวมครุภัณฑ์ 70'!C:C,"ครุภัณฑ์ยานพาหนะและขนส่ง",'รวมครุภัณฑ์ 70'!H:H,B52)</f>
        <v>0</v>
      </c>
      <c r="N52" s="73">
        <f>SUMIFS('รวมครุภัณฑ์ 70'!R:R,'รวมครุภัณฑ์ 70'!C:C,"ครุภัณฑ์ยานพาหนะและขนส่ง",'รวมครุภัณฑ์ 70'!H:H,B52)</f>
        <v>0</v>
      </c>
      <c r="O52" s="73">
        <f t="shared" si="12"/>
        <v>0</v>
      </c>
      <c r="P52" s="69">
        <f t="shared" si="13"/>
        <v>0</v>
      </c>
      <c r="Q52" s="70"/>
    </row>
    <row r="53" spans="1:17" ht="21">
      <c r="A53" s="71" t="s">
        <v>64</v>
      </c>
      <c r="B53" s="67" t="s">
        <v>68</v>
      </c>
      <c r="C53" s="22">
        <f>SUMIFS('ครุภัณฑ์ 67'!G:G,'ครุภัณฑ์ 67'!C:C,"ยานพาหนะและขนส่ง",'ครุภัณฑ์ 67'!E:E,B53)</f>
        <v>0</v>
      </c>
      <c r="D53" s="75">
        <f>SUMIFS('ครุภัณฑ์ 67'!F:F,'ครุภัณฑ์ 67'!C:C,"ยานพาหนะและขนส่ง",'ครุภัณฑ์ 67'!E:E,B53)</f>
        <v>0</v>
      </c>
      <c r="E53" s="22">
        <f t="shared" si="14"/>
        <v>0</v>
      </c>
      <c r="F53" s="13">
        <f>SUMIFS('ครุภัณฑ์ 68'!G:G,'ครุภัณฑ์ 68'!C:C,"ยานพาหนะและขนส่ง",'ครุภัณฑ์ 68'!E:E,B53)</f>
        <v>1664000</v>
      </c>
      <c r="G53" s="13">
        <f>SUMIFS('ครุภัณฑ์ 68'!F:F,'ครุภัณฑ์ 68'!C:C,"ยานพาหนะและขนส่ง",'ครุภัณฑ์ 68'!E:E,B53)</f>
        <v>1</v>
      </c>
      <c r="H53" s="13">
        <f t="shared" si="10"/>
        <v>1664000</v>
      </c>
      <c r="I53" s="68">
        <f>SUMIFS('ครุภัณฑ์ 69'!G:G,'ครุภัณฑ์ 69'!C:C,"ยานพาหนะและขนส่ง",'ครุภัณฑ์ 69'!E:E,B53)</f>
        <v>825000</v>
      </c>
      <c r="J53" s="68">
        <f>SUMIFS('ครุภัณฑ์ 69'!F:F,'ครุภัณฑ์ 69'!C:C,"ยานพาหนะและขนส่ง",'ครุภัณฑ์ 69'!E:E,B53)</f>
        <v>1</v>
      </c>
      <c r="K53" s="68">
        <f t="shared" si="11"/>
        <v>825000</v>
      </c>
      <c r="L53" s="69">
        <f>SUMIFS('รวมครุภัณฑ์ 70'!L:L,'รวมครุภัณฑ์ 70'!C:C,"ครุภัณฑ์ยานพาหนะและขนส่ง",'รวมครุภัณฑ์ 70'!H:H,B53)</f>
        <v>0</v>
      </c>
      <c r="M53" s="73">
        <f>SUMIFS('รวมครุภัณฑ์ 70'!Q:Q,'รวมครุภัณฑ์ 70'!C:C,"ครุภัณฑ์ยานพาหนะและขนส่ง",'รวมครุภัณฑ์ 70'!H:H,B53)</f>
        <v>0</v>
      </c>
      <c r="N53" s="73">
        <f>SUMIFS('รวมครุภัณฑ์ 70'!R:R,'รวมครุภัณฑ์ 70'!C:C,"ครุภัณฑ์ยานพาหนะและขนส่ง",'รวมครุภัณฑ์ 70'!H:H,B53)</f>
        <v>0</v>
      </c>
      <c r="O53" s="73">
        <f t="shared" si="12"/>
        <v>0</v>
      </c>
      <c r="P53" s="69">
        <f t="shared" si="13"/>
        <v>0</v>
      </c>
      <c r="Q53" s="70"/>
    </row>
    <row r="54" spans="1:17" ht="21">
      <c r="A54" s="71" t="s">
        <v>64</v>
      </c>
      <c r="B54" s="67" t="s">
        <v>77</v>
      </c>
      <c r="C54" s="22">
        <f>SUMIFS('ครุภัณฑ์ 67'!G:G,'ครุภัณฑ์ 67'!C:C,"ยานพาหนะและขนส่ง",'ครุภัณฑ์ 67'!E:E,B54)</f>
        <v>0</v>
      </c>
      <c r="D54" s="75">
        <f>SUMIFS('ครุภัณฑ์ 67'!F:F,'ครุภัณฑ์ 67'!C:C,"ยานพาหนะและขนส่ง",'ครุภัณฑ์ 67'!E:E,B54)</f>
        <v>0</v>
      </c>
      <c r="E54" s="22">
        <f t="shared" si="14"/>
        <v>0</v>
      </c>
      <c r="F54" s="13">
        <f>SUMIFS('ครุภัณฑ์ 68'!G:G,'ครุภัณฑ์ 68'!C:C,"ยานพาหนะและขนส่ง",'ครุภัณฑ์ 68'!E:E,B54)</f>
        <v>0</v>
      </c>
      <c r="G54" s="13">
        <f>SUMIFS('ครุภัณฑ์ 68'!F:F,'ครุภัณฑ์ 68'!C:C,"ยานพาหนะและขนส่ง",'ครุภัณฑ์ 68'!E:E,B54)</f>
        <v>0</v>
      </c>
      <c r="H54" s="13">
        <f t="shared" si="10"/>
        <v>0</v>
      </c>
      <c r="I54" s="68">
        <f>SUMIFS('ครุภัณฑ์ 69'!G:G,'ครุภัณฑ์ 69'!C:C,"ยานพาหนะและขนส่ง",'ครุภัณฑ์ 69'!E:E,B54)</f>
        <v>0</v>
      </c>
      <c r="J54" s="68">
        <f>SUMIFS('ครุภัณฑ์ 69'!F:F,'ครุภัณฑ์ 69'!C:C,"ยานพาหนะและขนส่ง",'ครุภัณฑ์ 69'!E:E,B54)</f>
        <v>0</v>
      </c>
      <c r="K54" s="68">
        <f t="shared" si="11"/>
        <v>0</v>
      </c>
      <c r="L54" s="69">
        <f>SUMIFS('รวมครุภัณฑ์ 70'!L:L,'รวมครุภัณฑ์ 70'!C:C,"ครุภัณฑ์ยานพาหนะและขนส่ง",'รวมครุภัณฑ์ 70'!H:H,B54)</f>
        <v>0</v>
      </c>
      <c r="M54" s="73">
        <f>SUMIFS('รวมครุภัณฑ์ 70'!Q:Q,'รวมครุภัณฑ์ 70'!C:C,"ครุภัณฑ์ยานพาหนะและขนส่ง",'รวมครุภัณฑ์ 70'!H:H,B54)</f>
        <v>0</v>
      </c>
      <c r="N54" s="73">
        <f>SUMIFS('รวมครุภัณฑ์ 70'!R:R,'รวมครุภัณฑ์ 70'!C:C,"ครุภัณฑ์ยานพาหนะและขนส่ง",'รวมครุภัณฑ์ 70'!H:H,B54)</f>
        <v>0</v>
      </c>
      <c r="O54" s="73">
        <f t="shared" si="12"/>
        <v>0</v>
      </c>
      <c r="P54" s="69">
        <f t="shared" si="13"/>
        <v>0</v>
      </c>
      <c r="Q54" s="70"/>
    </row>
    <row r="55" spans="1:17" ht="21">
      <c r="A55" s="71" t="s">
        <v>340</v>
      </c>
      <c r="B55" s="67" t="s">
        <v>343</v>
      </c>
      <c r="C55" s="22">
        <f>SUMIFS('ครุภัณฑ์ 67'!G:G,'ครุภัณฑ์ 67'!C:C,"ยานพาหนะและขนส่ง",'ครุภัณฑ์ 67'!E:E,B55)</f>
        <v>1976800</v>
      </c>
      <c r="D55" s="75">
        <f>SUMIFS('ครุภัณฑ์ 67'!F:F,'ครุภัณฑ์ 67'!C:C,"ยานพาหนะและขนส่ง",'ครุภัณฑ์ 67'!E:E,B55)</f>
        <v>2</v>
      </c>
      <c r="E55" s="22">
        <f t="shared" si="14"/>
        <v>1976800</v>
      </c>
      <c r="F55" s="13">
        <f>SUMIFS('ครุภัณฑ์ 68'!G:G,'ครุภัณฑ์ 68'!C:C,"ยานพาหนะและขนส่ง",'ครุภัณฑ์ 68'!E:E,B55)</f>
        <v>0</v>
      </c>
      <c r="G55" s="13">
        <f>SUMIFS('ครุภัณฑ์ 68'!F:F,'ครุภัณฑ์ 68'!C:C,"ยานพาหนะและขนส่ง",'ครุภัณฑ์ 68'!E:E,B55)</f>
        <v>0</v>
      </c>
      <c r="H55" s="13">
        <f t="shared" si="10"/>
        <v>0</v>
      </c>
      <c r="I55" s="68">
        <f>SUMIFS('ครุภัณฑ์ 69'!G:G,'ครุภัณฑ์ 69'!C:C,"ยานพาหนะและขนส่ง",'ครุภัณฑ์ 69'!E:E,B55)</f>
        <v>0</v>
      </c>
      <c r="J55" s="68">
        <f>SUMIFS('ครุภัณฑ์ 69'!F:F,'ครุภัณฑ์ 69'!C:C,"ยานพาหนะและขนส่ง",'ครุภัณฑ์ 69'!E:E,B55)</f>
        <v>0</v>
      </c>
      <c r="K55" s="68">
        <f t="shared" si="11"/>
        <v>0</v>
      </c>
      <c r="L55" s="69">
        <f>SUMIFS('รวมครุภัณฑ์ 70'!L:L,'รวมครุภัณฑ์ 70'!C:C,"ครุภัณฑ์ยานพาหนะและขนส่ง",'รวมครุภัณฑ์ 70'!H:H,B55)</f>
        <v>0</v>
      </c>
      <c r="M55" s="73">
        <f>SUMIFS('รวมครุภัณฑ์ 70'!Q:Q,'รวมครุภัณฑ์ 70'!C:C,"ครุภัณฑ์ยานพาหนะและขนส่ง",'รวมครุภัณฑ์ 70'!H:H,B55)</f>
        <v>0</v>
      </c>
      <c r="N55" s="73">
        <f>SUMIFS('รวมครุภัณฑ์ 70'!R:R,'รวมครุภัณฑ์ 70'!C:C,"ครุภัณฑ์ยานพาหนะและขนส่ง",'รวมครุภัณฑ์ 70'!H:H,B55)</f>
        <v>0</v>
      </c>
      <c r="O55" s="73">
        <f t="shared" si="12"/>
        <v>0</v>
      </c>
      <c r="P55" s="69">
        <f t="shared" si="13"/>
        <v>0</v>
      </c>
      <c r="Q55" s="70"/>
    </row>
    <row r="56" spans="1:17" ht="21">
      <c r="A56" s="71" t="s">
        <v>344</v>
      </c>
      <c r="B56" s="67" t="s">
        <v>346</v>
      </c>
      <c r="C56" s="22">
        <f>SUMIFS('ครุภัณฑ์ 67'!G:G,'ครุภัณฑ์ 67'!C:C,"ยานพาหนะและขนส่ง",'ครุภัณฑ์ 67'!E:E,B56)</f>
        <v>0</v>
      </c>
      <c r="D56" s="75">
        <f>SUMIFS('ครุภัณฑ์ 67'!F:F,'ครุภัณฑ์ 67'!C:C,"ยานพาหนะและขนส่ง",'ครุภัณฑ์ 67'!E:E,B56)</f>
        <v>0</v>
      </c>
      <c r="E56" s="22">
        <f t="shared" si="14"/>
        <v>0</v>
      </c>
      <c r="F56" s="13">
        <f>SUMIFS('ครุภัณฑ์ 68'!G:G,'ครุภัณฑ์ 68'!C:C,"ยานพาหนะและขนส่ง",'ครุภัณฑ์ 68'!E:E,B56)</f>
        <v>0</v>
      </c>
      <c r="G56" s="13">
        <f>SUMIFS('ครุภัณฑ์ 68'!F:F,'ครุภัณฑ์ 68'!C:C,"ยานพาหนะและขนส่ง",'ครุภัณฑ์ 68'!E:E,B56)</f>
        <v>0</v>
      </c>
      <c r="H56" s="13">
        <f t="shared" si="10"/>
        <v>0</v>
      </c>
      <c r="I56" s="68">
        <f>SUMIFS('ครุภัณฑ์ 69'!G:G,'ครุภัณฑ์ 69'!C:C,"ยานพาหนะและขนส่ง",'ครุภัณฑ์ 69'!E:E,B56)</f>
        <v>0</v>
      </c>
      <c r="J56" s="68">
        <f>SUMIFS('ครุภัณฑ์ 69'!F:F,'ครุภัณฑ์ 69'!C:C,"ยานพาหนะและขนส่ง",'ครุภัณฑ์ 69'!E:E,B56)</f>
        <v>0</v>
      </c>
      <c r="K56" s="68">
        <f t="shared" si="11"/>
        <v>0</v>
      </c>
      <c r="L56" s="69">
        <f>SUMIFS('รวมครุภัณฑ์ 70'!L:L,'รวมครุภัณฑ์ 70'!C:C,"ครุภัณฑ์ยานพาหนะและขนส่ง",'รวมครุภัณฑ์ 70'!H:H,B56)</f>
        <v>0</v>
      </c>
      <c r="M56" s="73">
        <f>SUMIFS('รวมครุภัณฑ์ 70'!Q:Q,'รวมครุภัณฑ์ 70'!C:C,"ครุภัณฑ์ยานพาหนะและขนส่ง",'รวมครุภัณฑ์ 70'!H:H,B56)</f>
        <v>0</v>
      </c>
      <c r="N56" s="73">
        <f>SUMIFS('รวมครุภัณฑ์ 70'!R:R,'รวมครุภัณฑ์ 70'!C:C,"ครุภัณฑ์ยานพาหนะและขนส่ง",'รวมครุภัณฑ์ 70'!H:H,B56)</f>
        <v>0</v>
      </c>
      <c r="O56" s="73">
        <f t="shared" si="12"/>
        <v>0</v>
      </c>
      <c r="P56" s="69">
        <f t="shared" si="13"/>
        <v>0</v>
      </c>
      <c r="Q56" s="70"/>
    </row>
    <row r="57" spans="1:17" ht="21">
      <c r="A57" s="71" t="s">
        <v>199</v>
      </c>
      <c r="B57" s="67" t="s">
        <v>201</v>
      </c>
      <c r="C57" s="22">
        <f>SUMIFS('ครุภัณฑ์ 67'!G:G,'ครุภัณฑ์ 67'!C:C,"ยานพาหนะและขนส่ง",'ครุภัณฑ์ 67'!E:E,B57)</f>
        <v>0</v>
      </c>
      <c r="D57" s="75">
        <f>SUMIFS('ครุภัณฑ์ 67'!F:F,'ครุภัณฑ์ 67'!C:C,"ยานพาหนะและขนส่ง",'ครุภัณฑ์ 67'!E:E,B57)</f>
        <v>0</v>
      </c>
      <c r="E57" s="22">
        <f t="shared" si="14"/>
        <v>0</v>
      </c>
      <c r="F57" s="13">
        <f>SUMIFS('ครุภัณฑ์ 68'!G:G,'ครุภัณฑ์ 68'!C:C,"ยานพาหนะและขนส่ง",'ครุภัณฑ์ 68'!E:E,B57)</f>
        <v>0</v>
      </c>
      <c r="G57" s="13">
        <f>SUMIFS('ครุภัณฑ์ 68'!F:F,'ครุภัณฑ์ 68'!C:C,"ยานพาหนะและขนส่ง",'ครุภัณฑ์ 68'!E:E,B57)</f>
        <v>0</v>
      </c>
      <c r="H57" s="13">
        <f t="shared" si="10"/>
        <v>0</v>
      </c>
      <c r="I57" s="68">
        <f>SUMIFS('ครุภัณฑ์ 69'!G:G,'ครุภัณฑ์ 69'!C:C,"ยานพาหนะและขนส่ง",'ครุภัณฑ์ 69'!E:E,B57)</f>
        <v>0</v>
      </c>
      <c r="J57" s="68">
        <f>SUMIFS('ครุภัณฑ์ 69'!F:F,'ครุภัณฑ์ 69'!C:C,"ยานพาหนะและขนส่ง",'ครุภัณฑ์ 69'!E:E,B57)</f>
        <v>0</v>
      </c>
      <c r="K57" s="68">
        <f t="shared" si="11"/>
        <v>0</v>
      </c>
      <c r="L57" s="69">
        <f>SUMIFS('รวมครุภัณฑ์ 70'!L:L,'รวมครุภัณฑ์ 70'!C:C,"ครุภัณฑ์ยานพาหนะและขนส่ง",'รวมครุภัณฑ์ 70'!H:H,B57)</f>
        <v>2705900</v>
      </c>
      <c r="M57" s="73">
        <f>SUMIFS('รวมครุภัณฑ์ 70'!Q:Q,'รวมครุภัณฑ์ 70'!C:C,"ครุภัณฑ์ยานพาหนะและขนส่ง",'รวมครุภัณฑ์ 70'!H:H,B57)</f>
        <v>2</v>
      </c>
      <c r="N57" s="73">
        <f>SUMIFS('รวมครุภัณฑ์ 70'!R:R,'รวมครุภัณฑ์ 70'!C:C,"ครุภัณฑ์ยานพาหนะและขนส่ง",'รวมครุภัณฑ์ 70'!H:H,B57)</f>
        <v>0</v>
      </c>
      <c r="O57" s="73">
        <f t="shared" si="12"/>
        <v>2</v>
      </c>
      <c r="P57" s="69">
        <f t="shared" si="13"/>
        <v>2705900</v>
      </c>
      <c r="Q57" s="70"/>
    </row>
    <row r="58" spans="1:17" ht="21">
      <c r="A58" s="71" t="s">
        <v>285</v>
      </c>
      <c r="B58" s="67" t="s">
        <v>287</v>
      </c>
      <c r="C58" s="22">
        <f>SUMIFS('ครุภัณฑ์ 67'!G:G,'ครุภัณฑ์ 67'!C:C,"ยานพาหนะและขนส่ง",'ครุภัณฑ์ 67'!E:E,B58)</f>
        <v>885900</v>
      </c>
      <c r="D58" s="75">
        <f>SUMIFS('ครุภัณฑ์ 67'!F:F,'ครุภัณฑ์ 67'!C:C,"ยานพาหนะและขนส่ง",'ครุภัณฑ์ 67'!E:E,B58)</f>
        <v>1</v>
      </c>
      <c r="E58" s="22">
        <f t="shared" si="14"/>
        <v>885900</v>
      </c>
      <c r="F58" s="13">
        <f>SUMIFS('ครุภัณฑ์ 68'!G:G,'ครุภัณฑ์ 68'!C:C,"ยานพาหนะและขนส่ง",'ครุภัณฑ์ 68'!E:E,B58)</f>
        <v>0</v>
      </c>
      <c r="G58" s="13">
        <f>SUMIFS('ครุภัณฑ์ 68'!F:F,'ครุภัณฑ์ 68'!C:C,"ยานพาหนะและขนส่ง",'ครุภัณฑ์ 68'!E:E,B58)</f>
        <v>0</v>
      </c>
      <c r="H58" s="13">
        <f t="shared" si="10"/>
        <v>0</v>
      </c>
      <c r="I58" s="68">
        <f>SUMIFS('ครุภัณฑ์ 69'!G:G,'ครุภัณฑ์ 69'!C:C,"ยานพาหนะและขนส่ง",'ครุภัณฑ์ 69'!E:E,B58)</f>
        <v>0</v>
      </c>
      <c r="J58" s="68">
        <f>SUMIFS('ครุภัณฑ์ 69'!F:F,'ครุภัณฑ์ 69'!C:C,"ยานพาหนะและขนส่ง",'ครุภัณฑ์ 69'!E:E,B58)</f>
        <v>0</v>
      </c>
      <c r="K58" s="68">
        <f t="shared" si="11"/>
        <v>0</v>
      </c>
      <c r="L58" s="69">
        <f>SUMIFS('รวมครุภัณฑ์ 70'!L:L,'รวมครุภัณฑ์ 70'!C:C,"ครุภัณฑ์ยานพาหนะและขนส่ง",'รวมครุภัณฑ์ 70'!H:H,B58)</f>
        <v>0</v>
      </c>
      <c r="M58" s="73">
        <f>SUMIFS('รวมครุภัณฑ์ 70'!Q:Q,'รวมครุภัณฑ์ 70'!C:C,"ครุภัณฑ์ยานพาหนะและขนส่ง",'รวมครุภัณฑ์ 70'!H:H,B58)</f>
        <v>0</v>
      </c>
      <c r="N58" s="73">
        <f>SUMIFS('รวมครุภัณฑ์ 70'!R:R,'รวมครุภัณฑ์ 70'!C:C,"ครุภัณฑ์ยานพาหนะและขนส่ง",'รวมครุภัณฑ์ 70'!H:H,B58)</f>
        <v>0</v>
      </c>
      <c r="O58" s="73">
        <f t="shared" si="12"/>
        <v>0</v>
      </c>
      <c r="P58" s="69">
        <f t="shared" si="13"/>
        <v>0</v>
      </c>
      <c r="Q58" s="70"/>
    </row>
    <row r="59" spans="1:17" ht="21">
      <c r="A59" s="71" t="s">
        <v>103</v>
      </c>
      <c r="B59" s="67" t="s">
        <v>350</v>
      </c>
      <c r="C59" s="22">
        <f>SUMIFS('ครุภัณฑ์ 67'!G:G,'ครุภัณฑ์ 67'!C:C,"ยานพาหนะและขนส่ง",'ครุภัณฑ์ 67'!E:E,B59)</f>
        <v>10600</v>
      </c>
      <c r="D59" s="75">
        <f>SUMIFS('ครุภัณฑ์ 67'!F:F,'ครุภัณฑ์ 67'!C:C,"ยานพาหนะและขนส่ง",'ครุภัณฑ์ 67'!E:E,B59)</f>
        <v>1</v>
      </c>
      <c r="E59" s="22">
        <f t="shared" si="14"/>
        <v>10600</v>
      </c>
      <c r="F59" s="13">
        <f>SUMIFS('ครุภัณฑ์ 68'!G:G,'ครุภัณฑ์ 68'!C:C,"ยานพาหนะและขนส่ง",'ครุภัณฑ์ 68'!E:E,B59)</f>
        <v>0</v>
      </c>
      <c r="G59" s="13">
        <f>SUMIFS('ครุภัณฑ์ 68'!F:F,'ครุภัณฑ์ 68'!C:C,"ยานพาหนะและขนส่ง",'ครุภัณฑ์ 68'!E:E,B59)</f>
        <v>0</v>
      </c>
      <c r="H59" s="13">
        <f t="shared" si="10"/>
        <v>0</v>
      </c>
      <c r="I59" s="68">
        <f>SUMIFS('ครุภัณฑ์ 69'!G:G,'ครุภัณฑ์ 69'!C:C,"ยานพาหนะและขนส่ง",'ครุภัณฑ์ 69'!E:E,B59)</f>
        <v>0</v>
      </c>
      <c r="J59" s="68">
        <f>SUMIFS('ครุภัณฑ์ 69'!F:F,'ครุภัณฑ์ 69'!C:C,"ยานพาหนะและขนส่ง",'ครุภัณฑ์ 69'!E:E,B59)</f>
        <v>0</v>
      </c>
      <c r="K59" s="68">
        <f t="shared" si="11"/>
        <v>0</v>
      </c>
      <c r="L59" s="69">
        <f>SUMIFS('รวมครุภัณฑ์ 70'!L:L,'รวมครุภัณฑ์ 70'!C:C,"ครุภัณฑ์ยานพาหนะและขนส่ง",'รวมครุภัณฑ์ 70'!H:H,B59)</f>
        <v>970900</v>
      </c>
      <c r="M59" s="73">
        <f>SUMIFS('รวมครุภัณฑ์ 70'!Q:Q,'รวมครุภัณฑ์ 70'!C:C,"ครุภัณฑ์ยานพาหนะและขนส่ง",'รวมครุภัณฑ์ 70'!H:H,B59)</f>
        <v>1</v>
      </c>
      <c r="N59" s="73">
        <f>SUMIFS('รวมครุภัณฑ์ 70'!R:R,'รวมครุภัณฑ์ 70'!C:C,"ครุภัณฑ์ยานพาหนะและขนส่ง",'รวมครุภัณฑ์ 70'!H:H,B59)</f>
        <v>0</v>
      </c>
      <c r="O59" s="73">
        <f t="shared" si="12"/>
        <v>1</v>
      </c>
      <c r="P59" s="69">
        <f t="shared" si="13"/>
        <v>970900</v>
      </c>
      <c r="Q59" s="70"/>
    </row>
    <row r="60" spans="1:17" ht="21">
      <c r="A60" s="71" t="s">
        <v>103</v>
      </c>
      <c r="B60" s="67" t="s">
        <v>106</v>
      </c>
      <c r="C60" s="22">
        <f>SUMIFS('ครุภัณฑ์ 67'!G:G,'ครุภัณฑ์ 67'!C:C,"ยานพาหนะและขนส่ง",'ครุภัณฑ์ 67'!E:E,B60)</f>
        <v>0</v>
      </c>
      <c r="D60" s="75">
        <f>SUMIFS('ครุภัณฑ์ 67'!F:F,'ครุภัณฑ์ 67'!C:C,"ยานพาหนะและขนส่ง",'ครุภัณฑ์ 67'!E:E,B60)</f>
        <v>0</v>
      </c>
      <c r="E60" s="22">
        <f t="shared" si="14"/>
        <v>0</v>
      </c>
      <c r="F60" s="13">
        <f>SUMIFS('ครุภัณฑ์ 68'!G:G,'ครุภัณฑ์ 68'!C:C,"ยานพาหนะและขนส่ง",'ครุภัณฑ์ 68'!E:E,B60)</f>
        <v>0</v>
      </c>
      <c r="G60" s="13">
        <f>SUMIFS('ครุภัณฑ์ 68'!F:F,'ครุภัณฑ์ 68'!C:C,"ยานพาหนะและขนส่ง",'ครุภัณฑ์ 68'!E:E,B60)</f>
        <v>0</v>
      </c>
      <c r="H60" s="13">
        <f t="shared" si="10"/>
        <v>0</v>
      </c>
      <c r="I60" s="68">
        <f>SUMIFS('ครุภัณฑ์ 69'!G:G,'ครุภัณฑ์ 69'!C:C,"ยานพาหนะและขนส่ง",'ครุภัณฑ์ 69'!E:E,B60)</f>
        <v>0</v>
      </c>
      <c r="J60" s="68">
        <f>SUMIFS('ครุภัณฑ์ 69'!F:F,'ครุภัณฑ์ 69'!C:C,"ยานพาหนะและขนส่ง",'ครุภัณฑ์ 69'!E:E,B60)</f>
        <v>0</v>
      </c>
      <c r="K60" s="68">
        <f t="shared" si="11"/>
        <v>0</v>
      </c>
      <c r="L60" s="69">
        <f>SUMIFS('รวมครุภัณฑ์ 70'!L:L,'รวมครุภัณฑ์ 70'!C:C,"ครุภัณฑ์ยานพาหนะและขนส่ง",'รวมครุภัณฑ์ 70'!H:H,B60)</f>
        <v>0</v>
      </c>
      <c r="M60" s="73">
        <f>SUMIFS('รวมครุภัณฑ์ 70'!Q:Q,'รวมครุภัณฑ์ 70'!C:C,"ครุภัณฑ์ยานพาหนะและขนส่ง",'รวมครุภัณฑ์ 70'!H:H,B60)</f>
        <v>0</v>
      </c>
      <c r="N60" s="73">
        <f>SUMIFS('รวมครุภัณฑ์ 70'!R:R,'รวมครุภัณฑ์ 70'!C:C,"ครุภัณฑ์ยานพาหนะและขนส่ง",'รวมครุภัณฑ์ 70'!H:H,B60)</f>
        <v>0</v>
      </c>
      <c r="O60" s="73">
        <f t="shared" si="12"/>
        <v>0</v>
      </c>
      <c r="P60" s="69">
        <f t="shared" si="13"/>
        <v>0</v>
      </c>
      <c r="Q60" s="70"/>
    </row>
    <row r="61" spans="1:17" ht="21">
      <c r="A61" s="71" t="s">
        <v>352</v>
      </c>
      <c r="B61" s="67" t="s">
        <v>354</v>
      </c>
      <c r="C61" s="22">
        <f>SUMIFS('ครุภัณฑ์ 67'!G:G,'ครุภัณฑ์ 67'!C:C,"ยานพาหนะและขนส่ง",'ครุภัณฑ์ 67'!E:E,B61)</f>
        <v>885900</v>
      </c>
      <c r="D61" s="75">
        <f>SUMIFS('ครุภัณฑ์ 67'!F:F,'ครุภัณฑ์ 67'!C:C,"ยานพาหนะและขนส่ง",'ครุภัณฑ์ 67'!E:E,B61)</f>
        <v>1</v>
      </c>
      <c r="E61" s="22">
        <f t="shared" si="14"/>
        <v>885900</v>
      </c>
      <c r="F61" s="13">
        <f>SUMIFS('ครุภัณฑ์ 68'!G:G,'ครุภัณฑ์ 68'!C:C,"ยานพาหนะและขนส่ง",'ครุภัณฑ์ 68'!E:E,B61)</f>
        <v>0</v>
      </c>
      <c r="G61" s="13">
        <f>SUMIFS('ครุภัณฑ์ 68'!F:F,'ครุภัณฑ์ 68'!C:C,"ยานพาหนะและขนส่ง",'ครุภัณฑ์ 68'!E:E,B61)</f>
        <v>0</v>
      </c>
      <c r="H61" s="13">
        <f t="shared" si="10"/>
        <v>0</v>
      </c>
      <c r="I61" s="68">
        <f>SUMIFS('ครุภัณฑ์ 69'!G:G,'ครุภัณฑ์ 69'!C:C,"ยานพาหนะและขนส่ง",'ครุภัณฑ์ 69'!E:E,B61)</f>
        <v>0</v>
      </c>
      <c r="J61" s="68">
        <f>SUMIFS('ครุภัณฑ์ 69'!F:F,'ครุภัณฑ์ 69'!C:C,"ยานพาหนะและขนส่ง",'ครุภัณฑ์ 69'!E:E,B61)</f>
        <v>0</v>
      </c>
      <c r="K61" s="68">
        <f t="shared" si="11"/>
        <v>0</v>
      </c>
      <c r="L61" s="69">
        <f>SUMIFS('รวมครุภัณฑ์ 70'!L:L,'รวมครุภัณฑ์ 70'!C:C,"ครุภัณฑ์ยานพาหนะและขนส่ง",'รวมครุภัณฑ์ 70'!H:H,B61)</f>
        <v>1498000</v>
      </c>
      <c r="M61" s="73">
        <f>SUMIFS('รวมครุภัณฑ์ 70'!Q:Q,'รวมครุภัณฑ์ 70'!C:C,"ครุภัณฑ์ยานพาหนะและขนส่ง",'รวมครุภัณฑ์ 70'!H:H,B61)</f>
        <v>1</v>
      </c>
      <c r="N61" s="73">
        <f>SUMIFS('รวมครุภัณฑ์ 70'!R:R,'รวมครุภัณฑ์ 70'!C:C,"ครุภัณฑ์ยานพาหนะและขนส่ง",'รวมครุภัณฑ์ 70'!H:H,B61)</f>
        <v>0</v>
      </c>
      <c r="O61" s="73">
        <f t="shared" si="12"/>
        <v>1</v>
      </c>
      <c r="P61" s="69">
        <f t="shared" si="13"/>
        <v>1498000</v>
      </c>
      <c r="Q61" s="70"/>
    </row>
    <row r="62" spans="1:17" ht="21">
      <c r="A62" s="71" t="s">
        <v>253</v>
      </c>
      <c r="B62" s="67" t="s">
        <v>255</v>
      </c>
      <c r="C62" s="22">
        <f>SUMIFS('ครุภัณฑ์ 67'!G:G,'ครุภัณฑ์ 67'!C:C,"ยานพาหนะและขนส่ง",'ครุภัณฑ์ 67'!E:E,B62)</f>
        <v>0</v>
      </c>
      <c r="D62" s="75">
        <f>SUMIFS('ครุภัณฑ์ 67'!F:F,'ครุภัณฑ์ 67'!C:C,"ยานพาหนะและขนส่ง",'ครุภัณฑ์ 67'!E:E,B62)</f>
        <v>0</v>
      </c>
      <c r="E62" s="22">
        <f t="shared" si="14"/>
        <v>0</v>
      </c>
      <c r="F62" s="13">
        <f>SUMIFS('ครุภัณฑ์ 68'!G:G,'ครุภัณฑ์ 68'!C:C,"ยานพาหนะและขนส่ง",'ครุภัณฑ์ 68'!E:E,B62)</f>
        <v>1090900</v>
      </c>
      <c r="G62" s="13">
        <f>SUMIFS('ครุภัณฑ์ 68'!F:F,'ครุภัณฑ์ 68'!C:C,"ยานพาหนะและขนส่ง",'ครุภัณฑ์ 68'!E:E,B62)</f>
        <v>1</v>
      </c>
      <c r="H62" s="13">
        <f t="shared" si="10"/>
        <v>1090900</v>
      </c>
      <c r="I62" s="68">
        <f>SUMIFS('ครุภัณฑ์ 69'!G:G,'ครุภัณฑ์ 69'!C:C,"ยานพาหนะและขนส่ง",'ครุภัณฑ์ 69'!E:E,B62)</f>
        <v>0</v>
      </c>
      <c r="J62" s="68">
        <f>SUMIFS('ครุภัณฑ์ 69'!F:F,'ครุภัณฑ์ 69'!C:C,"ยานพาหนะและขนส่ง",'ครุภัณฑ์ 69'!E:E,B62)</f>
        <v>0</v>
      </c>
      <c r="K62" s="68">
        <f t="shared" si="11"/>
        <v>0</v>
      </c>
      <c r="L62" s="69">
        <f>SUMIFS('รวมครุภัณฑ์ 70'!L:L,'รวมครุภัณฑ์ 70'!C:C,"ครุภัณฑ์ยานพาหนะและขนส่ง",'รวมครุภัณฑ์ 70'!H:H,B62)</f>
        <v>0</v>
      </c>
      <c r="M62" s="73">
        <f>SUMIFS('รวมครุภัณฑ์ 70'!Q:Q,'รวมครุภัณฑ์ 70'!C:C,"ครุภัณฑ์ยานพาหนะและขนส่ง",'รวมครุภัณฑ์ 70'!H:H,B62)</f>
        <v>0</v>
      </c>
      <c r="N62" s="73">
        <f>SUMIFS('รวมครุภัณฑ์ 70'!R:R,'รวมครุภัณฑ์ 70'!C:C,"ครุภัณฑ์ยานพาหนะและขนส่ง",'รวมครุภัณฑ์ 70'!H:H,B62)</f>
        <v>0</v>
      </c>
      <c r="O62" s="73">
        <f t="shared" si="12"/>
        <v>0</v>
      </c>
      <c r="P62" s="69">
        <f t="shared" si="13"/>
        <v>0</v>
      </c>
      <c r="Q62" s="70"/>
    </row>
    <row r="63" spans="1:17" ht="21">
      <c r="A63" s="71" t="s">
        <v>357</v>
      </c>
      <c r="B63" s="67" t="s">
        <v>356</v>
      </c>
      <c r="C63" s="22">
        <f>SUMIFS('ครุภัณฑ์ 67'!G:G,'ครุภัณฑ์ 67'!C:C,"ยานพาหนะและขนส่ง",'ครุภัณฑ์ 67'!E:E,B63)</f>
        <v>0</v>
      </c>
      <c r="D63" s="75">
        <f>SUMIFS('ครุภัณฑ์ 67'!F:F,'ครุภัณฑ์ 67'!C:C,"ยานพาหนะและขนส่ง",'ครุภัณฑ์ 67'!E:E,B63)</f>
        <v>0</v>
      </c>
      <c r="E63" s="22">
        <f t="shared" si="14"/>
        <v>0</v>
      </c>
      <c r="F63" s="13">
        <f>SUMIFS('ครุภัณฑ์ 68'!G:G,'ครุภัณฑ์ 68'!C:C,"ยานพาหนะและขนส่ง",'ครุภัณฑ์ 68'!E:E,B63)</f>
        <v>0</v>
      </c>
      <c r="G63" s="13">
        <f>SUMIFS('ครุภัณฑ์ 68'!F:F,'ครุภัณฑ์ 68'!C:C,"ยานพาหนะและขนส่ง",'ครุภัณฑ์ 68'!E:E,B63)</f>
        <v>0</v>
      </c>
      <c r="H63" s="13">
        <f t="shared" si="10"/>
        <v>0</v>
      </c>
      <c r="I63" s="68">
        <f>SUMIFS('ครุภัณฑ์ 69'!G:G,'ครุภัณฑ์ 69'!C:C,"ยานพาหนะและขนส่ง",'ครุภัณฑ์ 69'!E:E,B63)</f>
        <v>0</v>
      </c>
      <c r="J63" s="68">
        <f>SUMIFS('ครุภัณฑ์ 69'!F:F,'ครุภัณฑ์ 69'!C:C,"ยานพาหนะและขนส่ง",'ครุภัณฑ์ 69'!E:E,B63)</f>
        <v>0</v>
      </c>
      <c r="K63" s="68">
        <f t="shared" si="11"/>
        <v>0</v>
      </c>
      <c r="L63" s="69">
        <f>SUMIFS('รวมครุภัณฑ์ 70'!L:L,'รวมครุภัณฑ์ 70'!C:C,"ครุภัณฑ์ยานพาหนะและขนส่ง",'รวมครุภัณฑ์ 70'!H:H,B63)</f>
        <v>0</v>
      </c>
      <c r="M63" s="73">
        <f>SUMIFS('รวมครุภัณฑ์ 70'!Q:Q,'รวมครุภัณฑ์ 70'!C:C,"ครุภัณฑ์ยานพาหนะและขนส่ง",'รวมครุภัณฑ์ 70'!H:H,B63)</f>
        <v>0</v>
      </c>
      <c r="N63" s="73">
        <f>SUMIFS('รวมครุภัณฑ์ 70'!R:R,'รวมครุภัณฑ์ 70'!C:C,"ครุภัณฑ์ยานพาหนะและขนส่ง",'รวมครุภัณฑ์ 70'!H:H,B63)</f>
        <v>0</v>
      </c>
      <c r="O63" s="73">
        <f t="shared" si="12"/>
        <v>0</v>
      </c>
      <c r="P63" s="69">
        <f t="shared" si="13"/>
        <v>0</v>
      </c>
      <c r="Q63" s="70"/>
    </row>
    <row r="64" spans="1:17" ht="21">
      <c r="A64" s="71" t="s">
        <v>107</v>
      </c>
      <c r="B64" s="67" t="s">
        <v>109</v>
      </c>
      <c r="C64" s="22">
        <f>SUMIFS('ครุภัณฑ์ 67'!G:G,'ครุภัณฑ์ 67'!C:C,"ยานพาหนะและขนส่ง",'ครุภัณฑ์ 67'!E:E,B64)</f>
        <v>1090900</v>
      </c>
      <c r="D64" s="75">
        <f>SUMIFS('ครุภัณฑ์ 67'!F:F,'ครุภัณฑ์ 67'!C:C,"ยานพาหนะและขนส่ง",'ครุภัณฑ์ 67'!E:E,B64)</f>
        <v>1</v>
      </c>
      <c r="E64" s="22">
        <f t="shared" si="14"/>
        <v>1090900</v>
      </c>
      <c r="F64" s="13">
        <f>SUMIFS('ครุภัณฑ์ 68'!G:G,'ครุภัณฑ์ 68'!C:C,"ยานพาหนะและขนส่ง",'ครุภัณฑ์ 68'!E:E,B64)</f>
        <v>0</v>
      </c>
      <c r="G64" s="13">
        <f>SUMIFS('ครุภัณฑ์ 68'!F:F,'ครุภัณฑ์ 68'!C:C,"ยานพาหนะและขนส่ง",'ครุภัณฑ์ 68'!E:E,B64)</f>
        <v>0</v>
      </c>
      <c r="H64" s="13">
        <f t="shared" si="10"/>
        <v>0</v>
      </c>
      <c r="I64" s="68">
        <f>SUMIFS('ครุภัณฑ์ 69'!G:G,'ครุภัณฑ์ 69'!C:C,"ยานพาหนะและขนส่ง",'ครุภัณฑ์ 69'!E:E,B64)</f>
        <v>0</v>
      </c>
      <c r="J64" s="68">
        <f>SUMIFS('ครุภัณฑ์ 69'!F:F,'ครุภัณฑ์ 69'!C:C,"ยานพาหนะและขนส่ง",'ครุภัณฑ์ 69'!E:E,B64)</f>
        <v>0</v>
      </c>
      <c r="K64" s="68">
        <f t="shared" si="11"/>
        <v>0</v>
      </c>
      <c r="L64" s="69">
        <f>SUMIFS('รวมครุภัณฑ์ 70'!L:L,'รวมครุภัณฑ์ 70'!C:C,"ครุภัณฑ์ยานพาหนะและขนส่ง",'รวมครุภัณฑ์ 70'!H:H,B64)</f>
        <v>0</v>
      </c>
      <c r="M64" s="73">
        <f>SUMIFS('รวมครุภัณฑ์ 70'!Q:Q,'รวมครุภัณฑ์ 70'!C:C,"ครุภัณฑ์ยานพาหนะและขนส่ง",'รวมครุภัณฑ์ 70'!H:H,B64)</f>
        <v>0</v>
      </c>
      <c r="N64" s="73">
        <f>SUMIFS('รวมครุภัณฑ์ 70'!R:R,'รวมครุภัณฑ์ 70'!C:C,"ครุภัณฑ์ยานพาหนะและขนส่ง",'รวมครุภัณฑ์ 70'!H:H,B64)</f>
        <v>0</v>
      </c>
      <c r="O64" s="73">
        <f t="shared" si="12"/>
        <v>0</v>
      </c>
      <c r="P64" s="69">
        <f t="shared" si="13"/>
        <v>0</v>
      </c>
      <c r="Q64" s="70"/>
    </row>
    <row r="65" spans="1:19" ht="21">
      <c r="A65" s="71" t="s">
        <v>439</v>
      </c>
      <c r="B65" s="67" t="s">
        <v>461</v>
      </c>
      <c r="C65" s="22">
        <f>SUMIFS('ครุภัณฑ์ 67'!G:G,'ครุภัณฑ์ 67'!C:C,"ยานพาหนะและขนส่ง",'ครุภัณฑ์ 67'!E:E,B65)</f>
        <v>0</v>
      </c>
      <c r="D65" s="75">
        <f>SUMIFS('ครุภัณฑ์ 67'!F:F,'ครุภัณฑ์ 67'!C:C,"ยานพาหนะและขนส่ง",'ครุภัณฑ์ 67'!E:E,B65)</f>
        <v>0</v>
      </c>
      <c r="E65" s="22">
        <f t="shared" si="14"/>
        <v>0</v>
      </c>
      <c r="F65" s="13">
        <f>SUMIFS('ครุภัณฑ์ 68'!G:G,'ครุภัณฑ์ 68'!C:C,"ยานพาหนะและขนส่ง",'ครุภัณฑ์ 68'!E:E,B65)</f>
        <v>0</v>
      </c>
      <c r="G65" s="13">
        <f>SUMIFS('ครุภัณฑ์ 68'!F:F,'ครุภัณฑ์ 68'!C:C,"ยานพาหนะและขนส่ง",'ครุภัณฑ์ 68'!E:E,B65)</f>
        <v>0</v>
      </c>
      <c r="H65" s="13">
        <f t="shared" si="10"/>
        <v>0</v>
      </c>
      <c r="I65" s="68">
        <f>SUMIFS('ครุภัณฑ์ 69'!G:G,'ครุภัณฑ์ 69'!C:C,"ยานพาหนะและขนส่ง",'ครุภัณฑ์ 69'!E:E,B65)</f>
        <v>0</v>
      </c>
      <c r="J65" s="68">
        <f>SUMIFS('ครุภัณฑ์ 69'!F:F,'ครุภัณฑ์ 69'!C:C,"ยานพาหนะและขนส่ง",'ครุภัณฑ์ 69'!E:E,B65)</f>
        <v>0</v>
      </c>
      <c r="K65" s="68">
        <f t="shared" si="11"/>
        <v>0</v>
      </c>
      <c r="L65" s="69">
        <f>SUMIFS('รวมครุภัณฑ์ 70'!L:L,'รวมครุภัณฑ์ 70'!C:C,"ครุภัณฑ์ยานพาหนะและขนส่ง",'รวมครุภัณฑ์ 70'!H:H,B65)</f>
        <v>0</v>
      </c>
      <c r="M65" s="73">
        <f>SUMIFS('รวมครุภัณฑ์ 70'!Q:Q,'รวมครุภัณฑ์ 70'!C:C,"ครุภัณฑ์ยานพาหนะและขนส่ง",'รวมครุภัณฑ์ 70'!H:H,B65)</f>
        <v>0</v>
      </c>
      <c r="N65" s="73">
        <f>SUMIFS('รวมครุภัณฑ์ 70'!R:R,'รวมครุภัณฑ์ 70'!C:C,"ครุภัณฑ์ยานพาหนะและขนส่ง",'รวมครุภัณฑ์ 70'!H:H,B65)</f>
        <v>0</v>
      </c>
      <c r="O65" s="73">
        <f t="shared" si="12"/>
        <v>0</v>
      </c>
      <c r="P65" s="69">
        <f t="shared" si="13"/>
        <v>0</v>
      </c>
      <c r="Q65" s="70"/>
    </row>
    <row r="66" spans="1:19" ht="21">
      <c r="A66" s="71" t="s">
        <v>439</v>
      </c>
      <c r="B66" s="67" t="s">
        <v>462</v>
      </c>
      <c r="C66" s="22">
        <f>SUMIFS('ครุภัณฑ์ 67'!G:G,'ครุภัณฑ์ 67'!C:C,"ยานพาหนะและขนส่ง",'ครุภัณฑ์ 67'!E:E,B66)</f>
        <v>0</v>
      </c>
      <c r="D66" s="75">
        <f>SUMIFS('ครุภัณฑ์ 67'!F:F,'ครุภัณฑ์ 67'!C:C,"ยานพาหนะและขนส่ง",'ครุภัณฑ์ 67'!E:E,B66)</f>
        <v>0</v>
      </c>
      <c r="E66" s="22">
        <f t="shared" si="14"/>
        <v>0</v>
      </c>
      <c r="F66" s="13">
        <f>SUMIFS('ครุภัณฑ์ 68'!G:G,'ครุภัณฑ์ 68'!C:C,"ยานพาหนะและขนส่ง",'ครุภัณฑ์ 68'!E:E,B66)</f>
        <v>0</v>
      </c>
      <c r="G66" s="13">
        <f>SUMIFS('ครุภัณฑ์ 68'!F:F,'ครุภัณฑ์ 68'!C:C,"ยานพาหนะและขนส่ง",'ครุภัณฑ์ 68'!E:E,B66)</f>
        <v>0</v>
      </c>
      <c r="H66" s="13">
        <f t="shared" si="10"/>
        <v>0</v>
      </c>
      <c r="I66" s="68">
        <f>SUMIFS('ครุภัณฑ์ 69'!G:G,'ครุภัณฑ์ 69'!C:C,"ยานพาหนะและขนส่ง",'ครุภัณฑ์ 69'!E:E,B66)</f>
        <v>0</v>
      </c>
      <c r="J66" s="68">
        <f>SUMIFS('ครุภัณฑ์ 69'!F:F,'ครุภัณฑ์ 69'!C:C,"ยานพาหนะและขนส่ง",'ครุภัณฑ์ 69'!E:E,B66)</f>
        <v>0</v>
      </c>
      <c r="K66" s="68">
        <f t="shared" si="11"/>
        <v>0</v>
      </c>
      <c r="L66" s="69">
        <f>SUMIFS('รวมครุภัณฑ์ 70'!L:L,'รวมครุภัณฑ์ 70'!C:C,"ครุภัณฑ์ยานพาหนะและขนส่ง",'รวมครุภัณฑ์ 70'!H:H,B66)</f>
        <v>1498000</v>
      </c>
      <c r="M66" s="73">
        <f>SUMIFS('รวมครุภัณฑ์ 70'!Q:Q,'รวมครุภัณฑ์ 70'!C:C,"ครุภัณฑ์ยานพาหนะและขนส่ง",'รวมครุภัณฑ์ 70'!H:H,B66)</f>
        <v>1</v>
      </c>
      <c r="N66" s="73">
        <f>SUMIFS('รวมครุภัณฑ์ 70'!R:R,'รวมครุภัณฑ์ 70'!C:C,"ครุภัณฑ์ยานพาหนะและขนส่ง",'รวมครุภัณฑ์ 70'!H:H,B66)</f>
        <v>0</v>
      </c>
      <c r="O66" s="73">
        <f t="shared" si="12"/>
        <v>1</v>
      </c>
      <c r="P66" s="69">
        <f t="shared" si="13"/>
        <v>1498000</v>
      </c>
      <c r="Q66" s="70"/>
    </row>
    <row r="67" spans="1:19" ht="21">
      <c r="A67" s="71" t="s">
        <v>202</v>
      </c>
      <c r="B67" s="67" t="s">
        <v>204</v>
      </c>
      <c r="C67" s="22">
        <f>SUMIFS('ครุภัณฑ์ 67'!G:G,'ครุภัณฑ์ 67'!C:C,"ยานพาหนะและขนส่ง",'ครุภัณฑ์ 67'!E:E,B67)</f>
        <v>1976800</v>
      </c>
      <c r="D67" s="75">
        <f>SUMIFS('ครุภัณฑ์ 67'!F:F,'ครุภัณฑ์ 67'!C:C,"ยานพาหนะและขนส่ง",'ครุภัณฑ์ 67'!E:E,B67)</f>
        <v>2</v>
      </c>
      <c r="E67" s="22">
        <f t="shared" si="14"/>
        <v>1976800</v>
      </c>
      <c r="F67" s="13">
        <f>SUMIFS('ครุภัณฑ์ 68'!G:G,'ครุภัณฑ์ 68'!C:C,"ยานพาหนะและขนส่ง",'ครุภัณฑ์ 68'!E:E,B67)</f>
        <v>0</v>
      </c>
      <c r="G67" s="13">
        <f>SUMIFS('ครุภัณฑ์ 68'!F:F,'ครุภัณฑ์ 68'!C:C,"ยานพาหนะและขนส่ง",'ครุภัณฑ์ 68'!E:E,B67)</f>
        <v>0</v>
      </c>
      <c r="H67" s="13">
        <f t="shared" si="10"/>
        <v>0</v>
      </c>
      <c r="I67" s="68">
        <f>SUMIFS('ครุภัณฑ์ 69'!G:G,'ครุภัณฑ์ 69'!C:C,"ยานพาหนะและขนส่ง",'ครุภัณฑ์ 69'!E:E,B67)</f>
        <v>0</v>
      </c>
      <c r="J67" s="68">
        <f>SUMIFS('ครุภัณฑ์ 69'!F:F,'ครุภัณฑ์ 69'!C:C,"ยานพาหนะและขนส่ง",'ครุภัณฑ์ 69'!E:E,B67)</f>
        <v>0</v>
      </c>
      <c r="K67" s="68">
        <f t="shared" si="11"/>
        <v>0</v>
      </c>
      <c r="L67" s="69">
        <f>SUMIFS('รวมครุภัณฑ์ 70'!L:L,'รวมครุภัณฑ์ 70'!C:C,"ครุภัณฑ์ยานพาหนะและขนส่ง",'รวมครุภัณฑ์ 70'!H:H,B67)</f>
        <v>0</v>
      </c>
      <c r="M67" s="73">
        <f>SUMIFS('รวมครุภัณฑ์ 70'!Q:Q,'รวมครุภัณฑ์ 70'!C:C,"ครุภัณฑ์ยานพาหนะและขนส่ง",'รวมครุภัณฑ์ 70'!H:H,B67)</f>
        <v>0</v>
      </c>
      <c r="N67" s="73">
        <f>SUMIFS('รวมครุภัณฑ์ 70'!R:R,'รวมครุภัณฑ์ 70'!C:C,"ครุภัณฑ์ยานพาหนะและขนส่ง",'รวมครุภัณฑ์ 70'!H:H,B67)</f>
        <v>0</v>
      </c>
      <c r="O67" s="73">
        <f t="shared" si="12"/>
        <v>0</v>
      </c>
      <c r="P67" s="69">
        <f t="shared" si="13"/>
        <v>0</v>
      </c>
      <c r="Q67" s="70"/>
    </row>
    <row r="68" spans="1:19" ht="21">
      <c r="A68" s="71" t="s">
        <v>205</v>
      </c>
      <c r="B68" s="67" t="s">
        <v>363</v>
      </c>
      <c r="C68" s="22">
        <f>SUMIFS('ครุภัณฑ์ 67'!G:G,'ครุภัณฑ์ 67'!C:C,"ยานพาหนะและขนส่ง",'ครุภัณฑ์ 67'!E:E,B68)</f>
        <v>1358000</v>
      </c>
      <c r="D68" s="75">
        <f>SUMIFS('ครุภัณฑ์ 67'!F:F,'ครุภัณฑ์ 67'!C:C,"ยานพาหนะและขนส่ง",'ครุภัณฑ์ 67'!E:E,B68)</f>
        <v>1</v>
      </c>
      <c r="E68" s="22">
        <f t="shared" si="14"/>
        <v>1358000</v>
      </c>
      <c r="F68" s="13">
        <f>SUMIFS('ครุภัณฑ์ 68'!G:G,'ครุภัณฑ์ 68'!C:C,"ยานพาหนะและขนส่ง",'ครุภัณฑ์ 68'!E:E,B68)</f>
        <v>0</v>
      </c>
      <c r="G68" s="13">
        <f>SUMIFS('ครุภัณฑ์ 68'!F:F,'ครุภัณฑ์ 68'!C:C,"ยานพาหนะและขนส่ง",'ครุภัณฑ์ 68'!E:E,B68)</f>
        <v>0</v>
      </c>
      <c r="H68" s="13">
        <f t="shared" si="10"/>
        <v>0</v>
      </c>
      <c r="I68" s="68">
        <f>SUMIFS('ครุภัณฑ์ 69'!G:G,'ครุภัณฑ์ 69'!C:C,"ยานพาหนะและขนส่ง",'ครุภัณฑ์ 69'!E:E,B68)</f>
        <v>0</v>
      </c>
      <c r="J68" s="68">
        <f>SUMIFS('ครุภัณฑ์ 69'!F:F,'ครุภัณฑ์ 69'!C:C,"ยานพาหนะและขนส่ง",'ครุภัณฑ์ 69'!E:E,B68)</f>
        <v>0</v>
      </c>
      <c r="K68" s="68">
        <f t="shared" si="11"/>
        <v>0</v>
      </c>
      <c r="L68" s="69">
        <f>SUMIFS('รวมครุภัณฑ์ 70'!L:L,'รวมครุภัณฑ์ 70'!C:C,"ครุภัณฑ์ยานพาหนะและขนส่ง",'รวมครุภัณฑ์ 70'!H:H,B68)</f>
        <v>0</v>
      </c>
      <c r="M68" s="73">
        <f>SUMIFS('รวมครุภัณฑ์ 70'!Q:Q,'รวมครุภัณฑ์ 70'!C:C,"ครุภัณฑ์ยานพาหนะและขนส่ง",'รวมครุภัณฑ์ 70'!H:H,B68)</f>
        <v>0</v>
      </c>
      <c r="N68" s="73">
        <f>SUMIFS('รวมครุภัณฑ์ 70'!R:R,'รวมครุภัณฑ์ 70'!C:C,"ครุภัณฑ์ยานพาหนะและขนส่ง",'รวมครุภัณฑ์ 70'!H:H,B68)</f>
        <v>0</v>
      </c>
      <c r="O68" s="73">
        <f t="shared" si="12"/>
        <v>0</v>
      </c>
      <c r="P68" s="69">
        <f t="shared" si="13"/>
        <v>0</v>
      </c>
      <c r="Q68" s="70"/>
    </row>
    <row r="69" spans="1:19" ht="21">
      <c r="A69" s="71" t="s">
        <v>205</v>
      </c>
      <c r="B69" s="67" t="s">
        <v>207</v>
      </c>
      <c r="C69" s="22">
        <f>SUMIFS('ครุภัณฑ์ 67'!G:G,'ครุภัณฑ์ 67'!C:C,"ยานพาหนะและขนส่ง",'ครุภัณฑ์ 67'!E:E,B69)</f>
        <v>0</v>
      </c>
      <c r="D69" s="75">
        <f>SUMIFS('ครุภัณฑ์ 67'!F:F,'ครุภัณฑ์ 67'!C:C,"ยานพาหนะและขนส่ง",'ครุภัณฑ์ 67'!E:E,B69)</f>
        <v>0</v>
      </c>
      <c r="E69" s="22">
        <f t="shared" si="14"/>
        <v>0</v>
      </c>
      <c r="F69" s="13">
        <f>SUMIFS('ครุภัณฑ์ 68'!G:G,'ครุภัณฑ์ 68'!C:C,"ยานพาหนะและขนส่ง",'ครุภัณฑ์ 68'!E:E,B69)</f>
        <v>0</v>
      </c>
      <c r="G69" s="13">
        <f>SUMIFS('ครุภัณฑ์ 68'!F:F,'ครุภัณฑ์ 68'!C:C,"ยานพาหนะและขนส่ง",'ครุภัณฑ์ 68'!E:E,B69)</f>
        <v>0</v>
      </c>
      <c r="H69" s="13">
        <f t="shared" si="10"/>
        <v>0</v>
      </c>
      <c r="I69" s="68">
        <f>SUMIFS('ครุภัณฑ์ 69'!G:G,'ครุภัณฑ์ 69'!C:C,"ยานพาหนะและขนส่ง",'ครุภัณฑ์ 69'!E:E,B69)</f>
        <v>0</v>
      </c>
      <c r="J69" s="68">
        <f>SUMIFS('ครุภัณฑ์ 69'!F:F,'ครุภัณฑ์ 69'!C:C,"ยานพาหนะและขนส่ง",'ครุภัณฑ์ 69'!E:E,B69)</f>
        <v>0</v>
      </c>
      <c r="K69" s="68">
        <f t="shared" si="11"/>
        <v>0</v>
      </c>
      <c r="L69" s="69">
        <f>SUMIFS('รวมครุภัณฑ์ 70'!L:L,'รวมครุภัณฑ์ 70'!C:C,"ครุภัณฑ์ยานพาหนะและขนส่ง",'รวมครุภัณฑ์ 70'!H:H,B69)</f>
        <v>0</v>
      </c>
      <c r="M69" s="73">
        <f>SUMIFS('รวมครุภัณฑ์ 70'!Q:Q,'รวมครุภัณฑ์ 70'!C:C,"ครุภัณฑ์ยานพาหนะและขนส่ง",'รวมครุภัณฑ์ 70'!H:H,B69)</f>
        <v>0</v>
      </c>
      <c r="N69" s="73">
        <f>SUMIFS('รวมครุภัณฑ์ 70'!R:R,'รวมครุภัณฑ์ 70'!C:C,"ครุภัณฑ์ยานพาหนะและขนส่ง",'รวมครุภัณฑ์ 70'!H:H,B69)</f>
        <v>0</v>
      </c>
      <c r="O69" s="73">
        <f t="shared" si="12"/>
        <v>0</v>
      </c>
      <c r="P69" s="69">
        <f t="shared" si="13"/>
        <v>0</v>
      </c>
      <c r="Q69" s="70"/>
    </row>
    <row r="70" spans="1:19" ht="21">
      <c r="A70" s="71" t="s">
        <v>110</v>
      </c>
      <c r="B70" s="67" t="s">
        <v>365</v>
      </c>
      <c r="C70" s="22">
        <f>SUMIFS('ครุภัณฑ์ 67'!G:G,'ครุภัณฑ์ 67'!C:C,"ยานพาหนะและขนส่ง",'ครุภัณฑ์ 67'!E:E,B70)</f>
        <v>885900</v>
      </c>
      <c r="D70" s="75">
        <f>SUMIFS('ครุภัณฑ์ 67'!F:F,'ครุภัณฑ์ 67'!C:C,"ยานพาหนะและขนส่ง",'ครุภัณฑ์ 67'!E:E,B70)</f>
        <v>1</v>
      </c>
      <c r="E70" s="22">
        <f t="shared" si="14"/>
        <v>885900</v>
      </c>
      <c r="F70" s="13">
        <f>SUMIFS('ครุภัณฑ์ 68'!G:G,'ครุภัณฑ์ 68'!C:C,"ยานพาหนะและขนส่ง",'ครุภัณฑ์ 68'!E:E,B70)</f>
        <v>0</v>
      </c>
      <c r="G70" s="13">
        <f>SUMIFS('ครุภัณฑ์ 68'!F:F,'ครุภัณฑ์ 68'!C:C,"ยานพาหนะและขนส่ง",'ครุภัณฑ์ 68'!E:E,B70)</f>
        <v>0</v>
      </c>
      <c r="H70" s="13">
        <f t="shared" si="10"/>
        <v>0</v>
      </c>
      <c r="I70" s="68">
        <f>SUMIFS('ครุภัณฑ์ 69'!G:G,'ครุภัณฑ์ 69'!C:C,"ยานพาหนะและขนส่ง",'ครุภัณฑ์ 69'!E:E,B70)</f>
        <v>0</v>
      </c>
      <c r="J70" s="68">
        <f>SUMIFS('ครุภัณฑ์ 69'!F:F,'ครุภัณฑ์ 69'!C:C,"ยานพาหนะและขนส่ง",'ครุภัณฑ์ 69'!E:E,B70)</f>
        <v>0</v>
      </c>
      <c r="K70" s="68">
        <f t="shared" si="11"/>
        <v>0</v>
      </c>
      <c r="L70" s="69">
        <f>SUMIFS('รวมครุภัณฑ์ 70'!L:L,'รวมครุภัณฑ์ 70'!C:C,"ครุภัณฑ์ยานพาหนะและขนส่ง",'รวมครุภัณฑ์ 70'!H:H,B70)</f>
        <v>970900</v>
      </c>
      <c r="M70" s="73">
        <f>SUMIFS('รวมครุภัณฑ์ 70'!Q:Q,'รวมครุภัณฑ์ 70'!C:C,"ครุภัณฑ์ยานพาหนะและขนส่ง",'รวมครุภัณฑ์ 70'!H:H,B70)</f>
        <v>1</v>
      </c>
      <c r="N70" s="73">
        <f>SUMIFS('รวมครุภัณฑ์ 70'!R:R,'รวมครุภัณฑ์ 70'!C:C,"ครุภัณฑ์ยานพาหนะและขนส่ง",'รวมครุภัณฑ์ 70'!H:H,B70)</f>
        <v>0</v>
      </c>
      <c r="O70" s="73">
        <f t="shared" si="12"/>
        <v>1</v>
      </c>
      <c r="P70" s="69">
        <f t="shared" si="13"/>
        <v>970900</v>
      </c>
      <c r="Q70" s="70"/>
      <c r="S70" s="62"/>
    </row>
    <row r="71" spans="1:19" ht="21">
      <c r="A71" s="71" t="s">
        <v>110</v>
      </c>
      <c r="B71" s="67" t="s">
        <v>114</v>
      </c>
      <c r="C71" s="22">
        <f>SUMIFS('ครุภัณฑ์ 67'!G:G,'ครุภัณฑ์ 67'!C:C,"ยานพาหนะและขนส่ง",'ครุภัณฑ์ 67'!E:E,B71)</f>
        <v>0</v>
      </c>
      <c r="D71" s="75">
        <f>SUMIFS('ครุภัณฑ์ 67'!F:F,'ครุภัณฑ์ 67'!C:C,"ยานพาหนะและขนส่ง",'ครุภัณฑ์ 67'!E:E,B71)</f>
        <v>0</v>
      </c>
      <c r="E71" s="22">
        <f t="shared" si="14"/>
        <v>0</v>
      </c>
      <c r="F71" s="13">
        <f>SUMIFS('ครุภัณฑ์ 68'!G:G,'ครุภัณฑ์ 68'!C:C,"ยานพาหนะและขนส่ง",'ครุภัณฑ์ 68'!E:E,B71)</f>
        <v>0</v>
      </c>
      <c r="G71" s="13">
        <f>SUMIFS('ครุภัณฑ์ 68'!F:F,'ครุภัณฑ์ 68'!C:C,"ยานพาหนะและขนส่ง",'ครุภัณฑ์ 68'!E:E,B71)</f>
        <v>0</v>
      </c>
      <c r="H71" s="13">
        <f t="shared" si="10"/>
        <v>0</v>
      </c>
      <c r="I71" s="68">
        <f>SUMIFS('ครุภัณฑ์ 69'!G:G,'ครุภัณฑ์ 69'!C:C,"ยานพาหนะและขนส่ง",'ครุภัณฑ์ 69'!E:E,B71)</f>
        <v>0</v>
      </c>
      <c r="J71" s="68">
        <f>SUMIFS('ครุภัณฑ์ 69'!F:F,'ครุภัณฑ์ 69'!C:C,"ยานพาหนะและขนส่ง",'ครุภัณฑ์ 69'!E:E,B71)</f>
        <v>0</v>
      </c>
      <c r="K71" s="68">
        <f t="shared" si="11"/>
        <v>0</v>
      </c>
      <c r="L71" s="69">
        <f>SUMIFS('รวมครุภัณฑ์ 70'!L:L,'รวมครุภัณฑ์ 70'!C:C,"ครุภัณฑ์ยานพาหนะและขนส่ง",'รวมครุภัณฑ์ 70'!H:H,B71)</f>
        <v>1329000</v>
      </c>
      <c r="M71" s="73">
        <f>SUMIFS('รวมครุภัณฑ์ 70'!Q:Q,'รวมครุภัณฑ์ 70'!C:C,"ครุภัณฑ์ยานพาหนะและขนส่ง",'รวมครุภัณฑ์ 70'!H:H,B71)</f>
        <v>1</v>
      </c>
      <c r="N71" s="73">
        <f>SUMIFS('รวมครุภัณฑ์ 70'!R:R,'รวมครุภัณฑ์ 70'!C:C,"ครุภัณฑ์ยานพาหนะและขนส่ง",'รวมครุภัณฑ์ 70'!H:H,B71)</f>
        <v>0</v>
      </c>
      <c r="O71" s="73">
        <f t="shared" si="12"/>
        <v>1</v>
      </c>
      <c r="P71" s="69">
        <f t="shared" si="13"/>
        <v>1329000</v>
      </c>
      <c r="Q71" s="70"/>
    </row>
    <row r="72" spans="1:19" ht="21">
      <c r="A72" s="71" t="s">
        <v>110</v>
      </c>
      <c r="B72" s="67" t="s">
        <v>117</v>
      </c>
      <c r="C72" s="22">
        <f>SUMIFS('ครุภัณฑ์ 67'!G:G,'ครุภัณฑ์ 67'!C:C,"ยานพาหนะและขนส่ง",'ครุภัณฑ์ 67'!E:E,B72)</f>
        <v>0</v>
      </c>
      <c r="D72" s="75">
        <f>SUMIFS('ครุภัณฑ์ 67'!F:F,'ครุภัณฑ์ 67'!C:C,"ยานพาหนะและขนส่ง",'ครุภัณฑ์ 67'!E:E,B72)</f>
        <v>0</v>
      </c>
      <c r="E72" s="22">
        <f t="shared" si="14"/>
        <v>0</v>
      </c>
      <c r="F72" s="13">
        <f>SUMIFS('ครุภัณฑ์ 68'!G:G,'ครุภัณฑ์ 68'!C:C,"ยานพาหนะและขนส่ง",'ครุภัณฑ์ 68'!E:E,B72)</f>
        <v>0</v>
      </c>
      <c r="G72" s="13">
        <f>SUMIFS('ครุภัณฑ์ 68'!F:F,'ครุภัณฑ์ 68'!C:C,"ยานพาหนะและขนส่ง",'ครุภัณฑ์ 68'!E:E,B72)</f>
        <v>0</v>
      </c>
      <c r="H72" s="13">
        <f t="shared" si="10"/>
        <v>0</v>
      </c>
      <c r="I72" s="68">
        <f>SUMIFS('ครุภัณฑ์ 69'!G:G,'ครุภัณฑ์ 69'!C:C,"ยานพาหนะและขนส่ง",'ครุภัณฑ์ 69'!E:E,B72)</f>
        <v>0</v>
      </c>
      <c r="J72" s="68">
        <f>SUMIFS('ครุภัณฑ์ 69'!F:F,'ครุภัณฑ์ 69'!C:C,"ยานพาหนะและขนส่ง",'ครุภัณฑ์ 69'!E:E,B72)</f>
        <v>0</v>
      </c>
      <c r="K72" s="68">
        <f t="shared" si="11"/>
        <v>0</v>
      </c>
      <c r="L72" s="69">
        <f>SUMIFS('รวมครุภัณฑ์ 70'!L:L,'รวมครุภัณฑ์ 70'!C:C,"ครุภัณฑ์ยานพาหนะและขนส่ง",'รวมครุภัณฑ์ 70'!H:H,B72)</f>
        <v>0</v>
      </c>
      <c r="M72" s="73">
        <f>SUMIFS('รวมครุภัณฑ์ 70'!Q:Q,'รวมครุภัณฑ์ 70'!C:C,"ครุภัณฑ์ยานพาหนะและขนส่ง",'รวมครุภัณฑ์ 70'!H:H,B72)</f>
        <v>0</v>
      </c>
      <c r="N72" s="73">
        <f>SUMIFS('รวมครุภัณฑ์ 70'!R:R,'รวมครุภัณฑ์ 70'!C:C,"ครุภัณฑ์ยานพาหนะและขนส่ง",'รวมครุภัณฑ์ 70'!H:H,B72)</f>
        <v>0</v>
      </c>
      <c r="O72" s="73">
        <f t="shared" si="12"/>
        <v>0</v>
      </c>
      <c r="P72" s="69">
        <f t="shared" si="13"/>
        <v>0</v>
      </c>
      <c r="Q72" s="70"/>
    </row>
    <row r="73" spans="1:19" ht="21">
      <c r="A73" s="71" t="s">
        <v>110</v>
      </c>
      <c r="B73" s="67" t="s">
        <v>112</v>
      </c>
      <c r="C73" s="22">
        <f>SUMIFS('ครุภัณฑ์ 67'!G:G,'ครุภัณฑ์ 67'!C:C,"ยานพาหนะและขนส่ง",'ครุภัณฑ์ 67'!E:E,B73)</f>
        <v>0</v>
      </c>
      <c r="D73" s="75">
        <f>SUMIFS('ครุภัณฑ์ 67'!F:F,'ครุภัณฑ์ 67'!C:C,"ยานพาหนะและขนส่ง",'ครุภัณฑ์ 67'!E:E,B73)</f>
        <v>0</v>
      </c>
      <c r="E73" s="22">
        <f t="shared" si="14"/>
        <v>0</v>
      </c>
      <c r="F73" s="13">
        <f>SUMIFS('ครุภัณฑ์ 68'!G:G,'ครุภัณฑ์ 68'!C:C,"ยานพาหนะและขนส่ง",'ครุภัณฑ์ 68'!E:E,B73)</f>
        <v>0</v>
      </c>
      <c r="G73" s="13">
        <f>SUMIFS('ครุภัณฑ์ 68'!F:F,'ครุภัณฑ์ 68'!C:C,"ยานพาหนะและขนส่ง",'ครุภัณฑ์ 68'!E:E,B73)</f>
        <v>0</v>
      </c>
      <c r="H73" s="13">
        <f t="shared" si="10"/>
        <v>0</v>
      </c>
      <c r="I73" s="68">
        <f>SUMIFS('ครุภัณฑ์ 69'!G:G,'ครุภัณฑ์ 69'!C:C,"ยานพาหนะและขนส่ง",'ครุภัณฑ์ 69'!E:E,B73)</f>
        <v>1369000</v>
      </c>
      <c r="J73" s="68">
        <f>SUMIFS('ครุภัณฑ์ 69'!F:F,'ครุภัณฑ์ 69'!C:C,"ยานพาหนะและขนส่ง",'ครุภัณฑ์ 69'!E:E,B73)</f>
        <v>1</v>
      </c>
      <c r="K73" s="68">
        <f t="shared" si="11"/>
        <v>1369000</v>
      </c>
      <c r="L73" s="69">
        <f>SUMIFS('รวมครุภัณฑ์ 70'!L:L,'รวมครุภัณฑ์ 70'!C:C,"ครุภัณฑ์ยานพาหนะและขนส่ง",'รวมครุภัณฑ์ 70'!H:H,B73)</f>
        <v>0</v>
      </c>
      <c r="M73" s="73">
        <f>SUMIFS('รวมครุภัณฑ์ 70'!Q:Q,'รวมครุภัณฑ์ 70'!C:C,"ครุภัณฑ์ยานพาหนะและขนส่ง",'รวมครุภัณฑ์ 70'!H:H,B73)</f>
        <v>0</v>
      </c>
      <c r="N73" s="73">
        <f>SUMIFS('รวมครุภัณฑ์ 70'!R:R,'รวมครุภัณฑ์ 70'!C:C,"ครุภัณฑ์ยานพาหนะและขนส่ง",'รวมครุภัณฑ์ 70'!H:H,B73)</f>
        <v>0</v>
      </c>
      <c r="O73" s="73">
        <f t="shared" si="12"/>
        <v>0</v>
      </c>
      <c r="P73" s="69">
        <f t="shared" si="13"/>
        <v>0</v>
      </c>
      <c r="Q73" s="70"/>
    </row>
    <row r="74" spans="1:19" ht="21">
      <c r="A74" s="71" t="s">
        <v>438</v>
      </c>
      <c r="B74" s="67" t="s">
        <v>463</v>
      </c>
      <c r="C74" s="22">
        <f>SUMIFS('ครุภัณฑ์ 67'!G:G,'ครุภัณฑ์ 67'!C:C,"ยานพาหนะและขนส่ง",'ครุภัณฑ์ 67'!E:E,B74)</f>
        <v>0</v>
      </c>
      <c r="D74" s="75">
        <f>SUMIFS('ครุภัณฑ์ 67'!F:F,'ครุภัณฑ์ 67'!C:C,"ยานพาหนะและขนส่ง",'ครุภัณฑ์ 67'!E:E,B74)</f>
        <v>0</v>
      </c>
      <c r="E74" s="22">
        <f t="shared" si="14"/>
        <v>0</v>
      </c>
      <c r="F74" s="13">
        <f>SUMIFS('ครุภัณฑ์ 68'!G:G,'ครุภัณฑ์ 68'!C:C,"ยานพาหนะและขนส่ง",'ครุภัณฑ์ 68'!E:E,B74)</f>
        <v>0</v>
      </c>
      <c r="G74" s="13">
        <f>SUMIFS('ครุภัณฑ์ 68'!F:F,'ครุภัณฑ์ 68'!C:C,"ยานพาหนะและขนส่ง",'ครุภัณฑ์ 68'!E:E,B74)</f>
        <v>0</v>
      </c>
      <c r="H74" s="13">
        <f t="shared" si="10"/>
        <v>0</v>
      </c>
      <c r="I74" s="68">
        <f>SUMIFS('ครุภัณฑ์ 69'!G:G,'ครุภัณฑ์ 69'!C:C,"ยานพาหนะและขนส่ง",'ครุภัณฑ์ 69'!E:E,B74)</f>
        <v>0</v>
      </c>
      <c r="J74" s="68">
        <f>SUMIFS('ครุภัณฑ์ 69'!F:F,'ครุภัณฑ์ 69'!C:C,"ยานพาหนะและขนส่ง",'ครุภัณฑ์ 69'!E:E,B74)</f>
        <v>0</v>
      </c>
      <c r="K74" s="68">
        <f t="shared" si="11"/>
        <v>0</v>
      </c>
      <c r="L74" s="69">
        <f>SUMIFS('รวมครุภัณฑ์ 70'!L:L,'รวมครุภัณฑ์ 70'!C:C,"ครุภัณฑ์ยานพาหนะและขนส่ง",'รวมครุภัณฑ์ 70'!H:H,B74)</f>
        <v>0</v>
      </c>
      <c r="M74" s="73">
        <f>SUMIFS('รวมครุภัณฑ์ 70'!Q:Q,'รวมครุภัณฑ์ 70'!C:C,"ครุภัณฑ์ยานพาหนะและขนส่ง",'รวมครุภัณฑ์ 70'!H:H,B74)</f>
        <v>0</v>
      </c>
      <c r="N74" s="73">
        <f>SUMIFS('รวมครุภัณฑ์ 70'!R:R,'รวมครุภัณฑ์ 70'!C:C,"ครุภัณฑ์ยานพาหนะและขนส่ง",'รวมครุภัณฑ์ 70'!H:H,B74)</f>
        <v>0</v>
      </c>
      <c r="O74" s="73">
        <f t="shared" si="12"/>
        <v>0</v>
      </c>
      <c r="P74" s="69">
        <f t="shared" si="13"/>
        <v>0</v>
      </c>
      <c r="Q74" s="70"/>
    </row>
    <row r="75" spans="1:19" ht="21">
      <c r="A75" s="71" t="s">
        <v>119</v>
      </c>
      <c r="B75" s="67" t="s">
        <v>121</v>
      </c>
      <c r="C75" s="22">
        <f>SUMIFS('ครุภัณฑ์ 67'!G:G,'ครุภัณฑ์ 67'!C:C,"ยานพาหนะและขนส่ง",'ครุภัณฑ์ 67'!E:E,B75)</f>
        <v>0</v>
      </c>
      <c r="D75" s="75">
        <f>SUMIFS('ครุภัณฑ์ 67'!F:F,'ครุภัณฑ์ 67'!C:C,"ยานพาหนะและขนส่ง",'ครุภัณฑ์ 67'!E:E,B75)</f>
        <v>0</v>
      </c>
      <c r="E75" s="22">
        <f t="shared" si="14"/>
        <v>0</v>
      </c>
      <c r="F75" s="13">
        <f>SUMIFS('ครุภัณฑ์ 68'!G:G,'ครุภัณฑ์ 68'!C:C,"ยานพาหนะและขนส่ง",'ครุภัณฑ์ 68'!E:E,B75)</f>
        <v>0</v>
      </c>
      <c r="G75" s="13">
        <f>SUMIFS('ครุภัณฑ์ 68'!F:F,'ครุภัณฑ์ 68'!C:C,"ยานพาหนะและขนส่ง",'ครุภัณฑ์ 68'!E:E,B75)</f>
        <v>0</v>
      </c>
      <c r="H75" s="13">
        <f t="shared" si="10"/>
        <v>0</v>
      </c>
      <c r="I75" s="68">
        <f>SUMIFS('ครุภัณฑ์ 69'!G:G,'ครุภัณฑ์ 69'!C:C,"ยานพาหนะและขนส่ง",'ครุภัณฑ์ 69'!E:E,B75)</f>
        <v>970900</v>
      </c>
      <c r="J75" s="68">
        <f>SUMIFS('ครุภัณฑ์ 69'!F:F,'ครุภัณฑ์ 69'!C:C,"ยานพาหนะและขนส่ง",'ครุภัณฑ์ 69'!E:E,B75)</f>
        <v>1</v>
      </c>
      <c r="K75" s="68">
        <f t="shared" si="11"/>
        <v>970900</v>
      </c>
      <c r="L75" s="69">
        <f>SUMIFS('รวมครุภัณฑ์ 70'!L:L,'รวมครุภัณฑ์ 70'!C:C,"ครุภัณฑ์ยานพาหนะและขนส่ง",'รวมครุภัณฑ์ 70'!H:H,B75)</f>
        <v>1498000</v>
      </c>
      <c r="M75" s="73">
        <f>SUMIFS('รวมครุภัณฑ์ 70'!Q:Q,'รวมครุภัณฑ์ 70'!C:C,"ครุภัณฑ์ยานพาหนะและขนส่ง",'รวมครุภัณฑ์ 70'!H:H,B75)</f>
        <v>1</v>
      </c>
      <c r="N75" s="73">
        <f>SUMIFS('รวมครุภัณฑ์ 70'!R:R,'รวมครุภัณฑ์ 70'!C:C,"ครุภัณฑ์ยานพาหนะและขนส่ง",'รวมครุภัณฑ์ 70'!H:H,B75)</f>
        <v>0</v>
      </c>
      <c r="O75" s="73">
        <f t="shared" si="12"/>
        <v>1</v>
      </c>
      <c r="P75" s="69">
        <f t="shared" si="13"/>
        <v>1498000</v>
      </c>
      <c r="Q75" s="70"/>
    </row>
    <row r="76" spans="1:19" ht="21">
      <c r="A76" s="71" t="s">
        <v>122</v>
      </c>
      <c r="B76" s="67" t="s">
        <v>124</v>
      </c>
      <c r="C76" s="22">
        <f>SUMIFS('ครุภัณฑ์ 67'!G:G,'ครุภัณฑ์ 67'!C:C,"ยานพาหนะและขนส่ง",'ครุภัณฑ์ 67'!E:E,B76)</f>
        <v>885900</v>
      </c>
      <c r="D76" s="75">
        <f>SUMIFS('ครุภัณฑ์ 67'!F:F,'ครุภัณฑ์ 67'!C:C,"ยานพาหนะและขนส่ง",'ครุภัณฑ์ 67'!E:E,B76)</f>
        <v>1</v>
      </c>
      <c r="E76" s="22">
        <f t="shared" si="14"/>
        <v>885900</v>
      </c>
      <c r="F76" s="13">
        <f>SUMIFS('ครุภัณฑ์ 68'!G:G,'ครุภัณฑ์ 68'!C:C,"ยานพาหนะและขนส่ง",'ครุภัณฑ์ 68'!E:E,B76)</f>
        <v>0</v>
      </c>
      <c r="G76" s="13">
        <f>SUMIFS('ครุภัณฑ์ 68'!F:F,'ครุภัณฑ์ 68'!C:C,"ยานพาหนะและขนส่ง",'ครุภัณฑ์ 68'!E:E,B76)</f>
        <v>0</v>
      </c>
      <c r="H76" s="13">
        <f t="shared" si="10"/>
        <v>0</v>
      </c>
      <c r="I76" s="68">
        <f>SUMIFS('ครุภัณฑ์ 69'!G:G,'ครุภัณฑ์ 69'!C:C,"ยานพาหนะและขนส่ง",'ครุภัณฑ์ 69'!E:E,B76)</f>
        <v>0</v>
      </c>
      <c r="J76" s="68">
        <f>SUMIFS('ครุภัณฑ์ 69'!F:F,'ครุภัณฑ์ 69'!C:C,"ยานพาหนะและขนส่ง",'ครุภัณฑ์ 69'!E:E,B76)</f>
        <v>0</v>
      </c>
      <c r="K76" s="68">
        <f t="shared" si="11"/>
        <v>0</v>
      </c>
      <c r="L76" s="69">
        <f>SUMIFS('รวมครุภัณฑ์ 70'!L:L,'รวมครุภัณฑ์ 70'!C:C,"ครุภัณฑ์ยานพาหนะและขนส่ง",'รวมครุภัณฑ์ 70'!H:H,B76)</f>
        <v>1207900</v>
      </c>
      <c r="M76" s="73">
        <f>SUMIFS('รวมครุภัณฑ์ 70'!Q:Q,'รวมครุภัณฑ์ 70'!C:C,"ครุภัณฑ์ยานพาหนะและขนส่ง",'รวมครุภัณฑ์ 70'!H:H,B76)</f>
        <v>1</v>
      </c>
      <c r="N76" s="73">
        <f>SUMIFS('รวมครุภัณฑ์ 70'!R:R,'รวมครุภัณฑ์ 70'!C:C,"ครุภัณฑ์ยานพาหนะและขนส่ง",'รวมครุภัณฑ์ 70'!H:H,B76)</f>
        <v>0</v>
      </c>
      <c r="O76" s="73">
        <f t="shared" si="12"/>
        <v>1</v>
      </c>
      <c r="P76" s="69">
        <f t="shared" si="13"/>
        <v>1207900</v>
      </c>
      <c r="Q76" s="70"/>
    </row>
    <row r="77" spans="1:19" ht="21">
      <c r="A77" s="71" t="s">
        <v>126</v>
      </c>
      <c r="B77" s="67" t="s">
        <v>128</v>
      </c>
      <c r="C77" s="22">
        <f>SUMIFS('ครุภัณฑ์ 67'!G:G,'ครุภัณฑ์ 67'!C:C,"ยานพาหนะและขนส่ง",'ครุภัณฑ์ 67'!E:E,B77)</f>
        <v>1358000</v>
      </c>
      <c r="D77" s="75">
        <f>SUMIFS('ครุภัณฑ์ 67'!F:F,'ครุภัณฑ์ 67'!C:C,"ยานพาหนะและขนส่ง",'ครุภัณฑ์ 67'!E:E,B77)</f>
        <v>1</v>
      </c>
      <c r="E77" s="22">
        <f t="shared" si="14"/>
        <v>1358000</v>
      </c>
      <c r="F77" s="13">
        <f>SUMIFS('ครุภัณฑ์ 68'!G:G,'ครุภัณฑ์ 68'!C:C,"ยานพาหนะและขนส่ง",'ครุภัณฑ์ 68'!E:E,B77)</f>
        <v>885900</v>
      </c>
      <c r="G77" s="13">
        <f>SUMIFS('ครุภัณฑ์ 68'!F:F,'ครุภัณฑ์ 68'!C:C,"ยานพาหนะและขนส่ง",'ครุภัณฑ์ 68'!E:E,B77)</f>
        <v>1</v>
      </c>
      <c r="H77" s="13">
        <f t="shared" si="10"/>
        <v>885900</v>
      </c>
      <c r="I77" s="68">
        <f>SUMIFS('ครุภัณฑ์ 69'!G:G,'ครุภัณฑ์ 69'!C:C,"ยานพาหนะและขนส่ง",'ครุภัณฑ์ 69'!E:E,B77)</f>
        <v>0</v>
      </c>
      <c r="J77" s="68">
        <f>SUMIFS('ครุภัณฑ์ 69'!F:F,'ครุภัณฑ์ 69'!C:C,"ยานพาหนะและขนส่ง",'ครุภัณฑ์ 69'!E:E,B77)</f>
        <v>0</v>
      </c>
      <c r="K77" s="68">
        <f t="shared" si="11"/>
        <v>0</v>
      </c>
      <c r="L77" s="69">
        <f>SUMIFS('รวมครุภัณฑ์ 70'!L:L,'รวมครุภัณฑ์ 70'!C:C,"ครุภัณฑ์ยานพาหนะและขนส่ง",'รวมครุภัณฑ์ 70'!H:H,B77)</f>
        <v>0</v>
      </c>
      <c r="M77" s="73">
        <f>SUMIFS('รวมครุภัณฑ์ 70'!Q:Q,'รวมครุภัณฑ์ 70'!C:C,"ครุภัณฑ์ยานพาหนะและขนส่ง",'รวมครุภัณฑ์ 70'!H:H,B77)</f>
        <v>0</v>
      </c>
      <c r="N77" s="73">
        <f>SUMIFS('รวมครุภัณฑ์ 70'!R:R,'รวมครุภัณฑ์ 70'!C:C,"ครุภัณฑ์ยานพาหนะและขนส่ง",'รวมครุภัณฑ์ 70'!H:H,B77)</f>
        <v>0</v>
      </c>
      <c r="O77" s="73">
        <f t="shared" si="12"/>
        <v>0</v>
      </c>
      <c r="P77" s="69">
        <f t="shared" si="13"/>
        <v>0</v>
      </c>
      <c r="Q77" s="70"/>
    </row>
    <row r="78" spans="1:19" ht="21">
      <c r="A78" s="71" t="s">
        <v>130</v>
      </c>
      <c r="B78" s="67" t="s">
        <v>132</v>
      </c>
      <c r="C78" s="22">
        <f>SUMIFS('ครุภัณฑ์ 67'!G:G,'ครุภัณฑ์ 67'!C:C,"ยานพาหนะและขนส่ง",'ครุภัณฑ์ 67'!E:E,B78)</f>
        <v>2448900</v>
      </c>
      <c r="D78" s="75">
        <f>SUMIFS('ครุภัณฑ์ 67'!F:F,'ครุภัณฑ์ 67'!C:C,"ยานพาหนะและขนส่ง",'ครุภัณฑ์ 67'!E:E,B78)</f>
        <v>2</v>
      </c>
      <c r="E78" s="22">
        <f t="shared" si="14"/>
        <v>2448900</v>
      </c>
      <c r="F78" s="13">
        <f>SUMIFS('ครุภัณฑ์ 68'!G:G,'ครุภัณฑ์ 68'!C:C,"ยานพาหนะและขนส่ง",'ครุภัณฑ์ 68'!E:E,B78)</f>
        <v>0</v>
      </c>
      <c r="G78" s="13">
        <f>SUMIFS('ครุภัณฑ์ 68'!F:F,'ครุภัณฑ์ 68'!C:C,"ยานพาหนะและขนส่ง",'ครุภัณฑ์ 68'!E:E,B78)</f>
        <v>0</v>
      </c>
      <c r="H78" s="13">
        <f t="shared" si="10"/>
        <v>0</v>
      </c>
      <c r="I78" s="68">
        <f>SUMIFS('ครุภัณฑ์ 69'!G:G,'ครุภัณฑ์ 69'!C:C,"ยานพาหนะและขนส่ง",'ครุภัณฑ์ 69'!E:E,B78)</f>
        <v>0</v>
      </c>
      <c r="J78" s="68">
        <f>SUMIFS('ครุภัณฑ์ 69'!F:F,'ครุภัณฑ์ 69'!C:C,"ยานพาหนะและขนส่ง",'ครุภัณฑ์ 69'!E:E,B78)</f>
        <v>0</v>
      </c>
      <c r="K78" s="68">
        <f t="shared" si="11"/>
        <v>0</v>
      </c>
      <c r="L78" s="69">
        <f>SUMIFS('รวมครุภัณฑ์ 70'!L:L,'รวมครุภัณฑ์ 70'!C:C,"ครุภัณฑ์ยานพาหนะและขนส่ง",'รวมครุภัณฑ์ 70'!H:H,B78)</f>
        <v>1207900</v>
      </c>
      <c r="M78" s="73">
        <f>SUMIFS('รวมครุภัณฑ์ 70'!Q:Q,'รวมครุภัณฑ์ 70'!C:C,"ครุภัณฑ์ยานพาหนะและขนส่ง",'รวมครุภัณฑ์ 70'!H:H,B78)</f>
        <v>1</v>
      </c>
      <c r="N78" s="73">
        <f>SUMIFS('รวมครุภัณฑ์ 70'!R:R,'รวมครุภัณฑ์ 70'!C:C,"ครุภัณฑ์ยานพาหนะและขนส่ง",'รวมครุภัณฑ์ 70'!H:H,B78)</f>
        <v>0</v>
      </c>
      <c r="O78" s="73">
        <f t="shared" si="12"/>
        <v>1</v>
      </c>
      <c r="P78" s="69">
        <f t="shared" si="13"/>
        <v>1207900</v>
      </c>
      <c r="Q78" s="70"/>
    </row>
    <row r="79" spans="1:19" ht="21">
      <c r="A79" s="71" t="s">
        <v>130</v>
      </c>
      <c r="B79" s="67" t="s">
        <v>213</v>
      </c>
      <c r="C79" s="22">
        <f>SUMIFS('ครุภัณฑ์ 67'!G:G,'ครุภัณฑ์ 67'!C:C,"ยานพาหนะและขนส่ง",'ครุภัณฑ์ 67'!E:E,B79)</f>
        <v>0</v>
      </c>
      <c r="D79" s="75">
        <f>SUMIFS('ครุภัณฑ์ 67'!F:F,'ครุภัณฑ์ 67'!C:C,"ยานพาหนะและขนส่ง",'ครุภัณฑ์ 67'!E:E,B79)</f>
        <v>0</v>
      </c>
      <c r="E79" s="22">
        <f t="shared" si="14"/>
        <v>0</v>
      </c>
      <c r="F79" s="13">
        <f>SUMIFS('ครุภัณฑ์ 68'!G:G,'ครุภัณฑ์ 68'!C:C,"ยานพาหนะและขนส่ง",'ครุภัณฑ์ 68'!E:E,B79)</f>
        <v>0</v>
      </c>
      <c r="G79" s="13">
        <f>SUMIFS('ครุภัณฑ์ 68'!F:F,'ครุภัณฑ์ 68'!C:C,"ยานพาหนะและขนส่ง",'ครุภัณฑ์ 68'!E:E,B79)</f>
        <v>0</v>
      </c>
      <c r="H79" s="13">
        <f t="shared" si="10"/>
        <v>0</v>
      </c>
      <c r="I79" s="68">
        <f>SUMIFS('ครุภัณฑ์ 69'!G:G,'ครุภัณฑ์ 69'!C:C,"ยานพาหนะและขนส่ง",'ครุภัณฑ์ 69'!E:E,B79)</f>
        <v>0</v>
      </c>
      <c r="J79" s="68">
        <f>SUMIFS('ครุภัณฑ์ 69'!F:F,'ครุภัณฑ์ 69'!C:C,"ยานพาหนะและขนส่ง",'ครุภัณฑ์ 69'!E:E,B79)</f>
        <v>0</v>
      </c>
      <c r="K79" s="68">
        <f t="shared" si="11"/>
        <v>0</v>
      </c>
      <c r="L79" s="69">
        <f>SUMIFS('รวมครุภัณฑ์ 70'!L:L,'รวมครุภัณฑ์ 70'!C:C,"ครุภัณฑ์ยานพาหนะและขนส่ง",'รวมครุภัณฑ์ 70'!H:H,B79)</f>
        <v>0</v>
      </c>
      <c r="M79" s="73">
        <f>SUMIFS('รวมครุภัณฑ์ 70'!Q:Q,'รวมครุภัณฑ์ 70'!C:C,"ครุภัณฑ์ยานพาหนะและขนส่ง",'รวมครุภัณฑ์ 70'!H:H,B79)</f>
        <v>0</v>
      </c>
      <c r="N79" s="73">
        <f>SUMIFS('รวมครุภัณฑ์ 70'!R:R,'รวมครุภัณฑ์ 70'!C:C,"ครุภัณฑ์ยานพาหนะและขนส่ง",'รวมครุภัณฑ์ 70'!H:H,B79)</f>
        <v>0</v>
      </c>
      <c r="O79" s="73">
        <f t="shared" si="12"/>
        <v>0</v>
      </c>
      <c r="P79" s="69">
        <f t="shared" si="13"/>
        <v>0</v>
      </c>
      <c r="Q79" s="70"/>
    </row>
    <row r="80" spans="1:19" ht="21">
      <c r="A80" s="71" t="s">
        <v>133</v>
      </c>
      <c r="B80" s="67" t="s">
        <v>135</v>
      </c>
      <c r="C80" s="22">
        <f>SUMIFS('ครุภัณฑ์ 67'!G:G,'ครุภัณฑ์ 67'!C:C,"ยานพาหนะและขนส่ง",'ครุภัณฑ์ 67'!E:E,B80)</f>
        <v>0</v>
      </c>
      <c r="D80" s="75">
        <f>SUMIFS('ครุภัณฑ์ 67'!F:F,'ครุภัณฑ์ 67'!C:C,"ยานพาหนะและขนส่ง",'ครุภัณฑ์ 67'!E:E,B80)</f>
        <v>0</v>
      </c>
      <c r="E80" s="22">
        <f t="shared" si="14"/>
        <v>0</v>
      </c>
      <c r="F80" s="13">
        <f>SUMIFS('ครุภัณฑ์ 68'!G:G,'ครุภัณฑ์ 68'!C:C,"ยานพาหนะและขนส่ง",'ครุภัณฑ์ 68'!E:E,B80)</f>
        <v>0</v>
      </c>
      <c r="G80" s="13">
        <f>SUMIFS('ครุภัณฑ์ 68'!F:F,'ครุภัณฑ์ 68'!C:C,"ยานพาหนะและขนส่ง",'ครุภัณฑ์ 68'!E:E,B80)</f>
        <v>0</v>
      </c>
      <c r="H80" s="13">
        <f t="shared" si="10"/>
        <v>0</v>
      </c>
      <c r="I80" s="68">
        <f>SUMIFS('ครุภัณฑ์ 69'!G:G,'ครุภัณฑ์ 69'!C:C,"ยานพาหนะและขนส่ง",'ครุภัณฑ์ 69'!E:E,B80)</f>
        <v>0</v>
      </c>
      <c r="J80" s="68">
        <f>SUMIFS('ครุภัณฑ์ 69'!F:F,'ครุภัณฑ์ 69'!C:C,"ยานพาหนะและขนส่ง",'ครุภัณฑ์ 69'!E:E,B80)</f>
        <v>0</v>
      </c>
      <c r="K80" s="68">
        <f t="shared" si="11"/>
        <v>0</v>
      </c>
      <c r="L80" s="69">
        <f>SUMIFS('รวมครุภัณฑ์ 70'!L:L,'รวมครุภัณฑ์ 70'!C:C,"ครุภัณฑ์ยานพาหนะและขนส่ง",'รวมครุภัณฑ์ 70'!H:H,B80)</f>
        <v>0</v>
      </c>
      <c r="M80" s="73">
        <f>SUMIFS('รวมครุภัณฑ์ 70'!Q:Q,'รวมครุภัณฑ์ 70'!C:C,"ครุภัณฑ์ยานพาหนะและขนส่ง",'รวมครุภัณฑ์ 70'!H:H,B80)</f>
        <v>0</v>
      </c>
      <c r="N80" s="73">
        <f>SUMIFS('รวมครุภัณฑ์ 70'!R:R,'รวมครุภัณฑ์ 70'!C:C,"ครุภัณฑ์ยานพาหนะและขนส่ง",'รวมครุภัณฑ์ 70'!H:H,B80)</f>
        <v>0</v>
      </c>
      <c r="O80" s="73">
        <f t="shared" si="12"/>
        <v>0</v>
      </c>
      <c r="P80" s="69">
        <f t="shared" si="13"/>
        <v>0</v>
      </c>
      <c r="Q80" s="70"/>
    </row>
    <row r="81" spans="1:17" ht="21">
      <c r="A81" s="71" t="s">
        <v>136</v>
      </c>
      <c r="B81" s="67" t="s">
        <v>138</v>
      </c>
      <c r="C81" s="22">
        <f>SUMIFS('ครุภัณฑ์ 67'!G:G,'ครุภัณฑ์ 67'!C:C,"ยานพาหนะและขนส่ง",'ครุภัณฑ์ 67'!E:E,B81)</f>
        <v>0</v>
      </c>
      <c r="D81" s="75">
        <f>SUMIFS('ครุภัณฑ์ 67'!F:F,'ครุภัณฑ์ 67'!C:C,"ยานพาหนะและขนส่ง",'ครุภัณฑ์ 67'!E:E,B81)</f>
        <v>0</v>
      </c>
      <c r="E81" s="22">
        <f t="shared" si="14"/>
        <v>0</v>
      </c>
      <c r="F81" s="13">
        <f>SUMIFS('ครุภัณฑ์ 68'!G:G,'ครุภัณฑ์ 68'!C:C,"ยานพาหนะและขนส่ง",'ครุภัณฑ์ 68'!E:E,B81)</f>
        <v>0</v>
      </c>
      <c r="G81" s="13">
        <f>SUMIFS('ครุภัณฑ์ 68'!F:F,'ครุภัณฑ์ 68'!C:C,"ยานพาหนะและขนส่ง",'ครุภัณฑ์ 68'!E:E,B81)</f>
        <v>0</v>
      </c>
      <c r="H81" s="13">
        <f t="shared" si="10"/>
        <v>0</v>
      </c>
      <c r="I81" s="68">
        <f>SUMIFS('ครุภัณฑ์ 69'!G:G,'ครุภัณฑ์ 69'!C:C,"ยานพาหนะและขนส่ง",'ครุภัณฑ์ 69'!E:E,B81)</f>
        <v>1369000</v>
      </c>
      <c r="J81" s="68">
        <f>SUMIFS('ครุภัณฑ์ 69'!F:F,'ครุภัณฑ์ 69'!C:C,"ยานพาหนะและขนส่ง",'ครุภัณฑ์ 69'!E:E,B81)</f>
        <v>1</v>
      </c>
      <c r="K81" s="68">
        <f t="shared" si="11"/>
        <v>1369000</v>
      </c>
      <c r="L81" s="69">
        <f>SUMIFS('รวมครุภัณฑ์ 70'!L:L,'รวมครุภัณฑ์ 70'!C:C,"ครุภัณฑ์ยานพาหนะและขนส่ง",'รวมครุภัณฑ์ 70'!H:H,B81)</f>
        <v>0</v>
      </c>
      <c r="M81" s="73">
        <f>SUMIFS('รวมครุภัณฑ์ 70'!Q:Q,'รวมครุภัณฑ์ 70'!C:C,"ครุภัณฑ์ยานพาหนะและขนส่ง",'รวมครุภัณฑ์ 70'!H:H,B81)</f>
        <v>0</v>
      </c>
      <c r="N81" s="73">
        <f>SUMIFS('รวมครุภัณฑ์ 70'!R:R,'รวมครุภัณฑ์ 70'!C:C,"ครุภัณฑ์ยานพาหนะและขนส่ง",'รวมครุภัณฑ์ 70'!H:H,B81)</f>
        <v>0</v>
      </c>
      <c r="O81" s="73">
        <f t="shared" si="12"/>
        <v>0</v>
      </c>
      <c r="P81" s="69">
        <f t="shared" si="13"/>
        <v>0</v>
      </c>
      <c r="Q81" s="70"/>
    </row>
    <row r="82" spans="1:17" ht="21">
      <c r="A82" s="71" t="s">
        <v>375</v>
      </c>
      <c r="B82" s="67" t="s">
        <v>377</v>
      </c>
      <c r="C82" s="22">
        <f>SUMIFS('ครุภัณฑ์ 67'!G:G,'ครุภัณฑ์ 67'!C:C,"ยานพาหนะและขนส่ง",'ครุภัณฑ์ 67'!E:E,B82)</f>
        <v>1358000</v>
      </c>
      <c r="D82" s="75">
        <f>SUMIFS('ครุภัณฑ์ 67'!F:F,'ครุภัณฑ์ 67'!C:C,"ยานพาหนะและขนส่ง",'ครุภัณฑ์ 67'!E:E,B82)</f>
        <v>1</v>
      </c>
      <c r="E82" s="22">
        <f t="shared" si="14"/>
        <v>1358000</v>
      </c>
      <c r="F82" s="13">
        <f>SUMIFS('ครุภัณฑ์ 68'!G:G,'ครุภัณฑ์ 68'!C:C,"ยานพาหนะและขนส่ง",'ครุภัณฑ์ 68'!E:E,B82)</f>
        <v>0</v>
      </c>
      <c r="G82" s="13">
        <f>SUMIFS('ครุภัณฑ์ 68'!F:F,'ครุภัณฑ์ 68'!C:C,"ยานพาหนะและขนส่ง",'ครุภัณฑ์ 68'!E:E,B82)</f>
        <v>0</v>
      </c>
      <c r="H82" s="13">
        <f t="shared" si="10"/>
        <v>0</v>
      </c>
      <c r="I82" s="68">
        <f>SUMIFS('ครุภัณฑ์ 69'!G:G,'ครุภัณฑ์ 69'!C:C,"ยานพาหนะและขนส่ง",'ครุภัณฑ์ 69'!E:E,B82)</f>
        <v>0</v>
      </c>
      <c r="J82" s="68">
        <f>SUMIFS('ครุภัณฑ์ 69'!F:F,'ครุภัณฑ์ 69'!C:C,"ยานพาหนะและขนส่ง",'ครุภัณฑ์ 69'!E:E,B82)</f>
        <v>0</v>
      </c>
      <c r="K82" s="68">
        <f t="shared" si="11"/>
        <v>0</v>
      </c>
      <c r="L82" s="69">
        <f>SUMIFS('รวมครุภัณฑ์ 70'!L:L,'รวมครุภัณฑ์ 70'!C:C,"ครุภัณฑ์ยานพาหนะและขนส่ง",'รวมครุภัณฑ์ 70'!H:H,B82)</f>
        <v>0</v>
      </c>
      <c r="M82" s="73">
        <f>SUMIFS('รวมครุภัณฑ์ 70'!Q:Q,'รวมครุภัณฑ์ 70'!C:C,"ครุภัณฑ์ยานพาหนะและขนส่ง",'รวมครุภัณฑ์ 70'!H:H,B82)</f>
        <v>0</v>
      </c>
      <c r="N82" s="73">
        <f>SUMIFS('รวมครุภัณฑ์ 70'!R:R,'รวมครุภัณฑ์ 70'!C:C,"ครุภัณฑ์ยานพาหนะและขนส่ง",'รวมครุภัณฑ์ 70'!H:H,B82)</f>
        <v>0</v>
      </c>
      <c r="O82" s="73">
        <f t="shared" si="12"/>
        <v>0</v>
      </c>
      <c r="P82" s="69">
        <f t="shared" si="13"/>
        <v>0</v>
      </c>
      <c r="Q82" s="70"/>
    </row>
    <row r="83" spans="1:17" ht="21">
      <c r="A83" s="71" t="s">
        <v>214</v>
      </c>
      <c r="B83" s="67" t="s">
        <v>216</v>
      </c>
      <c r="C83" s="22">
        <f>SUMIFS('ครุภัณฑ์ 67'!G:G,'ครุภัณฑ์ 67'!C:C,"ยานพาหนะและขนส่ง",'ครุภัณฑ์ 67'!E:E,B83)</f>
        <v>885900</v>
      </c>
      <c r="D83" s="75">
        <f>SUMIFS('ครุภัณฑ์ 67'!F:F,'ครุภัณฑ์ 67'!C:C,"ยานพาหนะและขนส่ง",'ครุภัณฑ์ 67'!E:E,B83)</f>
        <v>1</v>
      </c>
      <c r="E83" s="22">
        <f t="shared" si="14"/>
        <v>885900</v>
      </c>
      <c r="F83" s="13">
        <f>SUMIFS('ครุภัณฑ์ 68'!G:G,'ครุภัณฑ์ 68'!C:C,"ยานพาหนะและขนส่ง",'ครุภัณฑ์ 68'!E:E,B83)</f>
        <v>0</v>
      </c>
      <c r="G83" s="13">
        <f>SUMIFS('ครุภัณฑ์ 68'!F:F,'ครุภัณฑ์ 68'!C:C,"ยานพาหนะและขนส่ง",'ครุภัณฑ์ 68'!E:E,B83)</f>
        <v>0</v>
      </c>
      <c r="H83" s="13">
        <f t="shared" si="10"/>
        <v>0</v>
      </c>
      <c r="I83" s="68">
        <f>SUMIFS('ครุภัณฑ์ 69'!G:G,'ครุภัณฑ์ 69'!C:C,"ยานพาหนะและขนส่ง",'ครุภัณฑ์ 69'!E:E,B83)</f>
        <v>0</v>
      </c>
      <c r="J83" s="68">
        <f>SUMIFS('ครุภัณฑ์ 69'!F:F,'ครุภัณฑ์ 69'!C:C,"ยานพาหนะและขนส่ง",'ครุภัณฑ์ 69'!E:E,B83)</f>
        <v>0</v>
      </c>
      <c r="K83" s="68">
        <f t="shared" si="11"/>
        <v>0</v>
      </c>
      <c r="L83" s="69">
        <f>SUMIFS('รวมครุภัณฑ์ 70'!L:L,'รวมครุภัณฑ์ 70'!C:C,"ครุภัณฑ์ยานพาหนะและขนส่ง",'รวมครุภัณฑ์ 70'!H:H,B83)</f>
        <v>0</v>
      </c>
      <c r="M83" s="73">
        <f>SUMIFS('รวมครุภัณฑ์ 70'!Q:Q,'รวมครุภัณฑ์ 70'!C:C,"ครุภัณฑ์ยานพาหนะและขนส่ง",'รวมครุภัณฑ์ 70'!H:H,B83)</f>
        <v>0</v>
      </c>
      <c r="N83" s="73">
        <f>SUMIFS('รวมครุภัณฑ์ 70'!R:R,'รวมครุภัณฑ์ 70'!C:C,"ครุภัณฑ์ยานพาหนะและขนส่ง",'รวมครุภัณฑ์ 70'!H:H,B83)</f>
        <v>0</v>
      </c>
      <c r="O83" s="73">
        <f t="shared" si="12"/>
        <v>0</v>
      </c>
      <c r="P83" s="69">
        <f t="shared" si="13"/>
        <v>0</v>
      </c>
      <c r="Q83" s="70"/>
    </row>
    <row r="84" spans="1:17" ht="21">
      <c r="A84" s="71" t="s">
        <v>379</v>
      </c>
      <c r="B84" s="67" t="s">
        <v>381</v>
      </c>
      <c r="C84" s="22">
        <f>SUMIFS('ครุภัณฑ์ 67'!G:G,'ครุภัณฑ์ 67'!C:C,"ยานพาหนะและขนส่ง",'ครุภัณฑ์ 67'!E:E,B84)</f>
        <v>1090900</v>
      </c>
      <c r="D84" s="75">
        <f>SUMIFS('ครุภัณฑ์ 67'!F:F,'ครุภัณฑ์ 67'!C:C,"ยานพาหนะและขนส่ง",'ครุภัณฑ์ 67'!E:E,B84)</f>
        <v>1</v>
      </c>
      <c r="E84" s="22">
        <f t="shared" si="14"/>
        <v>1090900</v>
      </c>
      <c r="F84" s="13">
        <f>SUMIFS('ครุภัณฑ์ 68'!G:G,'ครุภัณฑ์ 68'!C:C,"ยานพาหนะและขนส่ง",'ครุภัณฑ์ 68'!E:E,B84)</f>
        <v>0</v>
      </c>
      <c r="G84" s="13">
        <f>SUMIFS('ครุภัณฑ์ 68'!F:F,'ครุภัณฑ์ 68'!C:C,"ยานพาหนะและขนส่ง",'ครุภัณฑ์ 68'!E:E,B84)</f>
        <v>0</v>
      </c>
      <c r="H84" s="13">
        <f t="shared" si="10"/>
        <v>0</v>
      </c>
      <c r="I84" s="68">
        <f>SUMIFS('ครุภัณฑ์ 69'!G:G,'ครุภัณฑ์ 69'!C:C,"ยานพาหนะและขนส่ง",'ครุภัณฑ์ 69'!E:E,B84)</f>
        <v>0</v>
      </c>
      <c r="J84" s="68">
        <f>SUMIFS('ครุภัณฑ์ 69'!F:F,'ครุภัณฑ์ 69'!C:C,"ยานพาหนะและขนส่ง",'ครุภัณฑ์ 69'!E:E,B84)</f>
        <v>0</v>
      </c>
      <c r="K84" s="68">
        <f t="shared" si="11"/>
        <v>0</v>
      </c>
      <c r="L84" s="69">
        <f>SUMIFS('รวมครุภัณฑ์ 70'!L:L,'รวมครุภัณฑ์ 70'!C:C,"ครุภัณฑ์ยานพาหนะและขนส่ง",'รวมครุภัณฑ์ 70'!H:H,B84)</f>
        <v>1207900</v>
      </c>
      <c r="M84" s="73">
        <f>SUMIFS('รวมครุภัณฑ์ 70'!Q:Q,'รวมครุภัณฑ์ 70'!C:C,"ครุภัณฑ์ยานพาหนะและขนส่ง",'รวมครุภัณฑ์ 70'!H:H,B84)</f>
        <v>1</v>
      </c>
      <c r="N84" s="73">
        <f>SUMIFS('รวมครุภัณฑ์ 70'!R:R,'รวมครุภัณฑ์ 70'!C:C,"ครุภัณฑ์ยานพาหนะและขนส่ง",'รวมครุภัณฑ์ 70'!H:H,B84)</f>
        <v>0</v>
      </c>
      <c r="O84" s="73">
        <f t="shared" si="12"/>
        <v>1</v>
      </c>
      <c r="P84" s="69">
        <f t="shared" si="13"/>
        <v>1207900</v>
      </c>
      <c r="Q84" s="70"/>
    </row>
    <row r="85" spans="1:17" ht="21">
      <c r="A85" s="71" t="s">
        <v>379</v>
      </c>
      <c r="B85" s="67" t="s">
        <v>459</v>
      </c>
      <c r="C85" s="22">
        <f>SUMIFS('ครุภัณฑ์ 67'!G:G,'ครุภัณฑ์ 67'!C:C,"ยานพาหนะและขนส่ง",'ครุภัณฑ์ 67'!E:E,B85)</f>
        <v>0</v>
      </c>
      <c r="D85" s="75">
        <f>SUMIFS('ครุภัณฑ์ 67'!F:F,'ครุภัณฑ์ 67'!C:C,"ยานพาหนะและขนส่ง",'ครุภัณฑ์ 67'!E:E,B85)</f>
        <v>0</v>
      </c>
      <c r="E85" s="22">
        <f t="shared" si="14"/>
        <v>0</v>
      </c>
      <c r="F85" s="13">
        <f>SUMIFS('ครุภัณฑ์ 68'!G:G,'ครุภัณฑ์ 68'!C:C,"ยานพาหนะและขนส่ง",'ครุภัณฑ์ 68'!E:E,B85)</f>
        <v>0</v>
      </c>
      <c r="G85" s="13">
        <f>SUMIFS('ครุภัณฑ์ 68'!F:F,'ครุภัณฑ์ 68'!C:C,"ยานพาหนะและขนส่ง",'ครุภัณฑ์ 68'!E:E,B85)</f>
        <v>0</v>
      </c>
      <c r="H85" s="13">
        <f t="shared" si="10"/>
        <v>0</v>
      </c>
      <c r="I85" s="68">
        <f>SUMIFS('ครุภัณฑ์ 69'!G:G,'ครุภัณฑ์ 69'!C:C,"ยานพาหนะและขนส่ง",'ครุภัณฑ์ 69'!E:E,B85)</f>
        <v>0</v>
      </c>
      <c r="J85" s="68">
        <f>SUMIFS('ครุภัณฑ์ 69'!F:F,'ครุภัณฑ์ 69'!C:C,"ยานพาหนะและขนส่ง",'ครุภัณฑ์ 69'!E:E,B85)</f>
        <v>0</v>
      </c>
      <c r="K85" s="68">
        <f t="shared" si="11"/>
        <v>0</v>
      </c>
      <c r="L85" s="69">
        <f>SUMIFS('รวมครุภัณฑ์ 70'!L:L,'รวมครุภัณฑ์ 70'!C:C,"ครุภัณฑ์ยานพาหนะและขนส่ง",'รวมครุภัณฑ์ 70'!H:H,B85)</f>
        <v>0</v>
      </c>
      <c r="M85" s="73">
        <f>SUMIFS('รวมครุภัณฑ์ 70'!Q:Q,'รวมครุภัณฑ์ 70'!C:C,"ครุภัณฑ์ยานพาหนะและขนส่ง",'รวมครุภัณฑ์ 70'!H:H,B85)</f>
        <v>0</v>
      </c>
      <c r="N85" s="73">
        <f>SUMIFS('รวมครุภัณฑ์ 70'!R:R,'รวมครุภัณฑ์ 70'!C:C,"ครุภัณฑ์ยานพาหนะและขนส่ง",'รวมครุภัณฑ์ 70'!H:H,B85)</f>
        <v>0</v>
      </c>
      <c r="O85" s="73">
        <f t="shared" si="12"/>
        <v>0</v>
      </c>
      <c r="P85" s="69">
        <f t="shared" si="13"/>
        <v>0</v>
      </c>
      <c r="Q85" s="70"/>
    </row>
    <row r="86" spans="1:17" ht="21">
      <c r="A86" s="71" t="s">
        <v>139</v>
      </c>
      <c r="B86" s="67" t="s">
        <v>141</v>
      </c>
      <c r="C86" s="22">
        <f>SUMIFS('ครุภัณฑ์ 67'!G:G,'ครุภัณฑ์ 67'!C:C,"ยานพาหนะและขนส่ง",'ครุภัณฑ์ 67'!E:E,B86)</f>
        <v>0</v>
      </c>
      <c r="D86" s="75">
        <f>SUMIFS('ครุภัณฑ์ 67'!F:F,'ครุภัณฑ์ 67'!C:C,"ยานพาหนะและขนส่ง",'ครุภัณฑ์ 67'!E:E,B86)</f>
        <v>0</v>
      </c>
      <c r="E86" s="22">
        <f t="shared" si="14"/>
        <v>0</v>
      </c>
      <c r="F86" s="13">
        <f>SUMIFS('ครุภัณฑ์ 68'!G:G,'ครุภัณฑ์ 68'!C:C,"ยานพาหนะและขนส่ง",'ครุภัณฑ์ 68'!E:E,B86)</f>
        <v>0</v>
      </c>
      <c r="G86" s="13">
        <f>SUMIFS('ครุภัณฑ์ 68'!F:F,'ครุภัณฑ์ 68'!C:C,"ยานพาหนะและขนส่ง",'ครุภัณฑ์ 68'!E:E,B86)</f>
        <v>0</v>
      </c>
      <c r="H86" s="13">
        <f t="shared" si="10"/>
        <v>0</v>
      </c>
      <c r="I86" s="68">
        <f>SUMIFS('ครุภัณฑ์ 69'!G:G,'ครุภัณฑ์ 69'!C:C,"ยานพาหนะและขนส่ง",'ครุภัณฑ์ 69'!E:E,B86)</f>
        <v>970900</v>
      </c>
      <c r="J86" s="68">
        <f>SUMIFS('ครุภัณฑ์ 69'!F:F,'ครุภัณฑ์ 69'!C:C,"ยานพาหนะและขนส่ง",'ครุภัณฑ์ 69'!E:E,B86)</f>
        <v>1</v>
      </c>
      <c r="K86" s="68">
        <f t="shared" si="11"/>
        <v>970900</v>
      </c>
      <c r="L86" s="69">
        <f>SUMIFS('รวมครุภัณฑ์ 70'!L:L,'รวมครุภัณฑ์ 70'!C:C,"ครุภัณฑ์ยานพาหนะและขนส่ง",'รวมครุภัณฑ์ 70'!H:H,B86)</f>
        <v>970900</v>
      </c>
      <c r="M86" s="73">
        <f>SUMIFS('รวมครุภัณฑ์ 70'!Q:Q,'รวมครุภัณฑ์ 70'!C:C,"ครุภัณฑ์ยานพาหนะและขนส่ง",'รวมครุภัณฑ์ 70'!H:H,B86)</f>
        <v>1</v>
      </c>
      <c r="N86" s="73">
        <f>SUMIFS('รวมครุภัณฑ์ 70'!R:R,'รวมครุภัณฑ์ 70'!C:C,"ครุภัณฑ์ยานพาหนะและขนส่ง",'รวมครุภัณฑ์ 70'!H:H,B86)</f>
        <v>0</v>
      </c>
      <c r="O86" s="73">
        <f t="shared" si="12"/>
        <v>1</v>
      </c>
      <c r="P86" s="69">
        <f t="shared" si="13"/>
        <v>970900</v>
      </c>
      <c r="Q86" s="70"/>
    </row>
    <row r="87" spans="1:17" ht="21">
      <c r="A87" s="71" t="s">
        <v>428</v>
      </c>
      <c r="B87" s="67" t="s">
        <v>433</v>
      </c>
      <c r="C87" s="22">
        <f>SUMIFS('ครุภัณฑ์ 67'!G:G,'ครุภัณฑ์ 67'!C:C,"ยานพาหนะและขนส่ง",'ครุภัณฑ์ 67'!E:E,B87)</f>
        <v>0</v>
      </c>
      <c r="D87" s="75">
        <f>SUMIFS('ครุภัณฑ์ 67'!F:F,'ครุภัณฑ์ 67'!C:C,"ยานพาหนะและขนส่ง",'ครุภัณฑ์ 67'!E:E,B87)</f>
        <v>0</v>
      </c>
      <c r="E87" s="22">
        <f t="shared" si="14"/>
        <v>0</v>
      </c>
      <c r="F87" s="13">
        <f>SUMIFS('ครุภัณฑ์ 68'!G:G,'ครุภัณฑ์ 68'!C:C,"ยานพาหนะและขนส่ง",'ครุภัณฑ์ 68'!E:E,B87)</f>
        <v>0</v>
      </c>
      <c r="G87" s="13">
        <f>SUMIFS('ครุภัณฑ์ 68'!F:F,'ครุภัณฑ์ 68'!C:C,"ยานพาหนะและขนส่ง",'ครุภัณฑ์ 68'!E:E,B87)</f>
        <v>0</v>
      </c>
      <c r="H87" s="13">
        <f t="shared" si="10"/>
        <v>0</v>
      </c>
      <c r="I87" s="68">
        <f>SUMIFS('ครุภัณฑ์ 69'!G:G,'ครุภัณฑ์ 69'!C:C,"ยานพาหนะและขนส่ง",'ครุภัณฑ์ 69'!E:E,B87)</f>
        <v>0</v>
      </c>
      <c r="J87" s="68">
        <f>SUMIFS('ครุภัณฑ์ 69'!F:F,'ครุภัณฑ์ 69'!C:C,"ยานพาหนะและขนส่ง",'ครุภัณฑ์ 69'!E:E,B87)</f>
        <v>0</v>
      </c>
      <c r="K87" s="68">
        <f t="shared" si="11"/>
        <v>0</v>
      </c>
      <c r="L87" s="69">
        <f>SUMIFS('รวมครุภัณฑ์ 70'!L:L,'รวมครุภัณฑ์ 70'!C:C,"ครุภัณฑ์ยานพาหนะและขนส่ง",'รวมครุภัณฑ์ 70'!H:H,B87)</f>
        <v>970900</v>
      </c>
      <c r="M87" s="73">
        <f>SUMIFS('รวมครุภัณฑ์ 70'!Q:Q,'รวมครุภัณฑ์ 70'!C:C,"ครุภัณฑ์ยานพาหนะและขนส่ง",'รวมครุภัณฑ์ 70'!H:H,B87)</f>
        <v>1</v>
      </c>
      <c r="N87" s="73">
        <f>SUMIFS('รวมครุภัณฑ์ 70'!R:R,'รวมครุภัณฑ์ 70'!C:C,"ครุภัณฑ์ยานพาหนะและขนส่ง",'รวมครุภัณฑ์ 70'!H:H,B87)</f>
        <v>0</v>
      </c>
      <c r="O87" s="73">
        <f t="shared" si="12"/>
        <v>1</v>
      </c>
      <c r="P87" s="69">
        <f t="shared" si="13"/>
        <v>970900</v>
      </c>
      <c r="Q87" s="70"/>
    </row>
    <row r="88" spans="1:17" ht="21">
      <c r="A88" s="71" t="s">
        <v>217</v>
      </c>
      <c r="B88" s="67" t="s">
        <v>219</v>
      </c>
      <c r="C88" s="22">
        <f>SUMIFS('ครุภัณฑ์ 67'!G:G,'ครุภัณฑ์ 67'!C:C,"ยานพาหนะและขนส่ง",'ครุภัณฑ์ 67'!E:E,B88)</f>
        <v>0</v>
      </c>
      <c r="D88" s="75">
        <f>SUMIFS('ครุภัณฑ์ 67'!F:F,'ครุภัณฑ์ 67'!C:C,"ยานพาหนะและขนส่ง",'ครุภัณฑ์ 67'!E:E,B88)</f>
        <v>0</v>
      </c>
      <c r="E88" s="22">
        <f t="shared" si="14"/>
        <v>0</v>
      </c>
      <c r="F88" s="13">
        <f>SUMIFS('ครุภัณฑ์ 68'!G:G,'ครุภัณฑ์ 68'!C:C,"ยานพาหนะและขนส่ง",'ครุภัณฑ์ 68'!E:E,B88)</f>
        <v>0</v>
      </c>
      <c r="G88" s="13">
        <f>SUMIFS('ครุภัณฑ์ 68'!F:F,'ครุภัณฑ์ 68'!C:C,"ยานพาหนะและขนส่ง",'ครุภัณฑ์ 68'!E:E,B88)</f>
        <v>0</v>
      </c>
      <c r="H88" s="13">
        <f t="shared" si="10"/>
        <v>0</v>
      </c>
      <c r="I88" s="68">
        <f>SUMIFS('ครุภัณฑ์ 69'!G:G,'ครุภัณฑ์ 69'!C:C,"ยานพาหนะและขนส่ง",'ครุภัณฑ์ 69'!E:E,B88)</f>
        <v>0</v>
      </c>
      <c r="J88" s="68">
        <f>SUMIFS('ครุภัณฑ์ 69'!F:F,'ครุภัณฑ์ 69'!C:C,"ยานพาหนะและขนส่ง",'ครุภัณฑ์ 69'!E:E,B88)</f>
        <v>0</v>
      </c>
      <c r="K88" s="68">
        <f t="shared" si="11"/>
        <v>0</v>
      </c>
      <c r="L88" s="69">
        <f>SUMIFS('รวมครุภัณฑ์ 70'!L:L,'รวมครุภัณฑ์ 70'!C:C,"ครุภัณฑ์ยานพาหนะและขนส่ง",'รวมครุภัณฑ์ 70'!H:H,B88)</f>
        <v>0</v>
      </c>
      <c r="M88" s="73">
        <f>SUMIFS('รวมครุภัณฑ์ 70'!Q:Q,'รวมครุภัณฑ์ 70'!C:C,"ครุภัณฑ์ยานพาหนะและขนส่ง",'รวมครุภัณฑ์ 70'!H:H,B88)</f>
        <v>0</v>
      </c>
      <c r="N88" s="73">
        <f>SUMIFS('รวมครุภัณฑ์ 70'!R:R,'รวมครุภัณฑ์ 70'!C:C,"ครุภัณฑ์ยานพาหนะและขนส่ง",'รวมครุภัณฑ์ 70'!H:H,B88)</f>
        <v>0</v>
      </c>
      <c r="O88" s="73">
        <f t="shared" si="12"/>
        <v>0</v>
      </c>
      <c r="P88" s="69">
        <f t="shared" si="13"/>
        <v>0</v>
      </c>
      <c r="Q88" s="70"/>
    </row>
    <row r="89" spans="1:17" ht="21">
      <c r="A89" s="71" t="s">
        <v>143</v>
      </c>
      <c r="B89" s="67" t="s">
        <v>145</v>
      </c>
      <c r="C89" s="22">
        <f>SUMIFS('ครุภัณฑ์ 67'!G:G,'ครุภัณฑ์ 67'!C:C,"ยานพาหนะและขนส่ง",'ครุภัณฑ์ 67'!E:E,B89)</f>
        <v>0</v>
      </c>
      <c r="D89" s="75">
        <f>SUMIFS('ครุภัณฑ์ 67'!F:F,'ครุภัณฑ์ 67'!C:C,"ยานพาหนะและขนส่ง",'ครุภัณฑ์ 67'!E:E,B89)</f>
        <v>0</v>
      </c>
      <c r="E89" s="22">
        <f t="shared" si="14"/>
        <v>0</v>
      </c>
      <c r="F89" s="13">
        <f>SUMIFS('ครุภัณฑ์ 68'!G:G,'ครุภัณฑ์ 68'!C:C,"ยานพาหนะและขนส่ง",'ครุภัณฑ์ 68'!E:E,B89)</f>
        <v>0</v>
      </c>
      <c r="G89" s="13">
        <f>SUMIFS('ครุภัณฑ์ 68'!F:F,'ครุภัณฑ์ 68'!C:C,"ยานพาหนะและขนส่ง",'ครุภัณฑ์ 68'!E:E,B89)</f>
        <v>0</v>
      </c>
      <c r="H89" s="13">
        <f t="shared" si="10"/>
        <v>0</v>
      </c>
      <c r="I89" s="68">
        <f>SUMIFS('ครุภัณฑ์ 69'!G:G,'ครุภัณฑ์ 69'!C:C,"ยานพาหนะและขนส่ง",'ครุภัณฑ์ 69'!E:E,B89)</f>
        <v>1207900</v>
      </c>
      <c r="J89" s="68">
        <f>SUMIFS('ครุภัณฑ์ 69'!F:F,'ครุภัณฑ์ 69'!C:C,"ยานพาหนะและขนส่ง",'ครุภัณฑ์ 69'!E:E,B89)</f>
        <v>1</v>
      </c>
      <c r="K89" s="68">
        <f t="shared" si="11"/>
        <v>1207900</v>
      </c>
      <c r="L89" s="69">
        <f>SUMIFS('รวมครุภัณฑ์ 70'!L:L,'รวมครุภัณฑ์ 70'!C:C,"ครุภัณฑ์ยานพาหนะและขนส่ง",'รวมครุภัณฑ์ 70'!H:H,B89)</f>
        <v>2705900</v>
      </c>
      <c r="M89" s="73">
        <f>SUMIFS('รวมครุภัณฑ์ 70'!Q:Q,'รวมครุภัณฑ์ 70'!C:C,"ครุภัณฑ์ยานพาหนะและขนส่ง",'รวมครุภัณฑ์ 70'!H:H,B89)</f>
        <v>2</v>
      </c>
      <c r="N89" s="73">
        <f>SUMIFS('รวมครุภัณฑ์ 70'!R:R,'รวมครุภัณฑ์ 70'!C:C,"ครุภัณฑ์ยานพาหนะและขนส่ง",'รวมครุภัณฑ์ 70'!H:H,B89)</f>
        <v>0</v>
      </c>
      <c r="O89" s="73">
        <f t="shared" si="12"/>
        <v>2</v>
      </c>
      <c r="P89" s="69">
        <f t="shared" si="13"/>
        <v>2705900</v>
      </c>
      <c r="Q89" s="70"/>
    </row>
    <row r="90" spans="1:17" ht="21">
      <c r="A90" s="71" t="s">
        <v>257</v>
      </c>
      <c r="B90" s="67" t="s">
        <v>259</v>
      </c>
      <c r="C90" s="22">
        <f>SUMIFS('ครุภัณฑ์ 67'!G:G,'ครุภัณฑ์ 67'!C:C,"ยานพาหนะและขนส่ง",'ครุภัณฑ์ 67'!E:E,B90)</f>
        <v>0</v>
      </c>
      <c r="D90" s="75">
        <f>SUMIFS('ครุภัณฑ์ 67'!F:F,'ครุภัณฑ์ 67'!C:C,"ยานพาหนะและขนส่ง",'ครุภัณฑ์ 67'!E:E,B90)</f>
        <v>0</v>
      </c>
      <c r="E90" s="22">
        <f t="shared" si="14"/>
        <v>0</v>
      </c>
      <c r="F90" s="13">
        <f>SUMIFS('ครุภัณฑ์ 68'!G:G,'ครุภัณฑ์ 68'!C:C,"ยานพาหนะและขนส่ง",'ครุภัณฑ์ 68'!E:E,B90)</f>
        <v>1090900</v>
      </c>
      <c r="G90" s="13">
        <f>SUMIFS('ครุภัณฑ์ 68'!F:F,'ครุภัณฑ์ 68'!C:C,"ยานพาหนะและขนส่ง",'ครุภัณฑ์ 68'!E:E,B90)</f>
        <v>1</v>
      </c>
      <c r="H90" s="13">
        <f t="shared" si="10"/>
        <v>1090900</v>
      </c>
      <c r="I90" s="68">
        <f>SUMIFS('ครุภัณฑ์ 69'!G:G,'ครุภัณฑ์ 69'!C:C,"ยานพาหนะและขนส่ง",'ครุภัณฑ์ 69'!E:E,B90)</f>
        <v>0</v>
      </c>
      <c r="J90" s="68">
        <f>SUMIFS('ครุภัณฑ์ 69'!F:F,'ครุภัณฑ์ 69'!C:C,"ยานพาหนะและขนส่ง",'ครุภัณฑ์ 69'!E:E,B90)</f>
        <v>0</v>
      </c>
      <c r="K90" s="68">
        <f t="shared" si="11"/>
        <v>0</v>
      </c>
      <c r="L90" s="69">
        <f>SUMIFS('รวมครุภัณฑ์ 70'!L:L,'รวมครุภัณฑ์ 70'!C:C,"ครุภัณฑ์ยานพาหนะและขนส่ง",'รวมครุภัณฑ์ 70'!H:H,B90)</f>
        <v>2468900</v>
      </c>
      <c r="M90" s="73">
        <f>SUMIFS('รวมครุภัณฑ์ 70'!Q:Q,'รวมครุภัณฑ์ 70'!C:C,"ครุภัณฑ์ยานพาหนะและขนส่ง",'รวมครุภัณฑ์ 70'!H:H,B90)</f>
        <v>2</v>
      </c>
      <c r="N90" s="73">
        <f>SUMIFS('รวมครุภัณฑ์ 70'!R:R,'รวมครุภัณฑ์ 70'!C:C,"ครุภัณฑ์ยานพาหนะและขนส่ง",'รวมครุภัณฑ์ 70'!H:H,B90)</f>
        <v>0</v>
      </c>
      <c r="O90" s="73">
        <f t="shared" si="12"/>
        <v>2</v>
      </c>
      <c r="P90" s="69">
        <f t="shared" si="13"/>
        <v>2468900</v>
      </c>
      <c r="Q90" s="70"/>
    </row>
    <row r="91" spans="1:17" ht="21">
      <c r="A91" s="71" t="s">
        <v>260</v>
      </c>
      <c r="B91" s="67" t="s">
        <v>262</v>
      </c>
      <c r="C91" s="22">
        <f>SUMIFS('ครุภัณฑ์ 67'!G:G,'ครุภัณฑ์ 67'!C:C,"ยานพาหนะและขนส่ง",'ครุภัณฑ์ 67'!E:E,B91)</f>
        <v>0</v>
      </c>
      <c r="D91" s="75">
        <f>SUMIFS('ครุภัณฑ์ 67'!F:F,'ครุภัณฑ์ 67'!C:C,"ยานพาหนะและขนส่ง",'ครุภัณฑ์ 67'!E:E,B91)</f>
        <v>0</v>
      </c>
      <c r="E91" s="22">
        <f t="shared" si="14"/>
        <v>0</v>
      </c>
      <c r="F91" s="13">
        <f>SUMIFS('ครุภัณฑ์ 68'!G:G,'ครุภัณฑ์ 68'!C:C,"ยานพาหนะและขนส่ง",'ครุภัณฑ์ 68'!E:E,B91)</f>
        <v>885900</v>
      </c>
      <c r="G91" s="13">
        <f>SUMIFS('ครุภัณฑ์ 68'!F:F,'ครุภัณฑ์ 68'!C:C,"ยานพาหนะและขนส่ง",'ครุภัณฑ์ 68'!E:E,B91)</f>
        <v>1</v>
      </c>
      <c r="H91" s="13">
        <f t="shared" si="10"/>
        <v>885900</v>
      </c>
      <c r="I91" s="68">
        <f>SUMIFS('ครุภัณฑ์ 69'!G:G,'ครุภัณฑ์ 69'!C:C,"ยานพาหนะและขนส่ง",'ครุภัณฑ์ 69'!E:E,B91)</f>
        <v>0</v>
      </c>
      <c r="J91" s="68">
        <f>SUMIFS('ครุภัณฑ์ 69'!F:F,'ครุภัณฑ์ 69'!C:C,"ยานพาหนะและขนส่ง",'ครุภัณฑ์ 69'!E:E,B91)</f>
        <v>0</v>
      </c>
      <c r="K91" s="68">
        <f t="shared" si="11"/>
        <v>0</v>
      </c>
      <c r="L91" s="69">
        <f>SUMIFS('รวมครุภัณฑ์ 70'!L:L,'รวมครุภัณฑ์ 70'!C:C,"ครุภัณฑ์ยานพาหนะและขนส่ง",'รวมครุภัณฑ์ 70'!H:H,B91)</f>
        <v>1498000</v>
      </c>
      <c r="M91" s="73">
        <f>SUMIFS('รวมครุภัณฑ์ 70'!Q:Q,'รวมครุภัณฑ์ 70'!C:C,"ครุภัณฑ์ยานพาหนะและขนส่ง",'รวมครุภัณฑ์ 70'!H:H,B91)</f>
        <v>1</v>
      </c>
      <c r="N91" s="73">
        <f>SUMIFS('รวมครุภัณฑ์ 70'!R:R,'รวมครุภัณฑ์ 70'!C:C,"ครุภัณฑ์ยานพาหนะและขนส่ง",'รวมครุภัณฑ์ 70'!H:H,B91)</f>
        <v>0</v>
      </c>
      <c r="O91" s="73">
        <f t="shared" si="12"/>
        <v>1</v>
      </c>
      <c r="P91" s="69">
        <f t="shared" si="13"/>
        <v>1498000</v>
      </c>
      <c r="Q91" s="70"/>
    </row>
    <row r="92" spans="1:17" ht="21">
      <c r="A92" s="71" t="s">
        <v>437</v>
      </c>
      <c r="B92" s="67" t="s">
        <v>464</v>
      </c>
      <c r="C92" s="22">
        <f>SUMIFS('ครุภัณฑ์ 67'!G:G,'ครุภัณฑ์ 67'!C:C,"ยานพาหนะและขนส่ง",'ครุภัณฑ์ 67'!E:E,B92)</f>
        <v>0</v>
      </c>
      <c r="D92" s="75">
        <f>SUMIFS('ครุภัณฑ์ 67'!F:F,'ครุภัณฑ์ 67'!C:C,"ยานพาหนะและขนส่ง",'ครุภัณฑ์ 67'!E:E,B92)</f>
        <v>0</v>
      </c>
      <c r="E92" s="22">
        <f t="shared" si="14"/>
        <v>0</v>
      </c>
      <c r="F92" s="13">
        <f>SUMIFS('ครุภัณฑ์ 68'!G:G,'ครุภัณฑ์ 68'!C:C,"ยานพาหนะและขนส่ง",'ครุภัณฑ์ 68'!E:E,B92)</f>
        <v>0</v>
      </c>
      <c r="G92" s="13">
        <f>SUMIFS('ครุภัณฑ์ 68'!F:F,'ครุภัณฑ์ 68'!C:C,"ยานพาหนะและขนส่ง",'ครุภัณฑ์ 68'!E:E,B92)</f>
        <v>0</v>
      </c>
      <c r="H92" s="13">
        <f t="shared" si="10"/>
        <v>0</v>
      </c>
      <c r="I92" s="68">
        <f>SUMIFS('ครุภัณฑ์ 69'!G:G,'ครุภัณฑ์ 69'!C:C,"ยานพาหนะและขนส่ง",'ครุภัณฑ์ 69'!E:E,B92)</f>
        <v>0</v>
      </c>
      <c r="J92" s="68">
        <f>SUMIFS('ครุภัณฑ์ 69'!F:F,'ครุภัณฑ์ 69'!C:C,"ยานพาหนะและขนส่ง",'ครุภัณฑ์ 69'!E:E,B92)</f>
        <v>0</v>
      </c>
      <c r="K92" s="68">
        <f t="shared" si="11"/>
        <v>0</v>
      </c>
      <c r="L92" s="69">
        <f>SUMIFS('รวมครุภัณฑ์ 70'!L:L,'รวมครุภัณฑ์ 70'!C:C,"ครุภัณฑ์ยานพาหนะและขนส่ง",'รวมครุภัณฑ์ 70'!H:H,B92)</f>
        <v>1031000</v>
      </c>
      <c r="M92" s="73">
        <f>SUMIFS('รวมครุภัณฑ์ 70'!Q:Q,'รวมครุภัณฑ์ 70'!C:C,"ครุภัณฑ์ยานพาหนะและขนส่ง",'รวมครุภัณฑ์ 70'!H:H,B92)</f>
        <v>2</v>
      </c>
      <c r="N92" s="73">
        <f>SUMIFS('รวมครุภัณฑ์ 70'!R:R,'รวมครุภัณฑ์ 70'!C:C,"ครุภัณฑ์ยานพาหนะและขนส่ง",'รวมครุภัณฑ์ 70'!H:H,B92)</f>
        <v>0</v>
      </c>
      <c r="O92" s="73">
        <f t="shared" si="12"/>
        <v>2</v>
      </c>
      <c r="P92" s="69">
        <f t="shared" si="13"/>
        <v>1031000</v>
      </c>
      <c r="Q92" s="70"/>
    </row>
    <row r="93" spans="1:17" ht="21">
      <c r="A93" s="71" t="s">
        <v>263</v>
      </c>
      <c r="B93" s="67" t="s">
        <v>265</v>
      </c>
      <c r="C93" s="22">
        <f>SUMIFS('ครุภัณฑ์ 67'!G:G,'ครุภัณฑ์ 67'!C:C,"ยานพาหนะและขนส่ง",'ครุภัณฑ์ 67'!E:E,B93)</f>
        <v>0</v>
      </c>
      <c r="D93" s="75">
        <f>SUMIFS('ครุภัณฑ์ 67'!F:F,'ครุภัณฑ์ 67'!C:C,"ยานพาหนะและขนส่ง",'ครุภัณฑ์ 67'!E:E,B93)</f>
        <v>0</v>
      </c>
      <c r="E93" s="22">
        <f t="shared" si="14"/>
        <v>0</v>
      </c>
      <c r="F93" s="13">
        <f>SUMIFS('ครุภัณฑ์ 68'!G:G,'ครุภัณฑ์ 68'!C:C,"ยานพาหนะและขนส่ง",'ครุภัณฑ์ 68'!E:E,B93)</f>
        <v>1092000</v>
      </c>
      <c r="G93" s="13">
        <f>SUMIFS('ครุภัณฑ์ 68'!F:F,'ครุภัณฑ์ 68'!C:C,"ยานพาหนะและขนส่ง",'ครุภัณฑ์ 68'!E:E,B93)</f>
        <v>1</v>
      </c>
      <c r="H93" s="13">
        <f t="shared" si="10"/>
        <v>1092000</v>
      </c>
      <c r="I93" s="68">
        <f>SUMIFS('ครุภัณฑ์ 69'!G:G,'ครุภัณฑ์ 69'!C:C,"ยานพาหนะและขนส่ง",'ครุภัณฑ์ 69'!E:E,B93)</f>
        <v>0</v>
      </c>
      <c r="J93" s="68">
        <f>SUMIFS('ครุภัณฑ์ 69'!F:F,'ครุภัณฑ์ 69'!C:C,"ยานพาหนะและขนส่ง",'ครุภัณฑ์ 69'!E:E,B93)</f>
        <v>0</v>
      </c>
      <c r="K93" s="68">
        <f t="shared" si="11"/>
        <v>0</v>
      </c>
      <c r="L93" s="69">
        <f>SUMIFS('รวมครุภัณฑ์ 70'!L:L,'รวมครุภัณฑ์ 70'!C:C,"ครุภัณฑ์ยานพาหนะและขนส่ง",'รวมครุภัณฑ์ 70'!H:H,B93)</f>
        <v>1207900</v>
      </c>
      <c r="M93" s="73">
        <f>SUMIFS('รวมครุภัณฑ์ 70'!Q:Q,'รวมครุภัณฑ์ 70'!C:C,"ครุภัณฑ์ยานพาหนะและขนส่ง",'รวมครุภัณฑ์ 70'!H:H,B93)</f>
        <v>1</v>
      </c>
      <c r="N93" s="73">
        <f>SUMIFS('รวมครุภัณฑ์ 70'!R:R,'รวมครุภัณฑ์ 70'!C:C,"ครุภัณฑ์ยานพาหนะและขนส่ง",'รวมครุภัณฑ์ 70'!H:H,B93)</f>
        <v>0</v>
      </c>
      <c r="O93" s="73">
        <f t="shared" si="12"/>
        <v>1</v>
      </c>
      <c r="P93" s="69">
        <f t="shared" si="13"/>
        <v>1207900</v>
      </c>
      <c r="Q93" s="70"/>
    </row>
    <row r="94" spans="1:17" ht="21">
      <c r="A94" s="71" t="s">
        <v>146</v>
      </c>
      <c r="B94" s="67" t="s">
        <v>148</v>
      </c>
      <c r="C94" s="22">
        <f>SUMIFS('ครุภัณฑ์ 67'!G:G,'ครุภัณฑ์ 67'!C:C,"ยานพาหนะและขนส่ง",'ครุภัณฑ์ 67'!E:E,B94)</f>
        <v>0</v>
      </c>
      <c r="D94" s="75">
        <f>SUMIFS('ครุภัณฑ์ 67'!F:F,'ครุภัณฑ์ 67'!C:C,"ยานพาหนะและขนส่ง",'ครุภัณฑ์ 67'!E:E,B94)</f>
        <v>0</v>
      </c>
      <c r="E94" s="22">
        <f t="shared" si="14"/>
        <v>0</v>
      </c>
      <c r="F94" s="13">
        <f>SUMIFS('ครุภัณฑ์ 68'!G:G,'ครุภัณฑ์ 68'!C:C,"ยานพาหนะและขนส่ง",'ครุภัณฑ์ 68'!E:E,B94)</f>
        <v>0</v>
      </c>
      <c r="G94" s="13">
        <f>SUMIFS('ครุภัณฑ์ 68'!F:F,'ครุภัณฑ์ 68'!C:C,"ยานพาหนะและขนส่ง",'ครุภัณฑ์ 68'!E:E,B94)</f>
        <v>0</v>
      </c>
      <c r="H94" s="13">
        <f t="shared" si="10"/>
        <v>0</v>
      </c>
      <c r="I94" s="68">
        <f>SUMIFS('ครุภัณฑ์ 69'!G:G,'ครุภัณฑ์ 69'!C:C,"ยานพาหนะและขนส่ง",'ครุภัณฑ์ 69'!E:E,B94)</f>
        <v>970900</v>
      </c>
      <c r="J94" s="68">
        <f>SUMIFS('ครุภัณฑ์ 69'!F:F,'ครุภัณฑ์ 69'!C:C,"ยานพาหนะและขนส่ง",'ครุภัณฑ์ 69'!E:E,B94)</f>
        <v>1</v>
      </c>
      <c r="K94" s="68">
        <f t="shared" si="11"/>
        <v>970900</v>
      </c>
      <c r="L94" s="69">
        <f>SUMIFS('รวมครุภัณฑ์ 70'!L:L,'รวมครุภัณฑ์ 70'!C:C,"ครุภัณฑ์ยานพาหนะและขนส่ง",'รวมครุภัณฑ์ 70'!H:H,B94)</f>
        <v>0</v>
      </c>
      <c r="M94" s="73">
        <f>SUMIFS('รวมครุภัณฑ์ 70'!Q:Q,'รวมครุภัณฑ์ 70'!C:C,"ครุภัณฑ์ยานพาหนะและขนส่ง",'รวมครุภัณฑ์ 70'!H:H,B94)</f>
        <v>0</v>
      </c>
      <c r="N94" s="73">
        <f>SUMIFS('รวมครุภัณฑ์ 70'!R:R,'รวมครุภัณฑ์ 70'!C:C,"ครุภัณฑ์ยานพาหนะและขนส่ง",'รวมครุภัณฑ์ 70'!H:H,B94)</f>
        <v>0</v>
      </c>
      <c r="O94" s="73">
        <f t="shared" si="12"/>
        <v>0</v>
      </c>
      <c r="P94" s="69">
        <f t="shared" si="13"/>
        <v>0</v>
      </c>
      <c r="Q94" s="70"/>
    </row>
    <row r="95" spans="1:17" ht="21">
      <c r="A95" s="71" t="s">
        <v>436</v>
      </c>
      <c r="B95" s="67" t="s">
        <v>465</v>
      </c>
      <c r="C95" s="22">
        <f>SUMIFS('ครุภัณฑ์ 67'!G:G,'ครุภัณฑ์ 67'!C:C,"ยานพาหนะและขนส่ง",'ครุภัณฑ์ 67'!E:E,B95)</f>
        <v>0</v>
      </c>
      <c r="D95" s="75">
        <f>SUMIFS('ครุภัณฑ์ 67'!F:F,'ครุภัณฑ์ 67'!C:C,"ยานพาหนะและขนส่ง",'ครุภัณฑ์ 67'!E:E,B95)</f>
        <v>0</v>
      </c>
      <c r="E95" s="22">
        <f t="shared" si="14"/>
        <v>0</v>
      </c>
      <c r="F95" s="13">
        <f>SUMIFS('ครุภัณฑ์ 68'!G:G,'ครุภัณฑ์ 68'!C:C,"ยานพาหนะและขนส่ง",'ครุภัณฑ์ 68'!E:E,B95)</f>
        <v>0</v>
      </c>
      <c r="G95" s="13">
        <f>SUMIFS('ครุภัณฑ์ 68'!F:F,'ครุภัณฑ์ 68'!C:C,"ยานพาหนะและขนส่ง",'ครุภัณฑ์ 68'!E:E,B95)</f>
        <v>0</v>
      </c>
      <c r="H95" s="13">
        <f t="shared" si="10"/>
        <v>0</v>
      </c>
      <c r="I95" s="68">
        <f>SUMIFS('ครุภัณฑ์ 69'!G:G,'ครุภัณฑ์ 69'!C:C,"ยานพาหนะและขนส่ง",'ครุภัณฑ์ 69'!E:E,B95)</f>
        <v>0</v>
      </c>
      <c r="J95" s="68">
        <f>SUMIFS('ครุภัณฑ์ 69'!F:F,'ครุภัณฑ์ 69'!C:C,"ยานพาหนะและขนส่ง",'ครุภัณฑ์ 69'!E:E,B95)</f>
        <v>0</v>
      </c>
      <c r="K95" s="68">
        <f t="shared" si="11"/>
        <v>0</v>
      </c>
      <c r="L95" s="69">
        <f>SUMIFS('รวมครุภัณฑ์ 70'!L:L,'รวมครุภัณฑ์ 70'!C:C,"ครุภัณฑ์ยานพาหนะและขนส่ง",'รวมครุภัณฑ์ 70'!H:H,B95)</f>
        <v>1207900</v>
      </c>
      <c r="M95" s="73">
        <f>SUMIFS('รวมครุภัณฑ์ 70'!Q:Q,'รวมครุภัณฑ์ 70'!C:C,"ครุภัณฑ์ยานพาหนะและขนส่ง",'รวมครุภัณฑ์ 70'!H:H,B95)</f>
        <v>1</v>
      </c>
      <c r="N95" s="73">
        <f>SUMIFS('รวมครุภัณฑ์ 70'!R:R,'รวมครุภัณฑ์ 70'!C:C,"ครุภัณฑ์ยานพาหนะและขนส่ง",'รวมครุภัณฑ์ 70'!H:H,B95)</f>
        <v>0</v>
      </c>
      <c r="O95" s="73">
        <f t="shared" si="12"/>
        <v>1</v>
      </c>
      <c r="P95" s="69">
        <f t="shared" si="13"/>
        <v>1207900</v>
      </c>
      <c r="Q95" s="70"/>
    </row>
    <row r="96" spans="1:17" ht="21">
      <c r="A96" s="179" t="s">
        <v>12</v>
      </c>
      <c r="B96" s="179"/>
      <c r="C96" s="179"/>
      <c r="D96" s="179"/>
      <c r="E96" s="179"/>
      <c r="F96" s="179"/>
      <c r="G96" s="179"/>
      <c r="H96" s="179"/>
      <c r="I96" s="179"/>
      <c r="J96" s="179"/>
      <c r="K96" s="179"/>
      <c r="L96" s="179"/>
      <c r="M96" s="179"/>
      <c r="N96" s="179"/>
      <c r="O96" s="179"/>
      <c r="P96" s="179"/>
      <c r="Q96" s="70"/>
    </row>
    <row r="97" spans="1:17" ht="21">
      <c r="A97" s="71" t="s">
        <v>150</v>
      </c>
      <c r="B97" s="67" t="s">
        <v>152</v>
      </c>
      <c r="C97" s="22">
        <f>SUMIFS('ครุภัณฑ์ 67'!G:G,'ครุภัณฑ์ 67'!C:C,"ยานพาหนะและขนส่ง",'ครุภัณฑ์ 67'!E:E,B97)</f>
        <v>0</v>
      </c>
      <c r="D97" s="75">
        <f>SUMIFS('ครุภัณฑ์ 67'!F:F,'ครุภัณฑ์ 67'!C:C,"ยานพาหนะและขนส่ง",'ครุภัณฑ์ 67'!E:E,B97)</f>
        <v>0</v>
      </c>
      <c r="E97" s="22">
        <f>C97</f>
        <v>0</v>
      </c>
      <c r="F97" s="13">
        <f>SUMIFS('ครุภัณฑ์ 68'!G:G,'ครุภัณฑ์ 68'!C:C,"ยานพาหนะและขนส่ง",'ครุภัณฑ์ 68'!E:E,B97)</f>
        <v>0</v>
      </c>
      <c r="G97" s="13">
        <f>SUMIFS('ครุภัณฑ์ 68'!F:F,'ครุภัณฑ์ 68'!C:C,"ยานพาหนะและขนส่ง",'ครุภัณฑ์ 68'!E:E,B97)</f>
        <v>0</v>
      </c>
      <c r="H97" s="13">
        <f>F97</f>
        <v>0</v>
      </c>
      <c r="I97" s="68">
        <f>SUMIFS('ครุภัณฑ์ 69'!G:G,'ครุภัณฑ์ 69'!C:C,"ยานพาหนะและขนส่ง",'ครุภัณฑ์ 69'!E:E,B97)</f>
        <v>1369000</v>
      </c>
      <c r="J97" s="68">
        <f>SUMIFS('ครุภัณฑ์ 69'!F:F,'ครุภัณฑ์ 69'!C:C,"ยานพาหนะและขนส่ง",'ครุภัณฑ์ 69'!E:E,B97)</f>
        <v>1</v>
      </c>
      <c r="K97" s="68">
        <f>I97</f>
        <v>1369000</v>
      </c>
      <c r="L97" s="69">
        <f>SUMIFS('รวมครุภัณฑ์ 70'!L:L,'รวมครุภัณฑ์ 70'!C:C,"ครุภัณฑ์ยานพาหนะและขนส่ง",'รวมครุภัณฑ์ 70'!H:H,B97)</f>
        <v>0</v>
      </c>
      <c r="M97" s="69">
        <f>SUMIFS('รวมครุภัณฑ์ 70'!Q:Q,'รวมครุภัณฑ์ 70'!C:C,"ครุภัณฑ์ยานพาหนะและขนส่ง",'รวมครุภัณฑ์ 70'!H:H,B97)</f>
        <v>0</v>
      </c>
      <c r="N97" s="69">
        <f>SUMIFS('รวมครุภัณฑ์ 70'!R:R,'รวมครุภัณฑ์ 70'!C:C,"ครุภัณฑ์ยานพาหนะและขนส่ง",'รวมครุภัณฑ์ 70'!H:H,B97)</f>
        <v>0</v>
      </c>
      <c r="O97" s="69">
        <f>M97+N97</f>
        <v>0</v>
      </c>
      <c r="P97" s="69">
        <f>L97</f>
        <v>0</v>
      </c>
      <c r="Q97" s="72">
        <f>SUM(L97:L115)</f>
        <v>25186700</v>
      </c>
    </row>
    <row r="98" spans="1:17" ht="21">
      <c r="A98" s="71" t="s">
        <v>221</v>
      </c>
      <c r="B98" s="67" t="s">
        <v>223</v>
      </c>
      <c r="C98" s="22">
        <f>SUMIFS('ครุภัณฑ์ 67'!G:G,'ครุภัณฑ์ 67'!C:C,"ยานพาหนะและขนส่ง",'ครุภัณฑ์ 67'!E:E,B98)</f>
        <v>1090900</v>
      </c>
      <c r="D98" s="75">
        <f>SUMIFS('ครุภัณฑ์ 67'!F:F,'ครุภัณฑ์ 67'!C:C,"ยานพาหนะและขนส่ง",'ครุภัณฑ์ 67'!E:E,B98)</f>
        <v>1</v>
      </c>
      <c r="E98" s="22">
        <f t="shared" ref="E98:E115" si="15">C98</f>
        <v>1090900</v>
      </c>
      <c r="F98" s="13">
        <f>SUMIFS('ครุภัณฑ์ 68'!G:G,'ครุภัณฑ์ 68'!C:C,"ยานพาหนะและขนส่ง",'ครุภัณฑ์ 68'!E:E,B98)</f>
        <v>1090900</v>
      </c>
      <c r="G98" s="13">
        <f>SUMIFS('ครุภัณฑ์ 68'!F:F,'ครุภัณฑ์ 68'!C:C,"ยานพาหนะและขนส่ง",'ครุภัณฑ์ 68'!E:E,B98)</f>
        <v>1</v>
      </c>
      <c r="H98" s="13">
        <f t="shared" ref="H98:H115" si="16">F98</f>
        <v>1090900</v>
      </c>
      <c r="I98" s="68">
        <f>SUMIFS('ครุภัณฑ์ 69'!G:G,'ครุภัณฑ์ 69'!C:C,"ยานพาหนะและขนส่ง",'ครุภัณฑ์ 69'!E:E,B98)</f>
        <v>0</v>
      </c>
      <c r="J98" s="68">
        <f>SUMIFS('ครุภัณฑ์ 69'!F:F,'ครุภัณฑ์ 69'!C:C,"ยานพาหนะและขนส่ง",'ครุภัณฑ์ 69'!E:E,B98)</f>
        <v>0</v>
      </c>
      <c r="K98" s="68">
        <f t="shared" ref="K98:K115" si="17">I98</f>
        <v>0</v>
      </c>
      <c r="L98" s="69">
        <f>SUMIFS('รวมครุภัณฑ์ 70'!L:L,'รวมครุภัณฑ์ 70'!C:C,"ครุภัณฑ์ยานพาหนะและขนส่ง",'รวมครุภัณฑ์ 70'!H:H,B98)</f>
        <v>1498000</v>
      </c>
      <c r="M98" s="69">
        <f>SUMIFS('รวมครุภัณฑ์ 70'!Q:Q,'รวมครุภัณฑ์ 70'!C:C,"ครุภัณฑ์ยานพาหนะและขนส่ง",'รวมครุภัณฑ์ 70'!H:H,B98)</f>
        <v>1</v>
      </c>
      <c r="N98" s="69">
        <f>SUMIFS('รวมครุภัณฑ์ 70'!R:R,'รวมครุภัณฑ์ 70'!C:C,"ครุภัณฑ์ยานพาหนะและขนส่ง",'รวมครุภัณฑ์ 70'!H:H,B98)</f>
        <v>0</v>
      </c>
      <c r="O98" s="69">
        <f t="shared" ref="O98:O115" si="18">M98+N98</f>
        <v>1</v>
      </c>
      <c r="P98" s="69">
        <f t="shared" ref="P98:P115" si="19">L98</f>
        <v>1498000</v>
      </c>
      <c r="Q98" s="70" t="e">
        <f>SUM(#REF!)</f>
        <v>#REF!</v>
      </c>
    </row>
    <row r="99" spans="1:17" ht="21">
      <c r="A99" s="71" t="s">
        <v>383</v>
      </c>
      <c r="B99" s="67" t="s">
        <v>385</v>
      </c>
      <c r="C99" s="22">
        <f>SUMIFS('ครุภัณฑ์ 67'!G:G,'ครุภัณฑ์ 67'!C:C,"ยานพาหนะและขนส่ง",'ครุภัณฑ์ 67'!E:E,B99)</f>
        <v>1090900</v>
      </c>
      <c r="D99" s="75">
        <f>SUMIFS('ครุภัณฑ์ 67'!F:F,'ครุภัณฑ์ 67'!C:C,"ยานพาหนะและขนส่ง",'ครุภัณฑ์ 67'!E:E,B99)</f>
        <v>1</v>
      </c>
      <c r="E99" s="22">
        <f t="shared" si="15"/>
        <v>1090900</v>
      </c>
      <c r="F99" s="13">
        <f>SUMIFS('ครุภัณฑ์ 68'!G:G,'ครุภัณฑ์ 68'!C:C,"ยานพาหนะและขนส่ง",'ครุภัณฑ์ 68'!E:E,B99)</f>
        <v>0</v>
      </c>
      <c r="G99" s="13">
        <f>SUMIFS('ครุภัณฑ์ 68'!F:F,'ครุภัณฑ์ 68'!C:C,"ยานพาหนะและขนส่ง",'ครุภัณฑ์ 68'!E:E,B99)</f>
        <v>0</v>
      </c>
      <c r="H99" s="13">
        <f t="shared" si="16"/>
        <v>0</v>
      </c>
      <c r="I99" s="68">
        <f>SUMIFS('ครุภัณฑ์ 69'!G:G,'ครุภัณฑ์ 69'!C:C,"ยานพาหนะและขนส่ง",'ครุภัณฑ์ 69'!E:E,B99)</f>
        <v>0</v>
      </c>
      <c r="J99" s="68">
        <f>SUMIFS('ครุภัณฑ์ 69'!F:F,'ครุภัณฑ์ 69'!C:C,"ยานพาหนะและขนส่ง",'ครุภัณฑ์ 69'!E:E,B99)</f>
        <v>0</v>
      </c>
      <c r="K99" s="68">
        <f t="shared" si="17"/>
        <v>0</v>
      </c>
      <c r="L99" s="69">
        <f>SUMIFS('รวมครุภัณฑ์ 70'!L:L,'รวมครุภัณฑ์ 70'!C:C,"ครุภัณฑ์ยานพาหนะและขนส่ง",'รวมครุภัณฑ์ 70'!H:H,B99)</f>
        <v>1207900</v>
      </c>
      <c r="M99" s="69">
        <f>SUMIFS('รวมครุภัณฑ์ 70'!Q:Q,'รวมครุภัณฑ์ 70'!C:C,"ครุภัณฑ์ยานพาหนะและขนส่ง",'รวมครุภัณฑ์ 70'!H:H,B99)</f>
        <v>1</v>
      </c>
      <c r="N99" s="69">
        <f>SUMIFS('รวมครุภัณฑ์ 70'!R:R,'รวมครุภัณฑ์ 70'!C:C,"ครุภัณฑ์ยานพาหนะและขนส่ง",'รวมครุภัณฑ์ 70'!H:H,B99)</f>
        <v>0</v>
      </c>
      <c r="O99" s="69">
        <f t="shared" si="18"/>
        <v>1</v>
      </c>
      <c r="P99" s="69">
        <f t="shared" si="19"/>
        <v>1207900</v>
      </c>
      <c r="Q99" s="72" t="e">
        <f>Q97+Q98</f>
        <v>#REF!</v>
      </c>
    </row>
    <row r="100" spans="1:17" ht="21">
      <c r="A100" s="71" t="s">
        <v>387</v>
      </c>
      <c r="B100" s="67" t="s">
        <v>389</v>
      </c>
      <c r="C100" s="22">
        <f>SUMIFS('ครุภัณฑ์ 67'!G:G,'ครุภัณฑ์ 67'!C:C,"ยานพาหนะและขนส่ง",'ครุภัณฑ์ 67'!E:E,B100)</f>
        <v>1090900</v>
      </c>
      <c r="D100" s="75">
        <f>SUMIFS('ครุภัณฑ์ 67'!F:F,'ครุภัณฑ์ 67'!C:C,"ยานพาหนะและขนส่ง",'ครุภัณฑ์ 67'!E:E,B100)</f>
        <v>1</v>
      </c>
      <c r="E100" s="22">
        <f t="shared" si="15"/>
        <v>1090900</v>
      </c>
      <c r="F100" s="13">
        <f>SUMIFS('ครุภัณฑ์ 68'!G:G,'ครุภัณฑ์ 68'!C:C,"ยานพาหนะและขนส่ง",'ครุภัณฑ์ 68'!E:E,B100)</f>
        <v>0</v>
      </c>
      <c r="G100" s="13">
        <f>SUMIFS('ครุภัณฑ์ 68'!F:F,'ครุภัณฑ์ 68'!C:C,"ยานพาหนะและขนส่ง",'ครุภัณฑ์ 68'!E:E,B100)</f>
        <v>0</v>
      </c>
      <c r="H100" s="13">
        <f t="shared" si="16"/>
        <v>0</v>
      </c>
      <c r="I100" s="68">
        <f>SUMIFS('ครุภัณฑ์ 69'!G:G,'ครุภัณฑ์ 69'!C:C,"ยานพาหนะและขนส่ง",'ครุภัณฑ์ 69'!E:E,B100)</f>
        <v>0</v>
      </c>
      <c r="J100" s="68">
        <f>SUMIFS('ครุภัณฑ์ 69'!F:F,'ครุภัณฑ์ 69'!C:C,"ยานพาหนะและขนส่ง",'ครุภัณฑ์ 69'!E:E,B100)</f>
        <v>0</v>
      </c>
      <c r="K100" s="68">
        <f t="shared" si="17"/>
        <v>0</v>
      </c>
      <c r="L100" s="69">
        <f>SUMIFS('รวมครุภัณฑ์ 70'!L:L,'รวมครุภัณฑ์ 70'!C:C,"ครุภัณฑ์ยานพาหนะและขนส่ง",'รวมครุภัณฑ์ 70'!H:H,B100)</f>
        <v>60100</v>
      </c>
      <c r="M100" s="69">
        <f>SUMIFS('รวมครุภัณฑ์ 70'!Q:Q,'รวมครุภัณฑ์ 70'!C:C,"ครุภัณฑ์ยานพาหนะและขนส่ง",'รวมครุภัณฑ์ 70'!H:H,B100)</f>
        <v>1</v>
      </c>
      <c r="N100" s="69">
        <f>SUMIFS('รวมครุภัณฑ์ 70'!R:R,'รวมครุภัณฑ์ 70'!C:C,"ครุภัณฑ์ยานพาหนะและขนส่ง",'รวมครุภัณฑ์ 70'!H:H,B100)</f>
        <v>0</v>
      </c>
      <c r="O100" s="69">
        <f t="shared" si="18"/>
        <v>1</v>
      </c>
      <c r="P100" s="69">
        <f t="shared" si="19"/>
        <v>60100</v>
      </c>
      <c r="Q100" s="70"/>
    </row>
    <row r="101" spans="1:17" ht="21">
      <c r="A101" s="71" t="s">
        <v>154</v>
      </c>
      <c r="B101" s="67" t="s">
        <v>156</v>
      </c>
      <c r="C101" s="22">
        <f>SUMIFS('ครุภัณฑ์ 67'!G:G,'ครุภัณฑ์ 67'!C:C,"ยานพาหนะและขนส่ง",'ครุภัณฑ์ 67'!E:E,B101)</f>
        <v>0</v>
      </c>
      <c r="D101" s="75">
        <f>SUMIFS('ครุภัณฑ์ 67'!F:F,'ครุภัณฑ์ 67'!C:C,"ยานพาหนะและขนส่ง",'ครุภัณฑ์ 67'!E:E,B101)</f>
        <v>0</v>
      </c>
      <c r="E101" s="22">
        <f t="shared" si="15"/>
        <v>0</v>
      </c>
      <c r="F101" s="13">
        <f>SUMIFS('ครุภัณฑ์ 68'!G:G,'ครุภัณฑ์ 68'!C:C,"ยานพาหนะและขนส่ง",'ครุภัณฑ์ 68'!E:E,B101)</f>
        <v>885900</v>
      </c>
      <c r="G101" s="13">
        <f>SUMIFS('ครุภัณฑ์ 68'!F:F,'ครุภัณฑ์ 68'!C:C,"ยานพาหนะและขนส่ง",'ครุภัณฑ์ 68'!E:E,B101)</f>
        <v>1</v>
      </c>
      <c r="H101" s="13">
        <f t="shared" si="16"/>
        <v>885900</v>
      </c>
      <c r="I101" s="68">
        <f>SUMIFS('ครุภัณฑ์ 69'!G:G,'ครุภัณฑ์ 69'!C:C,"ยานพาหนะและขนส่ง",'ครุภัณฑ์ 69'!E:E,B101)</f>
        <v>1207900</v>
      </c>
      <c r="J101" s="68">
        <f>SUMIFS('ครุภัณฑ์ 69'!F:F,'ครุภัณฑ์ 69'!C:C,"ยานพาหนะและขนส่ง",'ครุภัณฑ์ 69'!E:E,B101)</f>
        <v>1</v>
      </c>
      <c r="K101" s="68">
        <f t="shared" si="17"/>
        <v>1207900</v>
      </c>
      <c r="L101" s="69">
        <f>SUMIFS('รวมครุภัณฑ์ 70'!L:L,'รวมครุภัณฑ์ 70'!C:C,"ครุภัณฑ์ยานพาหนะและขนส่ง",'รวมครุภัณฑ์ 70'!H:H,B101)</f>
        <v>2468900</v>
      </c>
      <c r="M101" s="69">
        <f>SUMIFS('รวมครุภัณฑ์ 70'!Q:Q,'รวมครุภัณฑ์ 70'!C:C,"ครุภัณฑ์ยานพาหนะและขนส่ง",'รวมครุภัณฑ์ 70'!H:H,B101)</f>
        <v>2</v>
      </c>
      <c r="N101" s="69">
        <f>SUMIFS('รวมครุภัณฑ์ 70'!R:R,'รวมครุภัณฑ์ 70'!C:C,"ครุภัณฑ์ยานพาหนะและขนส่ง",'รวมครุภัณฑ์ 70'!H:H,B101)</f>
        <v>0</v>
      </c>
      <c r="O101" s="69">
        <f t="shared" si="18"/>
        <v>2</v>
      </c>
      <c r="P101" s="69">
        <f t="shared" si="19"/>
        <v>2468900</v>
      </c>
      <c r="Q101" s="70"/>
    </row>
    <row r="102" spans="1:17" ht="21">
      <c r="A102" s="71" t="s">
        <v>390</v>
      </c>
      <c r="B102" s="67" t="s">
        <v>392</v>
      </c>
      <c r="C102" s="22">
        <f>SUMIFS('ครุภัณฑ์ 67'!G:G,'ครุภัณฑ์ 67'!C:C,"ยานพาหนะและขนส่ง",'ครุภัณฑ์ 67'!E:E,B102)</f>
        <v>1090900</v>
      </c>
      <c r="D102" s="75">
        <f>SUMIFS('ครุภัณฑ์ 67'!F:F,'ครุภัณฑ์ 67'!C:C,"ยานพาหนะและขนส่ง",'ครุภัณฑ์ 67'!E:E,B102)</f>
        <v>1</v>
      </c>
      <c r="E102" s="22">
        <f t="shared" si="15"/>
        <v>1090900</v>
      </c>
      <c r="F102" s="13">
        <f>SUMIFS('ครุภัณฑ์ 68'!G:G,'ครุภัณฑ์ 68'!C:C,"ยานพาหนะและขนส่ง",'ครุภัณฑ์ 68'!E:E,B102)</f>
        <v>0</v>
      </c>
      <c r="G102" s="13">
        <f>SUMIFS('ครุภัณฑ์ 68'!F:F,'ครุภัณฑ์ 68'!C:C,"ยานพาหนะและขนส่ง",'ครุภัณฑ์ 68'!E:E,B102)</f>
        <v>0</v>
      </c>
      <c r="H102" s="13">
        <f t="shared" si="16"/>
        <v>0</v>
      </c>
      <c r="I102" s="68">
        <f>SUMIFS('ครุภัณฑ์ 69'!G:G,'ครุภัณฑ์ 69'!C:C,"ยานพาหนะและขนส่ง",'ครุภัณฑ์ 69'!E:E,B102)</f>
        <v>0</v>
      </c>
      <c r="J102" s="68">
        <f>SUMIFS('ครุภัณฑ์ 69'!F:F,'ครุภัณฑ์ 69'!C:C,"ยานพาหนะและขนส่ง",'ครุภัณฑ์ 69'!E:E,B102)</f>
        <v>0</v>
      </c>
      <c r="K102" s="68">
        <f t="shared" si="17"/>
        <v>0</v>
      </c>
      <c r="L102" s="69">
        <f>SUMIFS('รวมครุภัณฑ์ 70'!L:L,'รวมครุภัณฑ์ 70'!C:C,"ครุภัณฑ์ยานพาหนะและขนส่ง",'รวมครุภัณฑ์ 70'!H:H,B102)</f>
        <v>1498000</v>
      </c>
      <c r="M102" s="69">
        <f>SUMIFS('รวมครุภัณฑ์ 70'!Q:Q,'รวมครุภัณฑ์ 70'!C:C,"ครุภัณฑ์ยานพาหนะและขนส่ง",'รวมครุภัณฑ์ 70'!H:H,B102)</f>
        <v>1</v>
      </c>
      <c r="N102" s="69">
        <f>SUMIFS('รวมครุภัณฑ์ 70'!R:R,'รวมครุภัณฑ์ 70'!C:C,"ครุภัณฑ์ยานพาหนะและขนส่ง",'รวมครุภัณฑ์ 70'!H:H,B102)</f>
        <v>0</v>
      </c>
      <c r="O102" s="69">
        <f t="shared" si="18"/>
        <v>1</v>
      </c>
      <c r="P102" s="69">
        <f t="shared" si="19"/>
        <v>1498000</v>
      </c>
      <c r="Q102" s="70"/>
    </row>
    <row r="103" spans="1:17" ht="21">
      <c r="A103" s="71" t="s">
        <v>394</v>
      </c>
      <c r="B103" s="67" t="s">
        <v>396</v>
      </c>
      <c r="C103" s="22">
        <f>SUMIFS('ครุภัณฑ์ 67'!G:G,'ครุภัณฑ์ 67'!C:C,"ยานพาหนะและขนส่ง",'ครุภัณฑ์ 67'!E:E,B103)</f>
        <v>1358000</v>
      </c>
      <c r="D103" s="75">
        <f>SUMIFS('ครุภัณฑ์ 67'!F:F,'ครุภัณฑ์ 67'!C:C,"ยานพาหนะและขนส่ง",'ครุภัณฑ์ 67'!E:E,B103)</f>
        <v>1</v>
      </c>
      <c r="E103" s="22">
        <f t="shared" si="15"/>
        <v>1358000</v>
      </c>
      <c r="F103" s="13">
        <f>SUMIFS('ครุภัณฑ์ 68'!G:G,'ครุภัณฑ์ 68'!C:C,"ยานพาหนะและขนส่ง",'ครุภัณฑ์ 68'!E:E,B103)</f>
        <v>0</v>
      </c>
      <c r="G103" s="13">
        <f>SUMIFS('ครุภัณฑ์ 68'!F:F,'ครุภัณฑ์ 68'!C:C,"ยานพาหนะและขนส่ง",'ครุภัณฑ์ 68'!E:E,B103)</f>
        <v>0</v>
      </c>
      <c r="H103" s="13">
        <f t="shared" si="16"/>
        <v>0</v>
      </c>
      <c r="I103" s="68">
        <f>SUMIFS('ครุภัณฑ์ 69'!G:G,'ครุภัณฑ์ 69'!C:C,"ยานพาหนะและขนส่ง",'ครุภัณฑ์ 69'!E:E,B103)</f>
        <v>0</v>
      </c>
      <c r="J103" s="68">
        <f>SUMIFS('ครุภัณฑ์ 69'!F:F,'ครุภัณฑ์ 69'!C:C,"ยานพาหนะและขนส่ง",'ครุภัณฑ์ 69'!E:E,B103)</f>
        <v>0</v>
      </c>
      <c r="K103" s="68">
        <f t="shared" si="17"/>
        <v>0</v>
      </c>
      <c r="L103" s="69">
        <f>SUMIFS('รวมครุภัณฑ์ 70'!L:L,'รวมครุภัณฑ์ 70'!C:C,"ครุภัณฑ์ยานพาหนะและขนส่ง",'รวมครุภัณฑ์ 70'!H:H,B103)</f>
        <v>1207900</v>
      </c>
      <c r="M103" s="69">
        <f>SUMIFS('รวมครุภัณฑ์ 70'!Q:Q,'รวมครุภัณฑ์ 70'!C:C,"ครุภัณฑ์ยานพาหนะและขนส่ง",'รวมครุภัณฑ์ 70'!H:H,B103)</f>
        <v>1</v>
      </c>
      <c r="N103" s="69">
        <f>SUMIFS('รวมครุภัณฑ์ 70'!R:R,'รวมครุภัณฑ์ 70'!C:C,"ครุภัณฑ์ยานพาหนะและขนส่ง",'รวมครุภัณฑ์ 70'!H:H,B103)</f>
        <v>0</v>
      </c>
      <c r="O103" s="69">
        <f t="shared" si="18"/>
        <v>1</v>
      </c>
      <c r="P103" s="69">
        <f t="shared" si="19"/>
        <v>1207900</v>
      </c>
      <c r="Q103" s="70"/>
    </row>
    <row r="104" spans="1:17" ht="21">
      <c r="A104" s="71" t="s">
        <v>397</v>
      </c>
      <c r="B104" s="67" t="s">
        <v>399</v>
      </c>
      <c r="C104" s="22">
        <f>SUMIFS('ครุภัณฑ์ 67'!G:G,'ครุภัณฑ์ 67'!C:C,"ยานพาหนะและขนส่ง",'ครุภัณฑ์ 67'!E:E,B104)</f>
        <v>1358000</v>
      </c>
      <c r="D104" s="75">
        <f>SUMIFS('ครุภัณฑ์ 67'!F:F,'ครุภัณฑ์ 67'!C:C,"ยานพาหนะและขนส่ง",'ครุภัณฑ์ 67'!E:E,B104)</f>
        <v>1</v>
      </c>
      <c r="E104" s="22">
        <f t="shared" si="15"/>
        <v>1358000</v>
      </c>
      <c r="F104" s="13">
        <f>SUMIFS('ครุภัณฑ์ 68'!G:G,'ครุภัณฑ์ 68'!C:C,"ยานพาหนะและขนส่ง",'ครุภัณฑ์ 68'!E:E,B104)</f>
        <v>0</v>
      </c>
      <c r="G104" s="13">
        <f>SUMIFS('ครุภัณฑ์ 68'!F:F,'ครุภัณฑ์ 68'!C:C,"ยานพาหนะและขนส่ง",'ครุภัณฑ์ 68'!E:E,B104)</f>
        <v>0</v>
      </c>
      <c r="H104" s="13">
        <f t="shared" si="16"/>
        <v>0</v>
      </c>
      <c r="I104" s="68">
        <f>SUMIFS('ครุภัณฑ์ 69'!G:G,'ครุภัณฑ์ 69'!C:C,"ยานพาหนะและขนส่ง",'ครุภัณฑ์ 69'!E:E,B104)</f>
        <v>0</v>
      </c>
      <c r="J104" s="68">
        <f>SUMIFS('ครุภัณฑ์ 69'!F:F,'ครุภัณฑ์ 69'!C:C,"ยานพาหนะและขนส่ง",'ครุภัณฑ์ 69'!E:E,B104)</f>
        <v>0</v>
      </c>
      <c r="K104" s="68">
        <f t="shared" si="17"/>
        <v>0</v>
      </c>
      <c r="L104" s="69">
        <f>SUMIFS('รวมครุภัณฑ์ 70'!L:L,'รวมครุภัณฑ์ 70'!C:C,"ครุภัณฑ์ยานพาหนะและขนส่ง",'รวมครุภัณฑ์ 70'!H:H,B104)</f>
        <v>2705900</v>
      </c>
      <c r="M104" s="69">
        <f>SUMIFS('รวมครุภัณฑ์ 70'!Q:Q,'รวมครุภัณฑ์ 70'!C:C,"ครุภัณฑ์ยานพาหนะและขนส่ง",'รวมครุภัณฑ์ 70'!H:H,B104)</f>
        <v>2</v>
      </c>
      <c r="N104" s="69">
        <f>SUMIFS('รวมครุภัณฑ์ 70'!R:R,'รวมครุภัณฑ์ 70'!C:C,"ครุภัณฑ์ยานพาหนะและขนส่ง",'รวมครุภัณฑ์ 70'!H:H,B104)</f>
        <v>0</v>
      </c>
      <c r="O104" s="69">
        <f t="shared" si="18"/>
        <v>2</v>
      </c>
      <c r="P104" s="69">
        <f t="shared" si="19"/>
        <v>2705900</v>
      </c>
      <c r="Q104" s="70"/>
    </row>
    <row r="105" spans="1:17" ht="21">
      <c r="A105" s="71" t="s">
        <v>157</v>
      </c>
      <c r="B105" s="67" t="s">
        <v>159</v>
      </c>
      <c r="C105" s="22">
        <f>SUMIFS('ครุภัณฑ์ 67'!G:G,'ครุภัณฑ์ 67'!C:C,"ยานพาหนะและขนส่ง",'ครุภัณฑ์ 67'!E:E,B105)</f>
        <v>0</v>
      </c>
      <c r="D105" s="75">
        <f>SUMIFS('ครุภัณฑ์ 67'!F:F,'ครุภัณฑ์ 67'!C:C,"ยานพาหนะและขนส่ง",'ครุภัณฑ์ 67'!E:E,B105)</f>
        <v>0</v>
      </c>
      <c r="E105" s="22">
        <f t="shared" si="15"/>
        <v>0</v>
      </c>
      <c r="F105" s="13">
        <f>SUMIFS('ครุภัณฑ์ 68'!G:G,'ครุภัณฑ์ 68'!C:C,"ยานพาหนะและขนส่ง",'ครุภัณฑ์ 68'!E:E,B105)</f>
        <v>0</v>
      </c>
      <c r="G105" s="13">
        <f>SUMIFS('ครุภัณฑ์ 68'!F:F,'ครุภัณฑ์ 68'!C:C,"ยานพาหนะและขนส่ง",'ครุภัณฑ์ 68'!E:E,B105)</f>
        <v>0</v>
      </c>
      <c r="H105" s="13">
        <f t="shared" si="16"/>
        <v>0</v>
      </c>
      <c r="I105" s="68">
        <f>SUMIFS('ครุภัณฑ์ 69'!G:G,'ครุภัณฑ์ 69'!C:C,"ยานพาหนะและขนส่ง",'ครุภัณฑ์ 69'!E:E,B105)</f>
        <v>1207900</v>
      </c>
      <c r="J105" s="68">
        <f>SUMIFS('ครุภัณฑ์ 69'!F:F,'ครุภัณฑ์ 69'!C:C,"ยานพาหนะและขนส่ง",'ครุภัณฑ์ 69'!E:E,B105)</f>
        <v>1</v>
      </c>
      <c r="K105" s="68">
        <f t="shared" si="17"/>
        <v>1207900</v>
      </c>
      <c r="L105" s="69">
        <f>SUMIFS('รวมครุภัณฑ์ 70'!L:L,'รวมครุภัณฑ์ 70'!C:C,"ครุภัณฑ์ยานพาหนะและขนส่ง",'รวมครุภัณฑ์ 70'!H:H,B105)</f>
        <v>0</v>
      </c>
      <c r="M105" s="69">
        <f>SUMIFS('รวมครุภัณฑ์ 70'!Q:Q,'รวมครุภัณฑ์ 70'!C:C,"ครุภัณฑ์ยานพาหนะและขนส่ง",'รวมครุภัณฑ์ 70'!H:H,B105)</f>
        <v>0</v>
      </c>
      <c r="N105" s="69">
        <f>SUMIFS('รวมครุภัณฑ์ 70'!R:R,'รวมครุภัณฑ์ 70'!C:C,"ครุภัณฑ์ยานพาหนะและขนส่ง",'รวมครุภัณฑ์ 70'!H:H,B105)</f>
        <v>0</v>
      </c>
      <c r="O105" s="69">
        <f t="shared" si="18"/>
        <v>0</v>
      </c>
      <c r="P105" s="69">
        <f t="shared" si="19"/>
        <v>0</v>
      </c>
      <c r="Q105" s="70"/>
    </row>
    <row r="106" spans="1:17" ht="21">
      <c r="A106" s="71" t="s">
        <v>298</v>
      </c>
      <c r="B106" s="67" t="s">
        <v>300</v>
      </c>
      <c r="C106" s="22">
        <f>SUMIFS('ครุภัณฑ์ 67'!G:G,'ครุภัณฑ์ 67'!C:C,"ยานพาหนะและขนส่ง",'ครุภัณฑ์ 67'!E:E,B106)</f>
        <v>1090900</v>
      </c>
      <c r="D106" s="75">
        <f>SUMIFS('ครุภัณฑ์ 67'!F:F,'ครุภัณฑ์ 67'!C:C,"ยานพาหนะและขนส่ง",'ครุภัณฑ์ 67'!E:E,B106)</f>
        <v>1</v>
      </c>
      <c r="E106" s="22">
        <f t="shared" si="15"/>
        <v>1090900</v>
      </c>
      <c r="F106" s="13">
        <f>SUMIFS('ครุภัณฑ์ 68'!G:G,'ครุภัณฑ์ 68'!C:C,"ยานพาหนะและขนส่ง",'ครุภัณฑ์ 68'!E:E,B106)</f>
        <v>0</v>
      </c>
      <c r="G106" s="13">
        <f>SUMIFS('ครุภัณฑ์ 68'!F:F,'ครุภัณฑ์ 68'!C:C,"ยานพาหนะและขนส่ง",'ครุภัณฑ์ 68'!E:E,B106)</f>
        <v>0</v>
      </c>
      <c r="H106" s="13">
        <f t="shared" si="16"/>
        <v>0</v>
      </c>
      <c r="I106" s="68">
        <f>SUMIFS('ครุภัณฑ์ 69'!G:G,'ครุภัณฑ์ 69'!C:C,"ยานพาหนะและขนส่ง",'ครุภัณฑ์ 69'!E:E,B106)</f>
        <v>0</v>
      </c>
      <c r="J106" s="68">
        <f>SUMIFS('ครุภัณฑ์ 69'!F:F,'ครุภัณฑ์ 69'!C:C,"ยานพาหนะและขนส่ง",'ครุภัณฑ์ 69'!E:E,B106)</f>
        <v>0</v>
      </c>
      <c r="K106" s="68">
        <f t="shared" si="17"/>
        <v>0</v>
      </c>
      <c r="L106" s="69">
        <f>SUMIFS('รวมครุภัณฑ์ 70'!L:L,'รวมครุภัณฑ์ 70'!C:C,"ครุภัณฑ์ยานพาหนะและขนส่ง",'รวมครุภัณฑ์ 70'!H:H,B106)</f>
        <v>2178800</v>
      </c>
      <c r="M106" s="69">
        <f>SUMIFS('รวมครุภัณฑ์ 70'!Q:Q,'รวมครุภัณฑ์ 70'!C:C,"ครุภัณฑ์ยานพาหนะและขนส่ง",'รวมครุภัณฑ์ 70'!H:H,B106)</f>
        <v>1</v>
      </c>
      <c r="N106" s="69">
        <f>SUMIFS('รวมครุภัณฑ์ 70'!R:R,'รวมครุภัณฑ์ 70'!C:C,"ครุภัณฑ์ยานพาหนะและขนส่ง",'รวมครุภัณฑ์ 70'!H:H,B106)</f>
        <v>1</v>
      </c>
      <c r="O106" s="69">
        <f t="shared" si="18"/>
        <v>2</v>
      </c>
      <c r="P106" s="69">
        <f t="shared" si="19"/>
        <v>2178800</v>
      </c>
      <c r="Q106" s="70"/>
    </row>
    <row r="107" spans="1:17" ht="21">
      <c r="A107" s="71" t="s">
        <v>160</v>
      </c>
      <c r="B107" s="67" t="s">
        <v>164</v>
      </c>
      <c r="C107" s="22">
        <f>SUMIFS('ครุภัณฑ์ 67'!G:G,'ครุภัณฑ์ 67'!C:C,"ยานพาหนะและขนส่ง",'ครุภัณฑ์ 67'!E:E,B107)</f>
        <v>0</v>
      </c>
      <c r="D107" s="75">
        <f>SUMIFS('ครุภัณฑ์ 67'!F:F,'ครุภัณฑ์ 67'!C:C,"ยานพาหนะและขนส่ง",'ครุภัณฑ์ 67'!E:E,B107)</f>
        <v>0</v>
      </c>
      <c r="E107" s="22">
        <f t="shared" si="15"/>
        <v>0</v>
      </c>
      <c r="F107" s="13">
        <f>SUMIFS('ครุภัณฑ์ 68'!G:G,'ครุภัณฑ์ 68'!C:C,"ยานพาหนะและขนส่ง",'ครุภัณฑ์ 68'!E:E,B107)</f>
        <v>0</v>
      </c>
      <c r="G107" s="13">
        <f>SUMIFS('ครุภัณฑ์ 68'!F:F,'ครุภัณฑ์ 68'!C:C,"ยานพาหนะและขนส่ง",'ครุภัณฑ์ 68'!E:E,B107)</f>
        <v>0</v>
      </c>
      <c r="H107" s="13">
        <f t="shared" si="16"/>
        <v>0</v>
      </c>
      <c r="I107" s="68">
        <f>SUMIFS('ครุภัณฑ์ 69'!G:G,'ครุภัณฑ์ 69'!C:C,"ยานพาหนะและขนส่ง",'ครุภัณฑ์ 69'!E:E,B107)</f>
        <v>0</v>
      </c>
      <c r="J107" s="68">
        <f>SUMIFS('ครุภัณฑ์ 69'!F:F,'ครุภัณฑ์ 69'!C:C,"ยานพาหนะและขนส่ง",'ครุภัณฑ์ 69'!E:E,B107)</f>
        <v>0</v>
      </c>
      <c r="K107" s="68">
        <f t="shared" si="17"/>
        <v>0</v>
      </c>
      <c r="L107" s="69">
        <f>SUMIFS('รวมครุภัณฑ์ 70'!L:L,'รวมครุภัณฑ์ 70'!C:C,"ครุภัณฑ์ยานพาหนะและขนส่ง",'รวมครุภัณฑ์ 70'!H:H,B107)</f>
        <v>0</v>
      </c>
      <c r="M107" s="69">
        <f>SUMIFS('รวมครุภัณฑ์ 70'!Q:Q,'รวมครุภัณฑ์ 70'!C:C,"ครุภัณฑ์ยานพาหนะและขนส่ง",'รวมครุภัณฑ์ 70'!H:H,B107)</f>
        <v>0</v>
      </c>
      <c r="N107" s="69">
        <f>SUMIFS('รวมครุภัณฑ์ 70'!R:R,'รวมครุภัณฑ์ 70'!C:C,"ครุภัณฑ์ยานพาหนะและขนส่ง",'รวมครุภัณฑ์ 70'!H:H,B107)</f>
        <v>0</v>
      </c>
      <c r="O107" s="69">
        <f t="shared" si="18"/>
        <v>0</v>
      </c>
      <c r="P107" s="69">
        <f t="shared" si="19"/>
        <v>0</v>
      </c>
      <c r="Q107" s="70"/>
    </row>
    <row r="108" spans="1:17" ht="21">
      <c r="A108" s="71" t="s">
        <v>160</v>
      </c>
      <c r="B108" s="67" t="s">
        <v>162</v>
      </c>
      <c r="C108" s="22">
        <f>SUMIFS('ครุภัณฑ์ 67'!G:G,'ครุภัณฑ์ 67'!C:C,"ยานพาหนะและขนส่ง",'ครุภัณฑ์ 67'!E:E,B108)</f>
        <v>0</v>
      </c>
      <c r="D108" s="75">
        <f>SUMIFS('ครุภัณฑ์ 67'!F:F,'ครุภัณฑ์ 67'!C:C,"ยานพาหนะและขนส่ง",'ครุภัณฑ์ 67'!E:E,B108)</f>
        <v>0</v>
      </c>
      <c r="E108" s="22">
        <f t="shared" si="15"/>
        <v>0</v>
      </c>
      <c r="F108" s="13">
        <f>SUMIFS('ครุภัณฑ์ 68'!G:G,'ครุภัณฑ์ 68'!C:C,"ยานพาหนะและขนส่ง",'ครุภัณฑ์ 68'!E:E,B108)</f>
        <v>0</v>
      </c>
      <c r="G108" s="13">
        <f>SUMIFS('ครุภัณฑ์ 68'!F:F,'ครุภัณฑ์ 68'!C:C,"ยานพาหนะและขนส่ง",'ครุภัณฑ์ 68'!E:E,B108)</f>
        <v>0</v>
      </c>
      <c r="H108" s="13">
        <f t="shared" si="16"/>
        <v>0</v>
      </c>
      <c r="I108" s="68">
        <f>SUMIFS('ครุภัณฑ์ 69'!G:G,'ครุภัณฑ์ 69'!C:C,"ยานพาหนะและขนส่ง",'ครุภัณฑ์ 69'!E:E,B108)</f>
        <v>0</v>
      </c>
      <c r="J108" s="68">
        <f>SUMIFS('ครุภัณฑ์ 69'!F:F,'ครุภัณฑ์ 69'!C:C,"ยานพาหนะและขนส่ง",'ครุภัณฑ์ 69'!E:E,B108)</f>
        <v>0</v>
      </c>
      <c r="K108" s="68">
        <f t="shared" si="17"/>
        <v>0</v>
      </c>
      <c r="L108" s="69">
        <f>SUMIFS('รวมครุภัณฑ์ 70'!L:L,'รวมครุภัณฑ์ 70'!C:C,"ครุภัณฑ์ยานพาหนะและขนส่ง",'รวมครุภัณฑ์ 70'!H:H,B108)</f>
        <v>1450000</v>
      </c>
      <c r="M108" s="69">
        <f>SUMIFS('รวมครุภัณฑ์ 70'!Q:Q,'รวมครุภัณฑ์ 70'!C:C,"ครุภัณฑ์ยานพาหนะและขนส่ง",'รวมครุภัณฑ์ 70'!H:H,B108)</f>
        <v>1</v>
      </c>
      <c r="N108" s="69">
        <f>SUMIFS('รวมครุภัณฑ์ 70'!R:R,'รวมครุภัณฑ์ 70'!C:C,"ครุภัณฑ์ยานพาหนะและขนส่ง",'รวมครุภัณฑ์ 70'!H:H,B108)</f>
        <v>0</v>
      </c>
      <c r="O108" s="69">
        <f t="shared" si="18"/>
        <v>1</v>
      </c>
      <c r="P108" s="69">
        <f t="shared" si="19"/>
        <v>1450000</v>
      </c>
      <c r="Q108" s="70"/>
    </row>
    <row r="109" spans="1:17" ht="21">
      <c r="A109" s="71" t="s">
        <v>166</v>
      </c>
      <c r="B109" s="67" t="s">
        <v>168</v>
      </c>
      <c r="C109" s="22">
        <f>SUMIFS('ครุภัณฑ์ 67'!G:G,'ครุภัณฑ์ 67'!C:C,"ยานพาหนะและขนส่ง",'ครุภัณฑ์ 67'!E:E,B109)</f>
        <v>1090900</v>
      </c>
      <c r="D109" s="75">
        <f>SUMIFS('ครุภัณฑ์ 67'!F:F,'ครุภัณฑ์ 67'!C:C,"ยานพาหนะและขนส่ง",'ครุภัณฑ์ 67'!E:E,B109)</f>
        <v>1</v>
      </c>
      <c r="E109" s="22">
        <f t="shared" si="15"/>
        <v>1090900</v>
      </c>
      <c r="F109" s="13">
        <f>SUMIFS('ครุภัณฑ์ 68'!G:G,'ครุภัณฑ์ 68'!C:C,"ยานพาหนะและขนส่ง",'ครุภัณฑ์ 68'!E:E,B109)</f>
        <v>0</v>
      </c>
      <c r="G109" s="13">
        <f>SUMIFS('ครุภัณฑ์ 68'!F:F,'ครุภัณฑ์ 68'!C:C,"ยานพาหนะและขนส่ง",'ครุภัณฑ์ 68'!E:E,B109)</f>
        <v>0</v>
      </c>
      <c r="H109" s="13">
        <f t="shared" si="16"/>
        <v>0</v>
      </c>
      <c r="I109" s="68">
        <f>SUMIFS('ครุภัณฑ์ 69'!G:G,'ครุภัณฑ์ 69'!C:C,"ยานพาหนะและขนส่ง",'ครุภัณฑ์ 69'!E:E,B109)</f>
        <v>0</v>
      </c>
      <c r="J109" s="68">
        <f>SUMIFS('ครุภัณฑ์ 69'!F:F,'ครุภัณฑ์ 69'!C:C,"ยานพาหนะและขนส่ง",'ครุภัณฑ์ 69'!E:E,B109)</f>
        <v>0</v>
      </c>
      <c r="K109" s="68">
        <f t="shared" si="17"/>
        <v>0</v>
      </c>
      <c r="L109" s="69">
        <f>SUMIFS('รวมครุภัณฑ์ 70'!L:L,'รวมครุภัณฑ์ 70'!C:C,"ครุภัณฑ์ยานพาหนะและขนส่ง",'รวมครุภัณฑ์ 70'!H:H,B109)</f>
        <v>0</v>
      </c>
      <c r="M109" s="69">
        <f>SUMIFS('รวมครุภัณฑ์ 70'!Q:Q,'รวมครุภัณฑ์ 70'!C:C,"ครุภัณฑ์ยานพาหนะและขนส่ง",'รวมครุภัณฑ์ 70'!H:H,B109)</f>
        <v>0</v>
      </c>
      <c r="N109" s="69">
        <f>SUMIFS('รวมครุภัณฑ์ 70'!R:R,'รวมครุภัณฑ์ 70'!C:C,"ครุภัณฑ์ยานพาหนะและขนส่ง",'รวมครุภัณฑ์ 70'!H:H,B109)</f>
        <v>0</v>
      </c>
      <c r="O109" s="69">
        <f t="shared" si="18"/>
        <v>0</v>
      </c>
      <c r="P109" s="69">
        <f t="shared" si="19"/>
        <v>0</v>
      </c>
      <c r="Q109" s="70"/>
    </row>
    <row r="110" spans="1:17" ht="21">
      <c r="A110" s="71" t="s">
        <v>166</v>
      </c>
      <c r="B110" s="67" t="s">
        <v>408</v>
      </c>
      <c r="C110" s="22">
        <f>SUMIFS('ครุภัณฑ์ 67'!G:G,'ครุภัณฑ์ 67'!C:C,"ยานพาหนะและขนส่ง",'ครุภัณฑ์ 67'!E:E,B110)</f>
        <v>0</v>
      </c>
      <c r="D110" s="75">
        <f>SUMIFS('ครุภัณฑ์ 67'!F:F,'ครุภัณฑ์ 67'!C:C,"ยานพาหนะและขนส่ง",'ครุภัณฑ์ 67'!E:E,B110)</f>
        <v>0</v>
      </c>
      <c r="E110" s="22">
        <f t="shared" si="15"/>
        <v>0</v>
      </c>
      <c r="F110" s="13">
        <f>SUMIFS('ครุภัณฑ์ 68'!G:G,'ครุภัณฑ์ 68'!C:C,"ยานพาหนะและขนส่ง",'ครุภัณฑ์ 68'!E:E,B110)</f>
        <v>0</v>
      </c>
      <c r="G110" s="13">
        <f>SUMIFS('ครุภัณฑ์ 68'!F:F,'ครุภัณฑ์ 68'!C:C,"ยานพาหนะและขนส่ง",'ครุภัณฑ์ 68'!E:E,B110)</f>
        <v>0</v>
      </c>
      <c r="H110" s="13">
        <f t="shared" si="16"/>
        <v>0</v>
      </c>
      <c r="I110" s="68">
        <f>SUMIFS('ครุภัณฑ์ 69'!G:G,'ครุภัณฑ์ 69'!C:C,"ยานพาหนะและขนส่ง",'ครุภัณฑ์ 69'!E:E,B110)</f>
        <v>0</v>
      </c>
      <c r="J110" s="68">
        <f>SUMIFS('ครุภัณฑ์ 69'!F:F,'ครุภัณฑ์ 69'!C:C,"ยานพาหนะและขนส่ง",'ครุภัณฑ์ 69'!E:E,B110)</f>
        <v>0</v>
      </c>
      <c r="K110" s="68">
        <f t="shared" si="17"/>
        <v>0</v>
      </c>
      <c r="L110" s="69">
        <f>SUMIFS('รวมครุภัณฑ์ 70'!L:L,'รวมครุภัณฑ์ 70'!C:C,"ครุภัณฑ์ยานพาหนะและขนส่ง",'รวมครุภัณฑ์ 70'!H:H,B110)</f>
        <v>1172000</v>
      </c>
      <c r="M110" s="69">
        <f>SUMIFS('รวมครุภัณฑ์ 70'!Q:Q,'รวมครุภัณฑ์ 70'!C:C,"ครุภัณฑ์ยานพาหนะและขนส่ง",'รวมครุภัณฑ์ 70'!H:H,B110)</f>
        <v>1</v>
      </c>
      <c r="N110" s="69">
        <f>SUMIFS('รวมครุภัณฑ์ 70'!R:R,'รวมครุภัณฑ์ 70'!C:C,"ครุภัณฑ์ยานพาหนะและขนส่ง",'รวมครุภัณฑ์ 70'!H:H,B110)</f>
        <v>0</v>
      </c>
      <c r="O110" s="69">
        <f t="shared" si="18"/>
        <v>1</v>
      </c>
      <c r="P110" s="69">
        <f t="shared" si="19"/>
        <v>1172000</v>
      </c>
      <c r="Q110" s="70"/>
    </row>
    <row r="111" spans="1:17" ht="21">
      <c r="A111" s="71" t="s">
        <v>166</v>
      </c>
      <c r="B111" s="67" t="s">
        <v>466</v>
      </c>
      <c r="C111" s="22">
        <f>SUMIFS('ครุภัณฑ์ 67'!G:G,'ครุภัณฑ์ 67'!C:C,"ยานพาหนะและขนส่ง",'ครุภัณฑ์ 67'!E:E,B111)</f>
        <v>0</v>
      </c>
      <c r="D111" s="75">
        <f>SUMIFS('ครุภัณฑ์ 67'!F:F,'ครุภัณฑ์ 67'!C:C,"ยานพาหนะและขนส่ง",'ครุภัณฑ์ 67'!E:E,B111)</f>
        <v>0</v>
      </c>
      <c r="E111" s="22">
        <f t="shared" si="15"/>
        <v>0</v>
      </c>
      <c r="F111" s="13">
        <f>SUMIFS('ครุภัณฑ์ 68'!G:G,'ครุภัณฑ์ 68'!C:C,"ยานพาหนะและขนส่ง",'ครุภัณฑ์ 68'!E:E,B111)</f>
        <v>0</v>
      </c>
      <c r="G111" s="13">
        <f>SUMIFS('ครุภัณฑ์ 68'!F:F,'ครุภัณฑ์ 68'!C:C,"ยานพาหนะและขนส่ง",'ครุภัณฑ์ 68'!E:E,B111)</f>
        <v>0</v>
      </c>
      <c r="H111" s="13">
        <f t="shared" si="16"/>
        <v>0</v>
      </c>
      <c r="I111" s="68">
        <f>SUMIFS('ครุภัณฑ์ 69'!G:G,'ครุภัณฑ์ 69'!C:C,"ยานพาหนะและขนส่ง",'ครุภัณฑ์ 69'!E:E,B111)</f>
        <v>0</v>
      </c>
      <c r="J111" s="68">
        <f>SUMIFS('ครุภัณฑ์ 69'!F:F,'ครุภัณฑ์ 69'!C:C,"ยานพาหนะและขนส่ง",'ครุภัณฑ์ 69'!E:E,B111)</f>
        <v>0</v>
      </c>
      <c r="K111" s="68">
        <f t="shared" si="17"/>
        <v>0</v>
      </c>
      <c r="L111" s="69">
        <f>SUMIFS('รวมครุภัณฑ์ 70'!L:L,'รวมครุภัณฑ์ 70'!C:C,"ครุภัณฑ์ยานพาหนะและขนส่ง",'รวมครุภัณฑ์ 70'!H:H,B111)</f>
        <v>1498000</v>
      </c>
      <c r="M111" s="69">
        <f>SUMIFS('รวมครุภัณฑ์ 70'!Q:Q,'รวมครุภัณฑ์ 70'!C:C,"ครุภัณฑ์ยานพาหนะและขนส่ง",'รวมครุภัณฑ์ 70'!H:H,B111)</f>
        <v>1</v>
      </c>
      <c r="N111" s="69">
        <f>SUMIFS('รวมครุภัณฑ์ 70'!R:R,'รวมครุภัณฑ์ 70'!C:C,"ครุภัณฑ์ยานพาหนะและขนส่ง",'รวมครุภัณฑ์ 70'!H:H,B111)</f>
        <v>0</v>
      </c>
      <c r="O111" s="69">
        <f t="shared" si="18"/>
        <v>1</v>
      </c>
      <c r="P111" s="69">
        <f t="shared" si="19"/>
        <v>1498000</v>
      </c>
      <c r="Q111" s="70"/>
    </row>
    <row r="112" spans="1:17" ht="21">
      <c r="A112" s="71" t="s">
        <v>169</v>
      </c>
      <c r="B112" s="67" t="s">
        <v>171</v>
      </c>
      <c r="C112" s="22">
        <f>SUMIFS('ครุภัณฑ์ 67'!G:G,'ครุภัณฑ์ 67'!C:C,"ยานพาหนะและขนส่ง",'ครุภัณฑ์ 67'!E:E,B112)</f>
        <v>0</v>
      </c>
      <c r="D112" s="75">
        <f>SUMIFS('ครุภัณฑ์ 67'!F:F,'ครุภัณฑ์ 67'!C:C,"ยานพาหนะและขนส่ง",'ครุภัณฑ์ 67'!E:E,B112)</f>
        <v>0</v>
      </c>
      <c r="E112" s="22">
        <f t="shared" si="15"/>
        <v>0</v>
      </c>
      <c r="F112" s="13">
        <f>SUMIFS('ครุภัณฑ์ 68'!G:G,'ครุภัณฑ์ 68'!C:C,"ยานพาหนะและขนส่ง",'ครุภัณฑ์ 68'!E:E,B112)</f>
        <v>1055000</v>
      </c>
      <c r="G112" s="13">
        <f>SUMIFS('ครุภัณฑ์ 68'!F:F,'ครุภัณฑ์ 68'!C:C,"ยานพาหนะและขนส่ง",'ครุภัณฑ์ 68'!E:E,B112)</f>
        <v>1</v>
      </c>
      <c r="H112" s="13">
        <f t="shared" si="16"/>
        <v>1055000</v>
      </c>
      <c r="I112" s="68">
        <f>SUMIFS('ครุภัณฑ์ 69'!G:G,'ครุภัณฑ์ 69'!C:C,"ยานพาหนะและขนส่ง",'ครุภัณฑ์ 69'!E:E,B112)</f>
        <v>1369000</v>
      </c>
      <c r="J112" s="68">
        <f>SUMIFS('ครุภัณฑ์ 69'!F:F,'ครุภัณฑ์ 69'!C:C,"ยานพาหนะและขนส่ง",'ครุภัณฑ์ 69'!E:E,B112)</f>
        <v>1</v>
      </c>
      <c r="K112" s="68">
        <f t="shared" si="17"/>
        <v>1369000</v>
      </c>
      <c r="L112" s="69">
        <f>SUMIFS('รวมครุภัณฑ์ 70'!L:L,'รวมครุภัณฑ์ 70'!C:C,"ครุภัณฑ์ยานพาหนะและขนส่ง",'รวมครุภัณฑ์ 70'!H:H,B112)</f>
        <v>7270300</v>
      </c>
      <c r="M112" s="69">
        <f>SUMIFS('รวมครุภัณฑ์ 70'!Q:Q,'รวมครุภัณฑ์ 70'!C:C,"ครุภัณฑ์ยานพาหนะและขนส่ง",'รวมครุภัณฑ์ 70'!H:H,B112)</f>
        <v>7</v>
      </c>
      <c r="N112" s="69">
        <f>SUMIFS('รวมครุภัณฑ์ 70'!R:R,'รวมครุภัณฑ์ 70'!C:C,"ครุภัณฑ์ยานพาหนะและขนส่ง",'รวมครุภัณฑ์ 70'!H:H,B112)</f>
        <v>0</v>
      </c>
      <c r="O112" s="69">
        <f t="shared" si="18"/>
        <v>7</v>
      </c>
      <c r="P112" s="69">
        <f t="shared" si="19"/>
        <v>7270300</v>
      </c>
      <c r="Q112" s="70"/>
    </row>
    <row r="113" spans="1:17" ht="21">
      <c r="A113" s="71" t="s">
        <v>172</v>
      </c>
      <c r="B113" s="67" t="s">
        <v>270</v>
      </c>
      <c r="C113" s="22">
        <f>SUMIFS('ครุภัณฑ์ 67'!G:G,'ครุภัณฑ์ 67'!C:C,"ยานพาหนะและขนส่ง",'ครุภัณฑ์ 67'!E:E,B113)</f>
        <v>0</v>
      </c>
      <c r="D113" s="75">
        <f>SUMIFS('ครุภัณฑ์ 67'!F:F,'ครุภัณฑ์ 67'!C:C,"ยานพาหนะและขนส่ง",'ครุภัณฑ์ 67'!E:E,B113)</f>
        <v>0</v>
      </c>
      <c r="E113" s="22">
        <f t="shared" si="15"/>
        <v>0</v>
      </c>
      <c r="F113" s="13">
        <f>SUMIFS('ครุภัณฑ์ 68'!G:G,'ครุภัณฑ์ 68'!C:C,"ยานพาหนะและขนส่ง",'ครุภัณฑ์ 68'!E:E,B113)</f>
        <v>0</v>
      </c>
      <c r="G113" s="13">
        <f>SUMIFS('ครุภัณฑ์ 68'!F:F,'ครุภัณฑ์ 68'!C:C,"ยานพาหนะและขนส่ง",'ครุภัณฑ์ 68'!E:E,B113)</f>
        <v>0</v>
      </c>
      <c r="H113" s="13">
        <f t="shared" si="16"/>
        <v>0</v>
      </c>
      <c r="I113" s="68">
        <f>SUMIFS('ครุภัณฑ์ 69'!G:G,'ครุภัณฑ์ 69'!C:C,"ยานพาหนะและขนส่ง",'ครุภัณฑ์ 69'!E:E,B113)</f>
        <v>0</v>
      </c>
      <c r="J113" s="68">
        <f>SUMIFS('ครุภัณฑ์ 69'!F:F,'ครุภัณฑ์ 69'!C:C,"ยานพาหนะและขนส่ง",'ครุภัณฑ์ 69'!E:E,B113)</f>
        <v>0</v>
      </c>
      <c r="K113" s="68">
        <f t="shared" si="17"/>
        <v>0</v>
      </c>
      <c r="L113" s="69">
        <f>SUMIFS('รวมครุภัณฑ์ 70'!L:L,'รวมครุภัณฑ์ 70'!C:C,"ครุภัณฑ์ยานพาหนะและขนส่ง",'รวมครุภัณฑ์ 70'!H:H,B113)</f>
        <v>0</v>
      </c>
      <c r="M113" s="69">
        <f>SUMIFS('รวมครุภัณฑ์ 70'!Q:Q,'รวมครุภัณฑ์ 70'!C:C,"ครุภัณฑ์ยานพาหนะและขนส่ง",'รวมครุภัณฑ์ 70'!H:H,B113)</f>
        <v>0</v>
      </c>
      <c r="N113" s="69">
        <f>SUMIFS('รวมครุภัณฑ์ 70'!R:R,'รวมครุภัณฑ์ 70'!C:C,"ครุภัณฑ์ยานพาหนะและขนส่ง",'รวมครุภัณฑ์ 70'!H:H,B113)</f>
        <v>0</v>
      </c>
      <c r="O113" s="69">
        <f t="shared" si="18"/>
        <v>0</v>
      </c>
      <c r="P113" s="69">
        <f t="shared" si="19"/>
        <v>0</v>
      </c>
      <c r="Q113" s="70"/>
    </row>
    <row r="114" spans="1:17" ht="21">
      <c r="A114" s="71" t="s">
        <v>172</v>
      </c>
      <c r="B114" s="67" t="s">
        <v>405</v>
      </c>
      <c r="C114" s="22">
        <f>SUMIFS('ครุภัณฑ์ 67'!G:G,'ครุภัณฑ์ 67'!C:C,"ยานพาหนะและขนส่ง",'ครุภัณฑ์ 67'!E:E,B114)</f>
        <v>0</v>
      </c>
      <c r="D114" s="75">
        <f>SUMIFS('ครุภัณฑ์ 67'!F:F,'ครุภัณฑ์ 67'!C:C,"ยานพาหนะและขนส่ง",'ครุภัณฑ์ 67'!E:E,B114)</f>
        <v>0</v>
      </c>
      <c r="E114" s="22">
        <f t="shared" si="15"/>
        <v>0</v>
      </c>
      <c r="F114" s="13">
        <f>SUMIFS('ครุภัณฑ์ 68'!G:G,'ครุภัณฑ์ 68'!C:C,"ยานพาหนะและขนส่ง",'ครุภัณฑ์ 68'!E:E,B114)</f>
        <v>0</v>
      </c>
      <c r="G114" s="13">
        <f>SUMIFS('ครุภัณฑ์ 68'!F:F,'ครุภัณฑ์ 68'!C:C,"ยานพาหนะและขนส่ง",'ครุภัณฑ์ 68'!E:E,B114)</f>
        <v>0</v>
      </c>
      <c r="H114" s="13">
        <f t="shared" si="16"/>
        <v>0</v>
      </c>
      <c r="I114" s="68">
        <f>SUMIFS('ครุภัณฑ์ 69'!G:G,'ครุภัณฑ์ 69'!C:C,"ยานพาหนะและขนส่ง",'ครุภัณฑ์ 69'!E:E,B114)</f>
        <v>0</v>
      </c>
      <c r="J114" s="68">
        <f>SUMIFS('ครุภัณฑ์ 69'!F:F,'ครุภัณฑ์ 69'!C:C,"ยานพาหนะและขนส่ง",'ครุภัณฑ์ 69'!E:E,B114)</f>
        <v>0</v>
      </c>
      <c r="K114" s="68">
        <f t="shared" si="17"/>
        <v>0</v>
      </c>
      <c r="L114" s="69">
        <f>SUMIFS('รวมครุภัณฑ์ 70'!L:L,'รวมครุภัณฑ์ 70'!C:C,"ครุภัณฑ์ยานพาหนะและขนส่ง",'รวมครุภัณฑ์ 70'!H:H,B114)</f>
        <v>0</v>
      </c>
      <c r="M114" s="69">
        <f>SUMIFS('รวมครุภัณฑ์ 70'!Q:Q,'รวมครุภัณฑ์ 70'!C:C,"ครุภัณฑ์ยานพาหนะและขนส่ง",'รวมครุภัณฑ์ 70'!H:H,B114)</f>
        <v>0</v>
      </c>
      <c r="N114" s="69">
        <f>SUMIFS('รวมครุภัณฑ์ 70'!R:R,'รวมครุภัณฑ์ 70'!C:C,"ครุภัณฑ์ยานพาหนะและขนส่ง",'รวมครุภัณฑ์ 70'!H:H,B114)</f>
        <v>0</v>
      </c>
      <c r="O114" s="69">
        <f t="shared" si="18"/>
        <v>0</v>
      </c>
      <c r="P114" s="69">
        <f t="shared" si="19"/>
        <v>0</v>
      </c>
      <c r="Q114" s="70"/>
    </row>
    <row r="115" spans="1:17" ht="21">
      <c r="A115" s="71" t="s">
        <v>172</v>
      </c>
      <c r="B115" s="67" t="s">
        <v>174</v>
      </c>
      <c r="C115" s="22">
        <f>SUMIFS('ครุภัณฑ์ 67'!G:G,'ครุภัณฑ์ 67'!C:C,"ยานพาหนะและขนส่ง",'ครุภัณฑ์ 67'!E:E,B115)</f>
        <v>1055000</v>
      </c>
      <c r="D115" s="75">
        <f>SUMIFS('ครุภัณฑ์ 67'!F:F,'ครุภัณฑ์ 67'!C:C,"ยานพาหนะและขนส่ง",'ครุภัณฑ์ 67'!E:E,B115)</f>
        <v>1</v>
      </c>
      <c r="E115" s="22">
        <f t="shared" si="15"/>
        <v>1055000</v>
      </c>
      <c r="F115" s="13">
        <f>SUMIFS('ครุภัณฑ์ 68'!G:G,'ครุภัณฑ์ 68'!C:C,"ยานพาหนะและขนส่ง",'ครุภัณฑ์ 68'!E:E,B115)</f>
        <v>0</v>
      </c>
      <c r="G115" s="13">
        <f>SUMIFS('ครุภัณฑ์ 68'!F:F,'ครุภัณฑ์ 68'!C:C,"ยานพาหนะและขนส่ง",'ครุภัณฑ์ 68'!E:E,B115)</f>
        <v>0</v>
      </c>
      <c r="H115" s="13">
        <f t="shared" si="16"/>
        <v>0</v>
      </c>
      <c r="I115" s="68">
        <f>SUMIFS('ครุภัณฑ์ 69'!G:G,'ครุภัณฑ์ 69'!C:C,"ยานพาหนะและขนส่ง",'ครุภัณฑ์ 69'!E:E,B115)</f>
        <v>0</v>
      </c>
      <c r="J115" s="68">
        <f>SUMIFS('ครุภัณฑ์ 69'!F:F,'ครุภัณฑ์ 69'!C:C,"ยานพาหนะและขนส่ง",'ครุภัณฑ์ 69'!E:E,B115)</f>
        <v>0</v>
      </c>
      <c r="K115" s="68">
        <f t="shared" si="17"/>
        <v>0</v>
      </c>
      <c r="L115" s="69">
        <f>SUMIFS('รวมครุภัณฑ์ 70'!L:L,'รวมครุภัณฑ์ 70'!C:C,"ครุภัณฑ์ยานพาหนะและขนส่ง",'รวมครุภัณฑ์ 70'!H:H,B115)</f>
        <v>970900</v>
      </c>
      <c r="M115" s="69">
        <f>SUMIFS('รวมครุภัณฑ์ 70'!Q:Q,'รวมครุภัณฑ์ 70'!C:C,"ครุภัณฑ์ยานพาหนะและขนส่ง",'รวมครุภัณฑ์ 70'!H:H,B115)</f>
        <v>1</v>
      </c>
      <c r="N115" s="69">
        <f>SUMIFS('รวมครุภัณฑ์ 70'!R:R,'รวมครุภัณฑ์ 70'!C:C,"ครุภัณฑ์ยานพาหนะและขนส่ง",'รวมครุภัณฑ์ 70'!H:H,B115)</f>
        <v>0</v>
      </c>
      <c r="O115" s="69">
        <f t="shared" si="18"/>
        <v>1</v>
      </c>
      <c r="P115" s="69">
        <f t="shared" si="19"/>
        <v>970900</v>
      </c>
      <c r="Q115" s="70"/>
    </row>
    <row r="116" spans="1:17" ht="21">
      <c r="A116" s="65"/>
      <c r="B116" s="65"/>
      <c r="C116" s="65"/>
      <c r="D116" s="3"/>
      <c r="E116" s="65"/>
      <c r="F116" s="65"/>
      <c r="G116" s="65"/>
      <c r="H116" s="65"/>
      <c r="I116" s="65"/>
      <c r="J116" s="65"/>
      <c r="K116" s="65"/>
    </row>
    <row r="117" spans="1:17" ht="21">
      <c r="A117" s="65"/>
      <c r="B117" s="65"/>
      <c r="C117" s="64"/>
      <c r="D117" s="64">
        <f>SUM(D6:D17)+SUM(D19:D42)+SUM(D44:D95)+SUM(D97:D115)</f>
        <v>56</v>
      </c>
      <c r="E117" s="64">
        <f t="shared" ref="E117:L117" si="20">SUM(E6:E17)+SUM(E19:E42)+SUM(E44:E95)+SUM(E97:E115)</f>
        <v>69869700</v>
      </c>
      <c r="F117" s="64"/>
      <c r="G117" s="64">
        <f>SUM(G6:G17)+SUM(G19:G42)+SUM(G44:G95)+SUM(G97:G115)</f>
        <v>28</v>
      </c>
      <c r="H117" s="64">
        <f>SUM(H6:H17)+SUM(H19:H42)+SUM(H44:H95)+SUM(H97:H115)</f>
        <v>35737900</v>
      </c>
      <c r="I117" s="64"/>
      <c r="J117" s="64">
        <f>SUM(J6:J17)+SUM(J19:J42)+SUM(J44:J95)+SUM(J97:J115)</f>
        <v>23</v>
      </c>
      <c r="K117" s="64">
        <f>SUM(K6:K17)+SUM(K19:K42)+SUM(K44:K95)+SUM(K97:K115)</f>
        <v>25309800</v>
      </c>
      <c r="L117" s="64">
        <f t="shared" si="20"/>
        <v>110295600</v>
      </c>
      <c r="M117" s="64">
        <f>SUM(M6:M17)+SUM(M19:M42)+SUM(M44:M95)+SUM(M97:M115)</f>
        <v>82</v>
      </c>
      <c r="N117" s="64">
        <f>SUM(N6:N17)+SUM(N19:N42)+SUM(N44:N95)+SUM(N97:N115)</f>
        <v>6</v>
      </c>
      <c r="O117" s="64">
        <f>SUM(O6:O17)+SUM(O19:O42)+SUM(O44:O95)+SUM(O97:O115)</f>
        <v>88</v>
      </c>
      <c r="P117" s="64">
        <f>SUM(P6:P17)+SUM(P19:P42)+SUM(P44:P95)+SUM(P97:P115)</f>
        <v>110295600</v>
      </c>
      <c r="Q117" s="62"/>
    </row>
    <row r="122" spans="1:17" ht="21">
      <c r="L122" s="64"/>
      <c r="M122" s="64"/>
      <c r="N122" s="64"/>
      <c r="O122" s="64"/>
      <c r="P122" s="64"/>
    </row>
  </sheetData>
  <autoFilter ref="A4:Q115" xr:uid="{46B535DB-BB32-480E-B831-30386BF6358F}"/>
  <mergeCells count="5">
    <mergeCell ref="A1:P1"/>
    <mergeCell ref="C3:E3"/>
    <mergeCell ref="F3:H3"/>
    <mergeCell ref="I3:K3"/>
    <mergeCell ref="L3:P3"/>
  </mergeCells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638F8-C7F3-40F7-A6D0-D9B9CE27BCF1}">
  <dimension ref="A1:L630"/>
  <sheetViews>
    <sheetView tabSelected="1" topLeftCell="B1" zoomScale="130" zoomScaleNormal="130" workbookViewId="0">
      <pane ySplit="1" topLeftCell="A2" activePane="bottomLeft" state="frozen"/>
      <selection pane="bottomLeft" activeCell="I1" sqref="I1"/>
    </sheetView>
  </sheetViews>
  <sheetFormatPr defaultRowHeight="15"/>
  <cols>
    <col min="1" max="1" width="9.140625" style="240"/>
    <col min="2" max="2" width="5" style="240" bestFit="1" customWidth="1"/>
    <col min="3" max="3" width="8.28515625" style="240" bestFit="1" customWidth="1"/>
    <col min="4" max="4" width="8.28515625" style="240" customWidth="1"/>
    <col min="5" max="5" width="12.28515625" style="240" customWidth="1"/>
    <col min="6" max="6" width="11.85546875" style="240" customWidth="1"/>
    <col min="7" max="7" width="14.7109375" style="240" customWidth="1"/>
    <col min="8" max="8" width="15.7109375" style="240" customWidth="1"/>
    <col min="9" max="9" width="11.140625" style="240" customWidth="1"/>
    <col min="10" max="10" width="15.7109375" style="240" customWidth="1"/>
    <col min="11" max="11" width="15.28515625" style="240" customWidth="1"/>
    <col min="12" max="12" width="22.7109375" style="240" bestFit="1" customWidth="1"/>
    <col min="13" max="16384" width="9.140625" style="240"/>
  </cols>
  <sheetData>
    <row r="1" spans="1:12">
      <c r="A1" s="249" t="s">
        <v>1304</v>
      </c>
      <c r="B1" s="250" t="s">
        <v>1305</v>
      </c>
      <c r="C1" s="250" t="s">
        <v>1306</v>
      </c>
      <c r="D1" s="250" t="s">
        <v>1276</v>
      </c>
      <c r="E1" s="250" t="s">
        <v>4</v>
      </c>
      <c r="F1" s="250" t="s">
        <v>1307</v>
      </c>
      <c r="G1" s="250" t="s">
        <v>2</v>
      </c>
      <c r="H1" s="250" t="s">
        <v>1945</v>
      </c>
      <c r="I1" s="250" t="s">
        <v>1944</v>
      </c>
      <c r="J1" s="250" t="s">
        <v>1943</v>
      </c>
      <c r="K1" s="250" t="s">
        <v>7</v>
      </c>
      <c r="L1" s="251" t="s">
        <v>1532</v>
      </c>
    </row>
    <row r="2" spans="1:12">
      <c r="A2" s="246" t="s">
        <v>1308</v>
      </c>
      <c r="B2" s="241">
        <v>2567</v>
      </c>
      <c r="C2" s="241" t="s">
        <v>447</v>
      </c>
      <c r="D2" s="241" t="s">
        <v>31</v>
      </c>
      <c r="E2" s="241" t="s">
        <v>412</v>
      </c>
      <c r="F2" s="241" t="s">
        <v>26</v>
      </c>
      <c r="G2" s="241" t="s">
        <v>22</v>
      </c>
      <c r="H2" s="241">
        <v>1</v>
      </c>
      <c r="I2" s="242">
        <v>0</v>
      </c>
      <c r="J2" s="242">
        <f>Table47[[#This Row],[ทดแทนจำนวน]]+Table47[[#This Row],[เพิ่มประสิทธิภาพจำนวน]]</f>
        <v>1</v>
      </c>
      <c r="K2" s="243">
        <v>1358000</v>
      </c>
      <c r="L2" s="247"/>
    </row>
    <row r="3" spans="1:12">
      <c r="A3" s="246" t="s">
        <v>1309</v>
      </c>
      <c r="B3" s="241">
        <v>2567</v>
      </c>
      <c r="C3" s="241" t="s">
        <v>447</v>
      </c>
      <c r="D3" s="241" t="s">
        <v>31</v>
      </c>
      <c r="E3" s="241" t="s">
        <v>413</v>
      </c>
      <c r="F3" s="241" t="s">
        <v>26</v>
      </c>
      <c r="G3" s="241" t="s">
        <v>22</v>
      </c>
      <c r="H3" s="241">
        <v>1</v>
      </c>
      <c r="I3" s="242">
        <v>0</v>
      </c>
      <c r="J3" s="242">
        <f>Table47[[#This Row],[ทดแทนจำนวน]]+Table47[[#This Row],[เพิ่มประสิทธิภาพจำนวน]]</f>
        <v>1</v>
      </c>
      <c r="K3" s="243">
        <v>1090900</v>
      </c>
      <c r="L3" s="247"/>
    </row>
    <row r="4" spans="1:12">
      <c r="A4" s="246" t="s">
        <v>1311</v>
      </c>
      <c r="B4" s="241">
        <v>2567</v>
      </c>
      <c r="C4" s="241" t="s">
        <v>447</v>
      </c>
      <c r="D4" s="241" t="s">
        <v>31</v>
      </c>
      <c r="E4" s="241" t="s">
        <v>312</v>
      </c>
      <c r="F4" s="241" t="s">
        <v>29</v>
      </c>
      <c r="G4" s="241" t="s">
        <v>27</v>
      </c>
      <c r="H4" s="241">
        <v>1</v>
      </c>
      <c r="I4" s="242">
        <v>0</v>
      </c>
      <c r="J4" s="242">
        <f>Table47[[#This Row],[ทดแทนจำนวน]]+Table47[[#This Row],[เพิ่มประสิทธิภาพจำนวน]]</f>
        <v>1</v>
      </c>
      <c r="K4" s="243">
        <v>1358000</v>
      </c>
      <c r="L4" s="247"/>
    </row>
    <row r="5" spans="1:12">
      <c r="A5" s="246" t="s">
        <v>1312</v>
      </c>
      <c r="B5" s="241">
        <v>2567</v>
      </c>
      <c r="C5" s="241" t="s">
        <v>447</v>
      </c>
      <c r="D5" s="241" t="s">
        <v>16</v>
      </c>
      <c r="E5" s="241" t="s">
        <v>313</v>
      </c>
      <c r="F5" s="241" t="s">
        <v>29</v>
      </c>
      <c r="G5" s="241" t="s">
        <v>27</v>
      </c>
      <c r="H5" s="241">
        <v>1</v>
      </c>
      <c r="I5" s="242">
        <v>0</v>
      </c>
      <c r="J5" s="242">
        <f>Table47[[#This Row],[ทดแทนจำนวน]]+Table47[[#This Row],[เพิ่มประสิทธิภาพจำนวน]]</f>
        <v>1</v>
      </c>
      <c r="K5" s="243">
        <v>180000</v>
      </c>
      <c r="L5" s="247"/>
    </row>
    <row r="6" spans="1:12">
      <c r="A6" s="246" t="s">
        <v>1313</v>
      </c>
      <c r="B6" s="241">
        <v>2567</v>
      </c>
      <c r="C6" s="241" t="s">
        <v>447</v>
      </c>
      <c r="D6" s="241" t="s">
        <v>16</v>
      </c>
      <c r="E6" s="241" t="s">
        <v>314</v>
      </c>
      <c r="F6" s="241" t="s">
        <v>179</v>
      </c>
      <c r="G6" s="241" t="s">
        <v>176</v>
      </c>
      <c r="H6" s="241">
        <v>1</v>
      </c>
      <c r="I6" s="242">
        <v>0</v>
      </c>
      <c r="J6" s="242">
        <f>Table47[[#This Row],[ทดแทนจำนวน]]+Table47[[#This Row],[เพิ่มประสิทธิภาพจำนวน]]</f>
        <v>1</v>
      </c>
      <c r="K6" s="243">
        <v>200000</v>
      </c>
      <c r="L6" s="247"/>
    </row>
    <row r="7" spans="1:12">
      <c r="A7" s="246" t="s">
        <v>1314</v>
      </c>
      <c r="B7" s="241">
        <v>2567</v>
      </c>
      <c r="C7" s="241" t="s">
        <v>447</v>
      </c>
      <c r="D7" s="241" t="s">
        <v>31</v>
      </c>
      <c r="E7" s="241" t="s">
        <v>409</v>
      </c>
      <c r="F7" s="241" t="s">
        <v>36</v>
      </c>
      <c r="G7" s="241" t="s">
        <v>233</v>
      </c>
      <c r="H7" s="241">
        <v>1</v>
      </c>
      <c r="I7" s="242">
        <v>0</v>
      </c>
      <c r="J7" s="242">
        <f>Table47[[#This Row],[ทดแทนจำนวน]]+Table47[[#This Row],[เพิ่มประสิทธิภาพจำนวน]]</f>
        <v>1</v>
      </c>
      <c r="K7" s="243">
        <v>885900</v>
      </c>
      <c r="L7" s="247"/>
    </row>
    <row r="8" spans="1:12">
      <c r="A8" s="246" t="s">
        <v>1315</v>
      </c>
      <c r="B8" s="241">
        <v>2567</v>
      </c>
      <c r="C8" s="241" t="s">
        <v>447</v>
      </c>
      <c r="D8" s="241" t="s">
        <v>31</v>
      </c>
      <c r="E8" s="241" t="s">
        <v>315</v>
      </c>
      <c r="F8" s="241" t="s">
        <v>45</v>
      </c>
      <c r="G8" s="241" t="s">
        <v>41</v>
      </c>
      <c r="H8" s="241">
        <v>1</v>
      </c>
      <c r="I8" s="242">
        <v>0</v>
      </c>
      <c r="J8" s="242">
        <f>Table47[[#This Row],[ทดแทนจำนวน]]+Table47[[#This Row],[เพิ่มประสิทธิภาพจำนวน]]</f>
        <v>1</v>
      </c>
      <c r="K8" s="243">
        <v>885900</v>
      </c>
      <c r="L8" s="247"/>
    </row>
    <row r="9" spans="1:12">
      <c r="A9" s="246" t="s">
        <v>1316</v>
      </c>
      <c r="B9" s="241">
        <v>2567</v>
      </c>
      <c r="C9" s="241" t="s">
        <v>447</v>
      </c>
      <c r="D9" s="241" t="s">
        <v>31</v>
      </c>
      <c r="E9" s="241" t="s">
        <v>316</v>
      </c>
      <c r="F9" s="241" t="s">
        <v>45</v>
      </c>
      <c r="G9" s="241" t="s">
        <v>41</v>
      </c>
      <c r="H9" s="241">
        <v>1</v>
      </c>
      <c r="I9" s="242">
        <v>0</v>
      </c>
      <c r="J9" s="242">
        <f>Table47[[#This Row],[ทดแทนจำนวน]]+Table47[[#This Row],[เพิ่มประสิทธิภาพจำนวน]]</f>
        <v>1</v>
      </c>
      <c r="K9" s="243">
        <v>1090900</v>
      </c>
      <c r="L9" s="247"/>
    </row>
    <row r="10" spans="1:12">
      <c r="A10" s="246" t="s">
        <v>1317</v>
      </c>
      <c r="B10" s="241">
        <v>2567</v>
      </c>
      <c r="C10" s="241" t="s">
        <v>447</v>
      </c>
      <c r="D10" s="241" t="s">
        <v>16</v>
      </c>
      <c r="E10" s="241" t="s">
        <v>318</v>
      </c>
      <c r="F10" s="241" t="s">
        <v>319</v>
      </c>
      <c r="G10" s="241" t="s">
        <v>317</v>
      </c>
      <c r="H10" s="241">
        <v>1</v>
      </c>
      <c r="I10" s="242">
        <v>0</v>
      </c>
      <c r="J10" s="242">
        <f>Table47[[#This Row],[ทดแทนจำนวน]]+Table47[[#This Row],[เพิ่มประสิทธิภาพจำนวน]]</f>
        <v>1</v>
      </c>
      <c r="K10" s="243">
        <v>200000</v>
      </c>
      <c r="L10" s="247"/>
    </row>
    <row r="11" spans="1:12">
      <c r="A11" s="246" t="s">
        <v>1318</v>
      </c>
      <c r="B11" s="241">
        <v>2567</v>
      </c>
      <c r="C11" s="241" t="s">
        <v>447</v>
      </c>
      <c r="D11" s="241" t="s">
        <v>31</v>
      </c>
      <c r="E11" s="241" t="s">
        <v>410</v>
      </c>
      <c r="F11" s="241" t="s">
        <v>411</v>
      </c>
      <c r="G11" s="241" t="s">
        <v>317</v>
      </c>
      <c r="H11" s="241">
        <v>1</v>
      </c>
      <c r="I11" s="242">
        <v>0</v>
      </c>
      <c r="J11" s="242">
        <f>Table47[[#This Row],[ทดแทนจำนวน]]+Table47[[#This Row],[เพิ่มประสิทธิภาพจำนวน]]</f>
        <v>1</v>
      </c>
      <c r="K11" s="243">
        <v>1358000</v>
      </c>
      <c r="L11" s="247"/>
    </row>
    <row r="12" spans="1:12">
      <c r="A12" s="246" t="s">
        <v>1319</v>
      </c>
      <c r="B12" s="241">
        <v>2567</v>
      </c>
      <c r="C12" s="241" t="s">
        <v>447</v>
      </c>
      <c r="D12" s="241" t="s">
        <v>31</v>
      </c>
      <c r="E12" s="241" t="s">
        <v>321</v>
      </c>
      <c r="F12" s="241" t="s">
        <v>322</v>
      </c>
      <c r="G12" s="241" t="s">
        <v>320</v>
      </c>
      <c r="H12" s="241">
        <v>1</v>
      </c>
      <c r="I12" s="242">
        <v>0</v>
      </c>
      <c r="J12" s="242">
        <f>Table47[[#This Row],[ทดแทนจำนวน]]+Table47[[#This Row],[เพิ่มประสิทธิภาพจำนวน]]</f>
        <v>1</v>
      </c>
      <c r="K12" s="243">
        <v>1090900</v>
      </c>
      <c r="L12" s="247"/>
    </row>
    <row r="13" spans="1:12">
      <c r="A13" s="246" t="s">
        <v>1320</v>
      </c>
      <c r="B13" s="241">
        <v>2567</v>
      </c>
      <c r="C13" s="241" t="s">
        <v>447</v>
      </c>
      <c r="D13" s="241" t="s">
        <v>31</v>
      </c>
      <c r="E13" s="241" t="s">
        <v>323</v>
      </c>
      <c r="F13" s="241" t="s">
        <v>185</v>
      </c>
      <c r="G13" s="241" t="s">
        <v>182</v>
      </c>
      <c r="H13" s="241">
        <v>1</v>
      </c>
      <c r="I13" s="242">
        <v>0</v>
      </c>
      <c r="J13" s="242">
        <f>Table47[[#This Row],[ทดแทนจำนวน]]+Table47[[#This Row],[เพิ่มประสิทธิภาพจำนวน]]</f>
        <v>1</v>
      </c>
      <c r="K13" s="243">
        <v>1358000</v>
      </c>
      <c r="L13" s="247"/>
    </row>
    <row r="14" spans="1:12">
      <c r="A14" s="246" t="s">
        <v>1321</v>
      </c>
      <c r="B14" s="241">
        <v>2567</v>
      </c>
      <c r="C14" s="241" t="s">
        <v>447</v>
      </c>
      <c r="D14" s="241" t="s">
        <v>31</v>
      </c>
      <c r="E14" s="241" t="s">
        <v>324</v>
      </c>
      <c r="F14" s="241" t="s">
        <v>50</v>
      </c>
      <c r="G14" s="241" t="s">
        <v>46</v>
      </c>
      <c r="H14" s="241">
        <v>1</v>
      </c>
      <c r="I14" s="242">
        <v>0</v>
      </c>
      <c r="J14" s="242">
        <f>Table47[[#This Row],[ทดแทนจำนวน]]+Table47[[#This Row],[เพิ่มประสิทธิภาพจำนวน]]</f>
        <v>1</v>
      </c>
      <c r="K14" s="243">
        <v>1090900</v>
      </c>
      <c r="L14" s="247"/>
    </row>
    <row r="15" spans="1:12">
      <c r="A15" s="246" t="s">
        <v>1322</v>
      </c>
      <c r="B15" s="241">
        <v>2567</v>
      </c>
      <c r="C15" s="241" t="s">
        <v>447</v>
      </c>
      <c r="D15" s="241" t="s">
        <v>19</v>
      </c>
      <c r="E15" s="241" t="s">
        <v>325</v>
      </c>
      <c r="F15" s="241" t="s">
        <v>50</v>
      </c>
      <c r="G15" s="241" t="s">
        <v>46</v>
      </c>
      <c r="H15" s="241">
        <v>1</v>
      </c>
      <c r="I15" s="242">
        <v>0</v>
      </c>
      <c r="J15" s="242">
        <f>Table47[[#This Row],[ทดแทนจำนวน]]+Table47[[#This Row],[เพิ่มประสิทธิภาพจำนวน]]</f>
        <v>1</v>
      </c>
      <c r="K15" s="243">
        <v>10600</v>
      </c>
      <c r="L15" s="247"/>
    </row>
    <row r="16" spans="1:12">
      <c r="A16" s="246" t="s">
        <v>1323</v>
      </c>
      <c r="B16" s="241">
        <v>2567</v>
      </c>
      <c r="C16" s="241" t="s">
        <v>447</v>
      </c>
      <c r="D16" s="241" t="s">
        <v>31</v>
      </c>
      <c r="E16" s="241" t="s">
        <v>327</v>
      </c>
      <c r="F16" s="241" t="s">
        <v>329</v>
      </c>
      <c r="G16" s="241" t="s">
        <v>326</v>
      </c>
      <c r="H16" s="241">
        <v>1</v>
      </c>
      <c r="I16" s="242">
        <v>0</v>
      </c>
      <c r="J16" s="242">
        <f>Table47[[#This Row],[ทดแทนจำนวน]]+Table47[[#This Row],[เพิ่มประสิทธิภาพจำนวน]]</f>
        <v>1</v>
      </c>
      <c r="K16" s="243">
        <v>1358000</v>
      </c>
      <c r="L16" s="247"/>
    </row>
    <row r="17" spans="1:12">
      <c r="A17" s="246" t="s">
        <v>1324</v>
      </c>
      <c r="B17" s="241">
        <v>2567</v>
      </c>
      <c r="C17" s="241" t="s">
        <v>447</v>
      </c>
      <c r="D17" s="241" t="s">
        <v>31</v>
      </c>
      <c r="E17" s="241" t="s">
        <v>328</v>
      </c>
      <c r="F17" s="241" t="s">
        <v>329</v>
      </c>
      <c r="G17" s="241" t="s">
        <v>326</v>
      </c>
      <c r="H17" s="241">
        <v>1</v>
      </c>
      <c r="I17" s="242">
        <v>0</v>
      </c>
      <c r="J17" s="242">
        <f>Table47[[#This Row],[ทดแทนจำนวน]]+Table47[[#This Row],[เพิ่มประสิทธิภาพจำนวน]]</f>
        <v>1</v>
      </c>
      <c r="K17" s="243">
        <v>1090900</v>
      </c>
      <c r="L17" s="247"/>
    </row>
    <row r="18" spans="1:12">
      <c r="A18" s="246" t="s">
        <v>1325</v>
      </c>
      <c r="B18" s="241">
        <v>2567</v>
      </c>
      <c r="C18" s="241" t="s">
        <v>447</v>
      </c>
      <c r="D18" s="241" t="s">
        <v>31</v>
      </c>
      <c r="E18" s="241" t="s">
        <v>328</v>
      </c>
      <c r="F18" s="241" t="s">
        <v>329</v>
      </c>
      <c r="G18" s="241" t="s">
        <v>326</v>
      </c>
      <c r="H18" s="241">
        <v>1</v>
      </c>
      <c r="I18" s="242">
        <v>0</v>
      </c>
      <c r="J18" s="242">
        <f>Table47[[#This Row],[ทดแทนจำนวน]]+Table47[[#This Row],[เพิ่มประสิทธิภาพจำนวน]]</f>
        <v>1</v>
      </c>
      <c r="K18" s="243">
        <v>1090900</v>
      </c>
      <c r="L18" s="247"/>
    </row>
    <row r="19" spans="1:12">
      <c r="A19" s="246" t="s">
        <v>1326</v>
      </c>
      <c r="B19" s="241">
        <v>2567</v>
      </c>
      <c r="C19" s="241" t="s">
        <v>447</v>
      </c>
      <c r="D19" s="241" t="s">
        <v>31</v>
      </c>
      <c r="E19" s="241" t="s">
        <v>330</v>
      </c>
      <c r="F19" s="241" t="s">
        <v>190</v>
      </c>
      <c r="G19" s="241" t="s">
        <v>188</v>
      </c>
      <c r="H19" s="241">
        <v>1</v>
      </c>
      <c r="I19" s="242">
        <v>0</v>
      </c>
      <c r="J19" s="242">
        <f>Table47[[#This Row],[ทดแทนจำนวน]]+Table47[[#This Row],[เพิ่มประสิทธิภาพจำนวน]]</f>
        <v>1</v>
      </c>
      <c r="K19" s="243">
        <v>1090900</v>
      </c>
      <c r="L19" s="247"/>
    </row>
    <row r="20" spans="1:12">
      <c r="A20" s="246" t="s">
        <v>1327</v>
      </c>
      <c r="B20" s="241">
        <v>2567</v>
      </c>
      <c r="C20" s="241" t="s">
        <v>447</v>
      </c>
      <c r="D20" s="241" t="s">
        <v>31</v>
      </c>
      <c r="E20" s="241" t="s">
        <v>331</v>
      </c>
      <c r="F20" s="241" t="s">
        <v>195</v>
      </c>
      <c r="G20" s="241" t="s">
        <v>193</v>
      </c>
      <c r="H20" s="241">
        <v>1</v>
      </c>
      <c r="I20" s="242">
        <v>0</v>
      </c>
      <c r="J20" s="242">
        <f>Table47[[#This Row],[ทดแทนจำนวน]]+Table47[[#This Row],[เพิ่มประสิทธิภาพจำนวน]]</f>
        <v>1</v>
      </c>
      <c r="K20" s="243">
        <v>1090900</v>
      </c>
      <c r="L20" s="247"/>
    </row>
    <row r="21" spans="1:12">
      <c r="A21" s="246" t="s">
        <v>1328</v>
      </c>
      <c r="B21" s="241">
        <v>2567</v>
      </c>
      <c r="C21" s="241" t="s">
        <v>447</v>
      </c>
      <c r="D21" s="241" t="s">
        <v>16</v>
      </c>
      <c r="E21" s="241" t="s">
        <v>332</v>
      </c>
      <c r="F21" s="241" t="s">
        <v>59</v>
      </c>
      <c r="G21" s="241" t="s">
        <v>57</v>
      </c>
      <c r="H21" s="241">
        <v>1</v>
      </c>
      <c r="I21" s="242">
        <v>0</v>
      </c>
      <c r="J21" s="242">
        <f>Table47[[#This Row],[ทดแทนจำนวน]]+Table47[[#This Row],[เพิ่มประสิทธิภาพจำนวน]]</f>
        <v>1</v>
      </c>
      <c r="K21" s="243">
        <v>180000</v>
      </c>
      <c r="L21" s="247"/>
    </row>
    <row r="22" spans="1:12">
      <c r="A22" s="246" t="s">
        <v>1329</v>
      </c>
      <c r="B22" s="241">
        <v>2567</v>
      </c>
      <c r="C22" s="241" t="s">
        <v>447</v>
      </c>
      <c r="D22" s="241" t="s">
        <v>31</v>
      </c>
      <c r="E22" s="241" t="s">
        <v>333</v>
      </c>
      <c r="F22" s="241" t="s">
        <v>66</v>
      </c>
      <c r="G22" s="241" t="s">
        <v>64</v>
      </c>
      <c r="H22" s="241">
        <v>1</v>
      </c>
      <c r="I22" s="242">
        <v>0</v>
      </c>
      <c r="J22" s="242">
        <f>Table47[[#This Row],[ทดแทนจำนวน]]+Table47[[#This Row],[เพิ่มประสิทธิภาพจำนวน]]</f>
        <v>1</v>
      </c>
      <c r="K22" s="243">
        <v>2749000</v>
      </c>
      <c r="L22" s="247"/>
    </row>
    <row r="23" spans="1:12">
      <c r="A23" s="246" t="s">
        <v>1330</v>
      </c>
      <c r="B23" s="241">
        <v>2567</v>
      </c>
      <c r="C23" s="241" t="s">
        <v>447</v>
      </c>
      <c r="D23" s="241" t="s">
        <v>31</v>
      </c>
      <c r="E23" s="241" t="s">
        <v>334</v>
      </c>
      <c r="F23" s="241" t="s">
        <v>448</v>
      </c>
      <c r="G23" s="241" t="s">
        <v>64</v>
      </c>
      <c r="H23" s="241">
        <v>1</v>
      </c>
      <c r="I23" s="242">
        <v>0</v>
      </c>
      <c r="J23" s="242">
        <f>Table47[[#This Row],[ทดแทนจำนวน]]+Table47[[#This Row],[เพิ่มประสิทธิภาพจำนวน]]</f>
        <v>1</v>
      </c>
      <c r="K23" s="243">
        <v>1358000</v>
      </c>
      <c r="L23" s="247"/>
    </row>
    <row r="24" spans="1:12">
      <c r="A24" s="246" t="s">
        <v>1331</v>
      </c>
      <c r="B24" s="241">
        <v>2567</v>
      </c>
      <c r="C24" s="241" t="s">
        <v>447</v>
      </c>
      <c r="D24" s="241" t="s">
        <v>31</v>
      </c>
      <c r="E24" s="241" t="s">
        <v>335</v>
      </c>
      <c r="F24" s="241" t="s">
        <v>250</v>
      </c>
      <c r="G24" s="241" t="s">
        <v>64</v>
      </c>
      <c r="H24" s="241">
        <v>1</v>
      </c>
      <c r="I24" s="242">
        <v>0</v>
      </c>
      <c r="J24" s="242">
        <f>Table47[[#This Row],[ทดแทนจำนวน]]+Table47[[#This Row],[เพิ่มประสิทธิภาพจำนวน]]</f>
        <v>1</v>
      </c>
      <c r="K24" s="243">
        <v>1090900</v>
      </c>
      <c r="L24" s="247"/>
    </row>
    <row r="25" spans="1:12">
      <c r="A25" s="246" t="s">
        <v>1332</v>
      </c>
      <c r="B25" s="241">
        <v>2567</v>
      </c>
      <c r="C25" s="241" t="s">
        <v>447</v>
      </c>
      <c r="D25" s="241" t="s">
        <v>31</v>
      </c>
      <c r="E25" s="241" t="s">
        <v>336</v>
      </c>
      <c r="F25" s="241" t="s">
        <v>448</v>
      </c>
      <c r="G25" s="241" t="s">
        <v>64</v>
      </c>
      <c r="H25" s="241">
        <v>12</v>
      </c>
      <c r="I25" s="242">
        <v>0</v>
      </c>
      <c r="J25" s="242">
        <f>Table47[[#This Row],[ทดแทนจำนวน]]+Table47[[#This Row],[เพิ่มประสิทธิภาพจำนวน]]</f>
        <v>12</v>
      </c>
      <c r="K25" s="243">
        <v>19968000</v>
      </c>
      <c r="L25" s="247"/>
    </row>
    <row r="26" spans="1:12">
      <c r="A26" s="246" t="s">
        <v>1333</v>
      </c>
      <c r="B26" s="241">
        <v>2567</v>
      </c>
      <c r="C26" s="241" t="s">
        <v>447</v>
      </c>
      <c r="D26" s="241" t="s">
        <v>75</v>
      </c>
      <c r="E26" s="241" t="s">
        <v>337</v>
      </c>
      <c r="F26" s="241" t="s">
        <v>70</v>
      </c>
      <c r="G26" s="241" t="s">
        <v>64</v>
      </c>
      <c r="H26" s="241">
        <v>1</v>
      </c>
      <c r="I26" s="242">
        <v>0</v>
      </c>
      <c r="J26" s="242">
        <f>Table47[[#This Row],[ทดแทนจำนวน]]+Table47[[#This Row],[เพิ่มประสิทธิภาพจำนวน]]</f>
        <v>1</v>
      </c>
      <c r="K26" s="243">
        <v>2531800</v>
      </c>
      <c r="L26" s="247"/>
    </row>
    <row r="27" spans="1:12">
      <c r="A27" s="246" t="s">
        <v>1334</v>
      </c>
      <c r="B27" s="241">
        <v>2567</v>
      </c>
      <c r="C27" s="241" t="s">
        <v>447</v>
      </c>
      <c r="D27" s="241" t="s">
        <v>75</v>
      </c>
      <c r="E27" s="241" t="s">
        <v>338</v>
      </c>
      <c r="F27" s="241" t="s">
        <v>77</v>
      </c>
      <c r="G27" s="241" t="s">
        <v>64</v>
      </c>
      <c r="H27" s="241">
        <v>1</v>
      </c>
      <c r="I27" s="242">
        <v>0</v>
      </c>
      <c r="J27" s="242">
        <f>Table47[[#This Row],[ทดแทนจำนวน]]+Table47[[#This Row],[เพิ่มประสิทธิภาพจำนวน]]</f>
        <v>1</v>
      </c>
      <c r="K27" s="243">
        <v>28309400</v>
      </c>
      <c r="L27" s="247"/>
    </row>
    <row r="28" spans="1:12">
      <c r="A28" s="246" t="s">
        <v>1335</v>
      </c>
      <c r="B28" s="241">
        <v>2567</v>
      </c>
      <c r="C28" s="241" t="s">
        <v>447</v>
      </c>
      <c r="D28" s="241" t="s">
        <v>75</v>
      </c>
      <c r="E28" s="241" t="s">
        <v>339</v>
      </c>
      <c r="F28" s="241" t="s">
        <v>77</v>
      </c>
      <c r="G28" s="241" t="s">
        <v>64</v>
      </c>
      <c r="H28" s="241">
        <v>1</v>
      </c>
      <c r="I28" s="242">
        <v>0</v>
      </c>
      <c r="J28" s="242">
        <f>Table47[[#This Row],[ทดแทนจำนวน]]+Table47[[#This Row],[เพิ่มประสิทธิภาพจำนวน]]</f>
        <v>1</v>
      </c>
      <c r="K28" s="243">
        <v>10724000</v>
      </c>
      <c r="L28" s="247"/>
    </row>
    <row r="29" spans="1:12">
      <c r="A29" s="246" t="s">
        <v>1336</v>
      </c>
      <c r="B29" s="241">
        <v>2567</v>
      </c>
      <c r="C29" s="241" t="s">
        <v>447</v>
      </c>
      <c r="D29" s="241" t="s">
        <v>31</v>
      </c>
      <c r="E29" s="241" t="s">
        <v>341</v>
      </c>
      <c r="F29" s="241" t="s">
        <v>343</v>
      </c>
      <c r="G29" s="241" t="s">
        <v>340</v>
      </c>
      <c r="H29" s="241">
        <v>1</v>
      </c>
      <c r="I29" s="242">
        <v>0</v>
      </c>
      <c r="J29" s="242">
        <f>Table47[[#This Row],[ทดแทนจำนวน]]+Table47[[#This Row],[เพิ่มประสิทธิภาพจำนวน]]</f>
        <v>1</v>
      </c>
      <c r="K29" s="243">
        <v>885900</v>
      </c>
      <c r="L29" s="247"/>
    </row>
    <row r="30" spans="1:12">
      <c r="A30" s="246" t="s">
        <v>1337</v>
      </c>
      <c r="B30" s="241">
        <v>2567</v>
      </c>
      <c r="C30" s="241" t="s">
        <v>447</v>
      </c>
      <c r="D30" s="241" t="s">
        <v>31</v>
      </c>
      <c r="E30" s="241" t="s">
        <v>342</v>
      </c>
      <c r="F30" s="241" t="s">
        <v>343</v>
      </c>
      <c r="G30" s="241" t="s">
        <v>340</v>
      </c>
      <c r="H30" s="241">
        <v>1</v>
      </c>
      <c r="I30" s="242">
        <v>0</v>
      </c>
      <c r="J30" s="242">
        <f>Table47[[#This Row],[ทดแทนจำนวน]]+Table47[[#This Row],[เพิ่มประสิทธิภาพจำนวน]]</f>
        <v>1</v>
      </c>
      <c r="K30" s="243">
        <v>1090900</v>
      </c>
      <c r="L30" s="247"/>
    </row>
    <row r="31" spans="1:12">
      <c r="A31" s="246" t="s">
        <v>1338</v>
      </c>
      <c r="B31" s="241">
        <v>2567</v>
      </c>
      <c r="C31" s="241" t="s">
        <v>447</v>
      </c>
      <c r="D31" s="241" t="s">
        <v>19</v>
      </c>
      <c r="E31" s="241" t="s">
        <v>345</v>
      </c>
      <c r="F31" s="241" t="s">
        <v>346</v>
      </c>
      <c r="G31" s="241" t="s">
        <v>344</v>
      </c>
      <c r="H31" s="241">
        <v>1</v>
      </c>
      <c r="I31" s="242">
        <v>0</v>
      </c>
      <c r="J31" s="242">
        <f>Table47[[#This Row],[ทดแทนจำนวน]]+Table47[[#This Row],[เพิ่มประสิทธิภาพจำนวน]]</f>
        <v>1</v>
      </c>
      <c r="K31" s="243">
        <v>10600</v>
      </c>
      <c r="L31" s="247"/>
    </row>
    <row r="32" spans="1:12">
      <c r="A32" s="246" t="s">
        <v>1339</v>
      </c>
      <c r="B32" s="241">
        <v>2567</v>
      </c>
      <c r="C32" s="241" t="s">
        <v>447</v>
      </c>
      <c r="D32" s="241" t="s">
        <v>16</v>
      </c>
      <c r="E32" s="241" t="s">
        <v>347</v>
      </c>
      <c r="F32" s="241" t="s">
        <v>201</v>
      </c>
      <c r="G32" s="241" t="s">
        <v>199</v>
      </c>
      <c r="H32" s="241">
        <v>1</v>
      </c>
      <c r="I32" s="242">
        <v>0</v>
      </c>
      <c r="J32" s="242">
        <f>Table47[[#This Row],[ทดแทนจำนวน]]+Table47[[#This Row],[เพิ่มประสิทธิภาพจำนวน]]</f>
        <v>1</v>
      </c>
      <c r="K32" s="243">
        <v>180000</v>
      </c>
      <c r="L32" s="247"/>
    </row>
    <row r="33" spans="1:12">
      <c r="A33" s="246" t="s">
        <v>1340</v>
      </c>
      <c r="B33" s="241">
        <v>2567</v>
      </c>
      <c r="C33" s="241" t="s">
        <v>447</v>
      </c>
      <c r="D33" s="241" t="s">
        <v>31</v>
      </c>
      <c r="E33" s="241" t="s">
        <v>348</v>
      </c>
      <c r="F33" s="241" t="s">
        <v>287</v>
      </c>
      <c r="G33" s="241" t="s">
        <v>285</v>
      </c>
      <c r="H33" s="241">
        <v>1</v>
      </c>
      <c r="I33" s="242">
        <v>0</v>
      </c>
      <c r="J33" s="242">
        <f>Table47[[#This Row],[ทดแทนจำนวน]]+Table47[[#This Row],[เพิ่มประสิทธิภาพจำนวน]]</f>
        <v>1</v>
      </c>
      <c r="K33" s="243">
        <v>885900</v>
      </c>
      <c r="L33" s="247"/>
    </row>
    <row r="34" spans="1:12">
      <c r="A34" s="246" t="s">
        <v>1341</v>
      </c>
      <c r="B34" s="241">
        <v>2567</v>
      </c>
      <c r="C34" s="241" t="s">
        <v>447</v>
      </c>
      <c r="D34" s="241" t="s">
        <v>31</v>
      </c>
      <c r="E34" s="241" t="s">
        <v>349</v>
      </c>
      <c r="F34" s="241" t="s">
        <v>350</v>
      </c>
      <c r="G34" s="241" t="s">
        <v>103</v>
      </c>
      <c r="H34" s="241">
        <v>1</v>
      </c>
      <c r="I34" s="242">
        <v>0</v>
      </c>
      <c r="J34" s="242">
        <f>Table47[[#This Row],[ทดแทนจำนวน]]+Table47[[#This Row],[เพิ่มประสิทธิภาพจำนวน]]</f>
        <v>1</v>
      </c>
      <c r="K34" s="243">
        <v>10600</v>
      </c>
      <c r="L34" s="247"/>
    </row>
    <row r="35" spans="1:12">
      <c r="A35" s="246" t="s">
        <v>1342</v>
      </c>
      <c r="B35" s="241">
        <v>2567</v>
      </c>
      <c r="C35" s="241" t="s">
        <v>447</v>
      </c>
      <c r="D35" s="241" t="s">
        <v>19</v>
      </c>
      <c r="E35" s="241" t="s">
        <v>351</v>
      </c>
      <c r="F35" s="241" t="s">
        <v>350</v>
      </c>
      <c r="G35" s="241" t="s">
        <v>103</v>
      </c>
      <c r="H35" s="241">
        <v>1</v>
      </c>
      <c r="I35" s="242">
        <v>0</v>
      </c>
      <c r="J35" s="242">
        <f>Table47[[#This Row],[ทดแทนจำนวน]]+Table47[[#This Row],[เพิ่มประสิทธิภาพจำนวน]]</f>
        <v>1</v>
      </c>
      <c r="K35" s="243">
        <v>885900</v>
      </c>
      <c r="L35" s="247"/>
    </row>
    <row r="36" spans="1:12">
      <c r="A36" s="246" t="s">
        <v>1343</v>
      </c>
      <c r="B36" s="241">
        <v>2567</v>
      </c>
      <c r="C36" s="241" t="s">
        <v>447</v>
      </c>
      <c r="D36" s="241" t="s">
        <v>31</v>
      </c>
      <c r="E36" s="241" t="s">
        <v>353</v>
      </c>
      <c r="F36" s="241" t="s">
        <v>354</v>
      </c>
      <c r="G36" s="241" t="s">
        <v>352</v>
      </c>
      <c r="H36" s="241">
        <v>1</v>
      </c>
      <c r="I36" s="242">
        <v>0</v>
      </c>
      <c r="J36" s="242">
        <f>Table47[[#This Row],[ทดแทนจำนวน]]+Table47[[#This Row],[เพิ่มประสิทธิภาพจำนวน]]</f>
        <v>1</v>
      </c>
      <c r="K36" s="243">
        <v>885900</v>
      </c>
      <c r="L36" s="247"/>
    </row>
    <row r="37" spans="1:12">
      <c r="A37" s="246" t="s">
        <v>1344</v>
      </c>
      <c r="B37" s="241">
        <v>2567</v>
      </c>
      <c r="C37" s="241" t="s">
        <v>447</v>
      </c>
      <c r="D37" s="241" t="s">
        <v>19</v>
      </c>
      <c r="E37" s="241" t="s">
        <v>355</v>
      </c>
      <c r="F37" s="241" t="s">
        <v>356</v>
      </c>
      <c r="G37" s="241" t="s">
        <v>357</v>
      </c>
      <c r="H37" s="241">
        <v>1</v>
      </c>
      <c r="I37" s="242">
        <v>0</v>
      </c>
      <c r="J37" s="242">
        <f>Table47[[#This Row],[ทดแทนจำนวน]]+Table47[[#This Row],[เพิ่มประสิทธิภาพจำนวน]]</f>
        <v>1</v>
      </c>
      <c r="K37" s="243">
        <v>10600</v>
      </c>
      <c r="L37" s="247"/>
    </row>
    <row r="38" spans="1:12">
      <c r="A38" s="246" t="s">
        <v>1345</v>
      </c>
      <c r="B38" s="241">
        <v>2567</v>
      </c>
      <c r="C38" s="241" t="s">
        <v>447</v>
      </c>
      <c r="D38" s="241" t="s">
        <v>31</v>
      </c>
      <c r="E38" s="241" t="s">
        <v>358</v>
      </c>
      <c r="F38" s="241" t="s">
        <v>109</v>
      </c>
      <c r="G38" s="241" t="s">
        <v>107</v>
      </c>
      <c r="H38" s="241">
        <v>1</v>
      </c>
      <c r="I38" s="242">
        <v>0</v>
      </c>
      <c r="J38" s="242">
        <f>Table47[[#This Row],[ทดแทนจำนวน]]+Table47[[#This Row],[เพิ่มประสิทธิภาพจำนวน]]</f>
        <v>1</v>
      </c>
      <c r="K38" s="243">
        <v>1090900</v>
      </c>
      <c r="L38" s="247"/>
    </row>
    <row r="39" spans="1:12">
      <c r="A39" s="246" t="s">
        <v>1346</v>
      </c>
      <c r="B39" s="241">
        <v>2567</v>
      </c>
      <c r="C39" s="241" t="s">
        <v>447</v>
      </c>
      <c r="D39" s="241" t="s">
        <v>31</v>
      </c>
      <c r="E39" s="241" t="s">
        <v>359</v>
      </c>
      <c r="F39" s="241" t="s">
        <v>204</v>
      </c>
      <c r="G39" s="241" t="s">
        <v>202</v>
      </c>
      <c r="H39" s="241">
        <v>1</v>
      </c>
      <c r="I39" s="242">
        <v>0</v>
      </c>
      <c r="J39" s="242">
        <f>Table47[[#This Row],[ทดแทนจำนวน]]+Table47[[#This Row],[เพิ่มประสิทธิภาพจำนวน]]</f>
        <v>1</v>
      </c>
      <c r="K39" s="243">
        <v>885900</v>
      </c>
      <c r="L39" s="247"/>
    </row>
    <row r="40" spans="1:12">
      <c r="A40" s="246" t="s">
        <v>1347</v>
      </c>
      <c r="B40" s="241">
        <v>2567</v>
      </c>
      <c r="C40" s="241" t="s">
        <v>447</v>
      </c>
      <c r="D40" s="241" t="s">
        <v>31</v>
      </c>
      <c r="E40" s="241" t="s">
        <v>360</v>
      </c>
      <c r="F40" s="241" t="s">
        <v>204</v>
      </c>
      <c r="G40" s="241" t="s">
        <v>202</v>
      </c>
      <c r="H40" s="241">
        <v>1</v>
      </c>
      <c r="I40" s="242">
        <v>0</v>
      </c>
      <c r="J40" s="242">
        <f>Table47[[#This Row],[ทดแทนจำนวน]]+Table47[[#This Row],[เพิ่มประสิทธิภาพจำนวน]]</f>
        <v>1</v>
      </c>
      <c r="K40" s="243">
        <v>1090900</v>
      </c>
      <c r="L40" s="247"/>
    </row>
    <row r="41" spans="1:12">
      <c r="A41" s="246" t="s">
        <v>1348</v>
      </c>
      <c r="B41" s="241">
        <v>2567</v>
      </c>
      <c r="C41" s="241" t="s">
        <v>447</v>
      </c>
      <c r="D41" s="241" t="s">
        <v>31</v>
      </c>
      <c r="E41" s="241" t="s">
        <v>362</v>
      </c>
      <c r="F41" s="241" t="s">
        <v>363</v>
      </c>
      <c r="G41" s="241" t="s">
        <v>205</v>
      </c>
      <c r="H41" s="241">
        <v>1</v>
      </c>
      <c r="I41" s="242">
        <v>0</v>
      </c>
      <c r="J41" s="242">
        <f>Table47[[#This Row],[ทดแทนจำนวน]]+Table47[[#This Row],[เพิ่มประสิทธิภาพจำนวน]]</f>
        <v>1</v>
      </c>
      <c r="K41" s="243">
        <v>1358000</v>
      </c>
      <c r="L41" s="247"/>
    </row>
    <row r="42" spans="1:12">
      <c r="A42" s="246" t="s">
        <v>1349</v>
      </c>
      <c r="B42" s="241">
        <v>2567</v>
      </c>
      <c r="C42" s="241" t="s">
        <v>447</v>
      </c>
      <c r="D42" s="241" t="s">
        <v>16</v>
      </c>
      <c r="E42" s="241" t="s">
        <v>361</v>
      </c>
      <c r="F42" s="241" t="s">
        <v>363</v>
      </c>
      <c r="G42" s="241" t="s">
        <v>205</v>
      </c>
      <c r="H42" s="241">
        <v>1</v>
      </c>
      <c r="I42" s="242">
        <v>0</v>
      </c>
      <c r="J42" s="242">
        <f>Table47[[#This Row],[ทดแทนจำนวน]]+Table47[[#This Row],[เพิ่มประสิทธิภาพจำนวน]]</f>
        <v>1</v>
      </c>
      <c r="K42" s="243">
        <v>180000</v>
      </c>
      <c r="L42" s="247"/>
    </row>
    <row r="43" spans="1:12">
      <c r="A43" s="246" t="s">
        <v>1350</v>
      </c>
      <c r="B43" s="241">
        <v>2567</v>
      </c>
      <c r="C43" s="241" t="s">
        <v>447</v>
      </c>
      <c r="D43" s="241" t="s">
        <v>31</v>
      </c>
      <c r="E43" s="241" t="s">
        <v>364</v>
      </c>
      <c r="F43" s="241" t="s">
        <v>365</v>
      </c>
      <c r="G43" s="241" t="s">
        <v>110</v>
      </c>
      <c r="H43" s="241">
        <v>1</v>
      </c>
      <c r="I43" s="242">
        <v>0</v>
      </c>
      <c r="J43" s="242">
        <f>Table47[[#This Row],[ทดแทนจำนวน]]+Table47[[#This Row],[เพิ่มประสิทธิภาพจำนวน]]</f>
        <v>1</v>
      </c>
      <c r="K43" s="243">
        <v>885900</v>
      </c>
      <c r="L43" s="247"/>
    </row>
    <row r="44" spans="1:12">
      <c r="A44" s="246" t="s">
        <v>1351</v>
      </c>
      <c r="B44" s="241">
        <v>2567</v>
      </c>
      <c r="C44" s="241" t="s">
        <v>447</v>
      </c>
      <c r="D44" s="241" t="s">
        <v>16</v>
      </c>
      <c r="E44" s="241" t="s">
        <v>366</v>
      </c>
      <c r="F44" s="241" t="s">
        <v>365</v>
      </c>
      <c r="G44" s="241" t="s">
        <v>110</v>
      </c>
      <c r="H44" s="241">
        <v>1</v>
      </c>
      <c r="I44" s="242">
        <v>0</v>
      </c>
      <c r="J44" s="242">
        <f>Table47[[#This Row],[ทดแทนจำนวน]]+Table47[[#This Row],[เพิ่มประสิทธิภาพจำนวน]]</f>
        <v>1</v>
      </c>
      <c r="K44" s="243">
        <v>200000</v>
      </c>
      <c r="L44" s="247"/>
    </row>
    <row r="45" spans="1:12">
      <c r="A45" s="246" t="s">
        <v>1352</v>
      </c>
      <c r="B45" s="241">
        <v>2567</v>
      </c>
      <c r="C45" s="241" t="s">
        <v>447</v>
      </c>
      <c r="D45" s="241" t="s">
        <v>19</v>
      </c>
      <c r="E45" s="241" t="s">
        <v>367</v>
      </c>
      <c r="F45" s="241" t="s">
        <v>114</v>
      </c>
      <c r="G45" s="241" t="s">
        <v>110</v>
      </c>
      <c r="H45" s="241">
        <v>1</v>
      </c>
      <c r="I45" s="242">
        <v>0</v>
      </c>
      <c r="J45" s="242">
        <f>Table47[[#This Row],[ทดแทนจำนวน]]+Table47[[#This Row],[เพิ่มประสิทธิภาพจำนวน]]</f>
        <v>1</v>
      </c>
      <c r="K45" s="243">
        <v>9500</v>
      </c>
      <c r="L45" s="247"/>
    </row>
    <row r="46" spans="1:12">
      <c r="A46" s="246" t="s">
        <v>1353</v>
      </c>
      <c r="B46" s="241">
        <v>2567</v>
      </c>
      <c r="C46" s="241" t="s">
        <v>447</v>
      </c>
      <c r="D46" s="241" t="s">
        <v>19</v>
      </c>
      <c r="E46" s="241" t="s">
        <v>368</v>
      </c>
      <c r="F46" s="241" t="s">
        <v>114</v>
      </c>
      <c r="G46" s="241" t="s">
        <v>110</v>
      </c>
      <c r="H46" s="241">
        <v>1</v>
      </c>
      <c r="I46" s="242">
        <v>0</v>
      </c>
      <c r="J46" s="242">
        <f>Table47[[#This Row],[ทดแทนจำนวน]]+Table47[[#This Row],[เพิ่มประสิทธิภาพจำนวน]]</f>
        <v>1</v>
      </c>
      <c r="K46" s="243">
        <v>13800</v>
      </c>
      <c r="L46" s="247"/>
    </row>
    <row r="47" spans="1:12">
      <c r="A47" s="246" t="s">
        <v>1354</v>
      </c>
      <c r="B47" s="241">
        <v>2567</v>
      </c>
      <c r="C47" s="241" t="s">
        <v>447</v>
      </c>
      <c r="D47" s="241" t="s">
        <v>16</v>
      </c>
      <c r="E47" s="241" t="s">
        <v>369</v>
      </c>
      <c r="F47" s="241" t="s">
        <v>121</v>
      </c>
      <c r="G47" s="241" t="s">
        <v>119</v>
      </c>
      <c r="H47" s="241">
        <v>1</v>
      </c>
      <c r="I47" s="242">
        <v>0</v>
      </c>
      <c r="J47" s="242">
        <f>Table47[[#This Row],[ทดแทนจำนวน]]+Table47[[#This Row],[เพิ่มประสิทธิภาพจำนวน]]</f>
        <v>1</v>
      </c>
      <c r="K47" s="243">
        <v>200000</v>
      </c>
      <c r="L47" s="247"/>
    </row>
    <row r="48" spans="1:12">
      <c r="A48" s="246" t="s">
        <v>1355</v>
      </c>
      <c r="B48" s="241">
        <v>2567</v>
      </c>
      <c r="C48" s="241" t="s">
        <v>447</v>
      </c>
      <c r="D48" s="241" t="s">
        <v>19</v>
      </c>
      <c r="E48" s="241" t="s">
        <v>370</v>
      </c>
      <c r="F48" s="241" t="s">
        <v>121</v>
      </c>
      <c r="G48" s="241" t="s">
        <v>119</v>
      </c>
      <c r="H48" s="241">
        <v>1</v>
      </c>
      <c r="I48" s="242">
        <v>0</v>
      </c>
      <c r="J48" s="242">
        <f>Table47[[#This Row],[ทดแทนจำนวน]]+Table47[[#This Row],[เพิ่มประสิทธิภาพจำนวน]]</f>
        <v>1</v>
      </c>
      <c r="K48" s="243">
        <v>13800</v>
      </c>
      <c r="L48" s="247"/>
    </row>
    <row r="49" spans="1:12">
      <c r="A49" s="246" t="s">
        <v>1356</v>
      </c>
      <c r="B49" s="241">
        <v>2567</v>
      </c>
      <c r="C49" s="241" t="s">
        <v>447</v>
      </c>
      <c r="D49" s="241" t="s">
        <v>31</v>
      </c>
      <c r="E49" s="241" t="s">
        <v>371</v>
      </c>
      <c r="F49" s="241" t="s">
        <v>124</v>
      </c>
      <c r="G49" s="241" t="s">
        <v>122</v>
      </c>
      <c r="H49" s="241">
        <v>1</v>
      </c>
      <c r="I49" s="242">
        <v>0</v>
      </c>
      <c r="J49" s="242">
        <f>Table47[[#This Row],[ทดแทนจำนวน]]+Table47[[#This Row],[เพิ่มประสิทธิภาพจำนวน]]</f>
        <v>1</v>
      </c>
      <c r="K49" s="243">
        <v>885900</v>
      </c>
      <c r="L49" s="247"/>
    </row>
    <row r="50" spans="1:12">
      <c r="A50" s="246" t="s">
        <v>1357</v>
      </c>
      <c r="B50" s="241">
        <v>2567</v>
      </c>
      <c r="C50" s="241" t="s">
        <v>447</v>
      </c>
      <c r="D50" s="241" t="s">
        <v>31</v>
      </c>
      <c r="E50" s="241" t="s">
        <v>372</v>
      </c>
      <c r="F50" s="241" t="s">
        <v>128</v>
      </c>
      <c r="G50" s="241" t="s">
        <v>126</v>
      </c>
      <c r="H50" s="241">
        <v>1</v>
      </c>
      <c r="I50" s="242">
        <v>0</v>
      </c>
      <c r="J50" s="242">
        <f>Table47[[#This Row],[ทดแทนจำนวน]]+Table47[[#This Row],[เพิ่มประสิทธิภาพจำนวน]]</f>
        <v>1</v>
      </c>
      <c r="K50" s="243">
        <v>1358000</v>
      </c>
      <c r="L50" s="247"/>
    </row>
    <row r="51" spans="1:12">
      <c r="A51" s="246" t="s">
        <v>1358</v>
      </c>
      <c r="B51" s="241">
        <v>2567</v>
      </c>
      <c r="C51" s="241" t="s">
        <v>447</v>
      </c>
      <c r="D51" s="241" t="s">
        <v>31</v>
      </c>
      <c r="E51" s="241" t="s">
        <v>373</v>
      </c>
      <c r="F51" s="241" t="s">
        <v>132</v>
      </c>
      <c r="G51" s="241" t="s">
        <v>130</v>
      </c>
      <c r="H51" s="241">
        <v>1</v>
      </c>
      <c r="I51" s="242">
        <v>0</v>
      </c>
      <c r="J51" s="242">
        <f>Table47[[#This Row],[ทดแทนจำนวน]]+Table47[[#This Row],[เพิ่มประสิทธิภาพจำนวน]]</f>
        <v>1</v>
      </c>
      <c r="K51" s="243">
        <v>1090900</v>
      </c>
      <c r="L51" s="247"/>
    </row>
    <row r="52" spans="1:12">
      <c r="A52" s="246" t="s">
        <v>1359</v>
      </c>
      <c r="B52" s="241">
        <v>2567</v>
      </c>
      <c r="C52" s="241" t="s">
        <v>447</v>
      </c>
      <c r="D52" s="241" t="s">
        <v>31</v>
      </c>
      <c r="E52" s="241" t="s">
        <v>374</v>
      </c>
      <c r="F52" s="241" t="s">
        <v>132</v>
      </c>
      <c r="G52" s="241" t="s">
        <v>130</v>
      </c>
      <c r="H52" s="241">
        <v>1</v>
      </c>
      <c r="I52" s="242">
        <v>0</v>
      </c>
      <c r="J52" s="242">
        <f>Table47[[#This Row],[ทดแทนจำนวน]]+Table47[[#This Row],[เพิ่มประสิทธิภาพจำนวน]]</f>
        <v>1</v>
      </c>
      <c r="K52" s="243">
        <v>1358000</v>
      </c>
      <c r="L52" s="247"/>
    </row>
    <row r="53" spans="1:12">
      <c r="A53" s="246" t="s">
        <v>1360</v>
      </c>
      <c r="B53" s="241">
        <v>2567</v>
      </c>
      <c r="C53" s="241" t="s">
        <v>447</v>
      </c>
      <c r="D53" s="241" t="s">
        <v>19</v>
      </c>
      <c r="E53" s="241" t="s">
        <v>406</v>
      </c>
      <c r="F53" s="241" t="s">
        <v>213</v>
      </c>
      <c r="G53" s="241" t="s">
        <v>130</v>
      </c>
      <c r="H53" s="241">
        <v>2</v>
      </c>
      <c r="I53" s="242">
        <v>0</v>
      </c>
      <c r="J53" s="242">
        <f>Table47[[#This Row],[ทดแทนจำนวน]]+Table47[[#This Row],[เพิ่มประสิทธิภาพจำนวน]]</f>
        <v>2</v>
      </c>
      <c r="K53" s="243">
        <v>22000</v>
      </c>
      <c r="L53" s="247"/>
    </row>
    <row r="54" spans="1:12">
      <c r="A54" s="246" t="s">
        <v>1361</v>
      </c>
      <c r="B54" s="241">
        <v>2567</v>
      </c>
      <c r="C54" s="241" t="s">
        <v>447</v>
      </c>
      <c r="D54" s="241" t="s">
        <v>31</v>
      </c>
      <c r="E54" s="241" t="s">
        <v>376</v>
      </c>
      <c r="F54" s="241" t="s">
        <v>377</v>
      </c>
      <c r="G54" s="241" t="s">
        <v>375</v>
      </c>
      <c r="H54" s="241">
        <v>1</v>
      </c>
      <c r="I54" s="242">
        <v>0</v>
      </c>
      <c r="J54" s="242">
        <f>Table47[[#This Row],[ทดแทนจำนวน]]+Table47[[#This Row],[เพิ่มประสิทธิภาพจำนวน]]</f>
        <v>1</v>
      </c>
      <c r="K54" s="243">
        <v>1358000</v>
      </c>
      <c r="L54" s="247"/>
    </row>
    <row r="55" spans="1:12">
      <c r="A55" s="246" t="s">
        <v>1362</v>
      </c>
      <c r="B55" s="241">
        <v>2567</v>
      </c>
      <c r="C55" s="241" t="s">
        <v>447</v>
      </c>
      <c r="D55" s="241" t="s">
        <v>31</v>
      </c>
      <c r="E55" s="241" t="s">
        <v>378</v>
      </c>
      <c r="F55" s="241" t="s">
        <v>216</v>
      </c>
      <c r="G55" s="241" t="s">
        <v>214</v>
      </c>
      <c r="H55" s="241">
        <v>1</v>
      </c>
      <c r="I55" s="242">
        <v>0</v>
      </c>
      <c r="J55" s="242">
        <f>Table47[[#This Row],[ทดแทนจำนวน]]+Table47[[#This Row],[เพิ่มประสิทธิภาพจำนวน]]</f>
        <v>1</v>
      </c>
      <c r="K55" s="243">
        <v>885900</v>
      </c>
      <c r="L55" s="247"/>
    </row>
    <row r="56" spans="1:12">
      <c r="A56" s="246" t="s">
        <v>1363</v>
      </c>
      <c r="B56" s="241">
        <v>2567</v>
      </c>
      <c r="C56" s="241" t="s">
        <v>447</v>
      </c>
      <c r="D56" s="241" t="s">
        <v>31</v>
      </c>
      <c r="E56" s="241" t="s">
        <v>380</v>
      </c>
      <c r="F56" s="241" t="s">
        <v>381</v>
      </c>
      <c r="G56" s="241" t="s">
        <v>379</v>
      </c>
      <c r="H56" s="241">
        <v>1</v>
      </c>
      <c r="I56" s="242">
        <v>0</v>
      </c>
      <c r="J56" s="242">
        <f>Table47[[#This Row],[ทดแทนจำนวน]]+Table47[[#This Row],[เพิ่มประสิทธิภาพจำนวน]]</f>
        <v>1</v>
      </c>
      <c r="K56" s="243">
        <v>1090900</v>
      </c>
      <c r="L56" s="247"/>
    </row>
    <row r="57" spans="1:12">
      <c r="A57" s="246" t="s">
        <v>1364</v>
      </c>
      <c r="B57" s="241">
        <v>2567</v>
      </c>
      <c r="C57" s="241" t="s">
        <v>447</v>
      </c>
      <c r="D57" s="241" t="s">
        <v>31</v>
      </c>
      <c r="E57" s="241" t="s">
        <v>382</v>
      </c>
      <c r="F57" s="241" t="s">
        <v>223</v>
      </c>
      <c r="G57" s="241" t="s">
        <v>221</v>
      </c>
      <c r="H57" s="241">
        <v>1</v>
      </c>
      <c r="I57" s="242">
        <v>0</v>
      </c>
      <c r="J57" s="242">
        <f>Table47[[#This Row],[ทดแทนจำนวน]]+Table47[[#This Row],[เพิ่มประสิทธิภาพจำนวน]]</f>
        <v>1</v>
      </c>
      <c r="K57" s="243">
        <v>1090900</v>
      </c>
      <c r="L57" s="247"/>
    </row>
    <row r="58" spans="1:12">
      <c r="A58" s="246" t="s">
        <v>1365</v>
      </c>
      <c r="B58" s="241">
        <v>2567</v>
      </c>
      <c r="C58" s="241" t="s">
        <v>447</v>
      </c>
      <c r="D58" s="241" t="s">
        <v>31</v>
      </c>
      <c r="E58" s="241" t="s">
        <v>384</v>
      </c>
      <c r="F58" s="241" t="s">
        <v>385</v>
      </c>
      <c r="G58" s="241" t="s">
        <v>383</v>
      </c>
      <c r="H58" s="241">
        <v>1</v>
      </c>
      <c r="I58" s="242">
        <v>0</v>
      </c>
      <c r="J58" s="242">
        <f>Table47[[#This Row],[ทดแทนจำนวน]]+Table47[[#This Row],[เพิ่มประสิทธิภาพจำนวน]]</f>
        <v>1</v>
      </c>
      <c r="K58" s="243">
        <v>1090900</v>
      </c>
      <c r="L58" s="247"/>
    </row>
    <row r="59" spans="1:12">
      <c r="A59" s="246" t="s">
        <v>1366</v>
      </c>
      <c r="B59" s="241">
        <v>2567</v>
      </c>
      <c r="C59" s="241" t="s">
        <v>447</v>
      </c>
      <c r="D59" s="241" t="s">
        <v>16</v>
      </c>
      <c r="E59" s="241" t="s">
        <v>386</v>
      </c>
      <c r="F59" s="241" t="s">
        <v>385</v>
      </c>
      <c r="G59" s="241" t="s">
        <v>383</v>
      </c>
      <c r="H59" s="241">
        <v>1</v>
      </c>
      <c r="I59" s="242">
        <v>0</v>
      </c>
      <c r="J59" s="242">
        <f>Table47[[#This Row],[ทดแทนจำนวน]]+Table47[[#This Row],[เพิ่มประสิทธิภาพจำนวน]]</f>
        <v>1</v>
      </c>
      <c r="K59" s="243">
        <v>180000</v>
      </c>
      <c r="L59" s="247"/>
    </row>
    <row r="60" spans="1:12">
      <c r="A60" s="246" t="s">
        <v>1367</v>
      </c>
      <c r="B60" s="241">
        <v>2567</v>
      </c>
      <c r="C60" s="241" t="s">
        <v>447</v>
      </c>
      <c r="D60" s="241" t="s">
        <v>31</v>
      </c>
      <c r="E60" s="241" t="s">
        <v>388</v>
      </c>
      <c r="F60" s="241" t="s">
        <v>389</v>
      </c>
      <c r="G60" s="241" t="s">
        <v>387</v>
      </c>
      <c r="H60" s="241">
        <v>1</v>
      </c>
      <c r="I60" s="242">
        <v>0</v>
      </c>
      <c r="J60" s="242">
        <f>Table47[[#This Row],[ทดแทนจำนวน]]+Table47[[#This Row],[เพิ่มประสิทธิภาพจำนวน]]</f>
        <v>1</v>
      </c>
      <c r="K60" s="243">
        <v>1090900</v>
      </c>
      <c r="L60" s="247"/>
    </row>
    <row r="61" spans="1:12">
      <c r="A61" s="246" t="s">
        <v>1368</v>
      </c>
      <c r="B61" s="241">
        <v>2567</v>
      </c>
      <c r="C61" s="241" t="s">
        <v>447</v>
      </c>
      <c r="D61" s="241" t="s">
        <v>31</v>
      </c>
      <c r="E61" s="241" t="s">
        <v>391</v>
      </c>
      <c r="F61" s="241" t="s">
        <v>392</v>
      </c>
      <c r="G61" s="241" t="s">
        <v>390</v>
      </c>
      <c r="H61" s="241">
        <v>1</v>
      </c>
      <c r="I61" s="242">
        <v>0</v>
      </c>
      <c r="J61" s="242">
        <f>Table47[[#This Row],[ทดแทนจำนวน]]+Table47[[#This Row],[เพิ่มประสิทธิภาพจำนวน]]</f>
        <v>1</v>
      </c>
      <c r="K61" s="243">
        <v>1090900</v>
      </c>
      <c r="L61" s="247"/>
    </row>
    <row r="62" spans="1:12">
      <c r="A62" s="246" t="s">
        <v>1369</v>
      </c>
      <c r="B62" s="241">
        <v>2567</v>
      </c>
      <c r="C62" s="241" t="s">
        <v>447</v>
      </c>
      <c r="D62" s="241" t="s">
        <v>16</v>
      </c>
      <c r="E62" s="241" t="s">
        <v>393</v>
      </c>
      <c r="F62" s="241" t="s">
        <v>392</v>
      </c>
      <c r="G62" s="241" t="s">
        <v>390</v>
      </c>
      <c r="H62" s="241">
        <v>1</v>
      </c>
      <c r="I62" s="242">
        <v>0</v>
      </c>
      <c r="J62" s="242">
        <f>Table47[[#This Row],[ทดแทนจำนวน]]+Table47[[#This Row],[เพิ่มประสิทธิภาพจำนวน]]</f>
        <v>1</v>
      </c>
      <c r="K62" s="243">
        <v>200000</v>
      </c>
      <c r="L62" s="247"/>
    </row>
    <row r="63" spans="1:12">
      <c r="A63" s="246" t="s">
        <v>1370</v>
      </c>
      <c r="B63" s="241">
        <v>2567</v>
      </c>
      <c r="C63" s="241" t="s">
        <v>447</v>
      </c>
      <c r="D63" s="241" t="s">
        <v>31</v>
      </c>
      <c r="E63" s="241" t="s">
        <v>395</v>
      </c>
      <c r="F63" s="241" t="s">
        <v>396</v>
      </c>
      <c r="G63" s="241" t="s">
        <v>394</v>
      </c>
      <c r="H63" s="241">
        <v>1</v>
      </c>
      <c r="I63" s="242">
        <v>0</v>
      </c>
      <c r="J63" s="242">
        <f>Table47[[#This Row],[ทดแทนจำนวน]]+Table47[[#This Row],[เพิ่มประสิทธิภาพจำนวน]]</f>
        <v>1</v>
      </c>
      <c r="K63" s="243">
        <v>1358000</v>
      </c>
      <c r="L63" s="247"/>
    </row>
    <row r="64" spans="1:12">
      <c r="A64" s="246" t="s">
        <v>1371</v>
      </c>
      <c r="B64" s="241">
        <v>2567</v>
      </c>
      <c r="C64" s="241" t="s">
        <v>447</v>
      </c>
      <c r="D64" s="241" t="s">
        <v>31</v>
      </c>
      <c r="E64" s="241" t="s">
        <v>398</v>
      </c>
      <c r="F64" s="241" t="s">
        <v>399</v>
      </c>
      <c r="G64" s="241" t="s">
        <v>397</v>
      </c>
      <c r="H64" s="241">
        <v>1</v>
      </c>
      <c r="I64" s="242">
        <v>0</v>
      </c>
      <c r="J64" s="242">
        <f>Table47[[#This Row],[ทดแทนจำนวน]]+Table47[[#This Row],[เพิ่มประสิทธิภาพจำนวน]]</f>
        <v>1</v>
      </c>
      <c r="K64" s="243">
        <v>1358000</v>
      </c>
      <c r="L64" s="247"/>
    </row>
    <row r="65" spans="1:12">
      <c r="A65" s="246" t="s">
        <v>1372</v>
      </c>
      <c r="B65" s="241">
        <v>2567</v>
      </c>
      <c r="C65" s="241" t="s">
        <v>447</v>
      </c>
      <c r="D65" s="241" t="s">
        <v>31</v>
      </c>
      <c r="E65" s="241" t="s">
        <v>400</v>
      </c>
      <c r="F65" s="241" t="s">
        <v>300</v>
      </c>
      <c r="G65" s="241" t="s">
        <v>298</v>
      </c>
      <c r="H65" s="241">
        <v>1</v>
      </c>
      <c r="I65" s="242">
        <v>0</v>
      </c>
      <c r="J65" s="242">
        <f>Table47[[#This Row],[ทดแทนจำนวน]]+Table47[[#This Row],[เพิ่มประสิทธิภาพจำนวน]]</f>
        <v>1</v>
      </c>
      <c r="K65" s="243">
        <v>1090900</v>
      </c>
      <c r="L65" s="247"/>
    </row>
    <row r="66" spans="1:12">
      <c r="A66" s="246" t="s">
        <v>1373</v>
      </c>
      <c r="B66" s="241">
        <v>2567</v>
      </c>
      <c r="C66" s="241" t="s">
        <v>447</v>
      </c>
      <c r="D66" s="241" t="s">
        <v>31</v>
      </c>
      <c r="E66" s="241" t="s">
        <v>401</v>
      </c>
      <c r="F66" s="241" t="s">
        <v>168</v>
      </c>
      <c r="G66" s="241" t="s">
        <v>166</v>
      </c>
      <c r="H66" s="241">
        <v>1</v>
      </c>
      <c r="I66" s="242">
        <v>0</v>
      </c>
      <c r="J66" s="242">
        <f>Table47[[#This Row],[ทดแทนจำนวน]]+Table47[[#This Row],[เพิ่มประสิทธิภาพจำนวน]]</f>
        <v>1</v>
      </c>
      <c r="K66" s="243">
        <v>1090900</v>
      </c>
      <c r="L66" s="247"/>
    </row>
    <row r="67" spans="1:12">
      <c r="A67" s="246" t="s">
        <v>1374</v>
      </c>
      <c r="B67" s="241">
        <v>2567</v>
      </c>
      <c r="C67" s="241" t="s">
        <v>447</v>
      </c>
      <c r="D67" s="241" t="s">
        <v>19</v>
      </c>
      <c r="E67" s="241" t="s">
        <v>407</v>
      </c>
      <c r="F67" s="241" t="s">
        <v>408</v>
      </c>
      <c r="G67" s="241" t="s">
        <v>166</v>
      </c>
      <c r="H67" s="241">
        <v>1</v>
      </c>
      <c r="I67" s="242">
        <v>0</v>
      </c>
      <c r="J67" s="242">
        <f>Table47[[#This Row],[ทดแทนจำนวน]]+Table47[[#This Row],[เพิ่มประสิทธิภาพจำนวน]]</f>
        <v>1</v>
      </c>
      <c r="K67" s="243">
        <v>9500</v>
      </c>
      <c r="L67" s="247"/>
    </row>
    <row r="68" spans="1:12">
      <c r="A68" s="246" t="s">
        <v>1375</v>
      </c>
      <c r="B68" s="241">
        <v>2567</v>
      </c>
      <c r="C68" s="241" t="s">
        <v>447</v>
      </c>
      <c r="D68" s="241" t="s">
        <v>19</v>
      </c>
      <c r="E68" s="241" t="s">
        <v>402</v>
      </c>
      <c r="F68" s="241" t="s">
        <v>405</v>
      </c>
      <c r="G68" s="241" t="s">
        <v>172</v>
      </c>
      <c r="H68" s="241">
        <v>1</v>
      </c>
      <c r="I68" s="242">
        <v>0</v>
      </c>
      <c r="J68" s="242">
        <f>Table47[[#This Row],[ทดแทนจำนวน]]+Table47[[#This Row],[เพิ่มประสิทธิภาพจำนวน]]</f>
        <v>1</v>
      </c>
      <c r="K68" s="243">
        <v>9500</v>
      </c>
      <c r="L68" s="247"/>
    </row>
    <row r="69" spans="1:12">
      <c r="A69" s="246" t="s">
        <v>1376</v>
      </c>
      <c r="B69" s="241">
        <v>2567</v>
      </c>
      <c r="C69" s="241" t="s">
        <v>447</v>
      </c>
      <c r="D69" s="241" t="s">
        <v>19</v>
      </c>
      <c r="E69" s="241" t="s">
        <v>403</v>
      </c>
      <c r="F69" s="241" t="s">
        <v>270</v>
      </c>
      <c r="G69" s="241" t="s">
        <v>172</v>
      </c>
      <c r="H69" s="241">
        <v>1</v>
      </c>
      <c r="I69" s="242">
        <v>0</v>
      </c>
      <c r="J69" s="242">
        <f>Table47[[#This Row],[ทดแทนจำนวน]]+Table47[[#This Row],[เพิ่มประสิทธิภาพจำนวน]]</f>
        <v>1</v>
      </c>
      <c r="K69" s="243">
        <v>10600</v>
      </c>
      <c r="L69" s="247"/>
    </row>
    <row r="70" spans="1:12">
      <c r="A70" s="246" t="s">
        <v>1377</v>
      </c>
      <c r="B70" s="241">
        <v>2567</v>
      </c>
      <c r="C70" s="241" t="s">
        <v>447</v>
      </c>
      <c r="D70" s="241" t="s">
        <v>19</v>
      </c>
      <c r="E70" s="241" t="s">
        <v>404</v>
      </c>
      <c r="F70" s="241" t="s">
        <v>270</v>
      </c>
      <c r="G70" s="241" t="s">
        <v>172</v>
      </c>
      <c r="H70" s="241">
        <v>1</v>
      </c>
      <c r="I70" s="242">
        <v>0</v>
      </c>
      <c r="J70" s="242">
        <f>Table47[[#This Row],[ทดแทนจำนวน]]+Table47[[#This Row],[เพิ่มประสิทธิภาพจำนวน]]</f>
        <v>1</v>
      </c>
      <c r="K70" s="243">
        <v>17400</v>
      </c>
      <c r="L70" s="247"/>
    </row>
    <row r="71" spans="1:12">
      <c r="A71" s="246" t="s">
        <v>1378</v>
      </c>
      <c r="B71" s="241">
        <v>2567</v>
      </c>
      <c r="C71" s="241" t="s">
        <v>447</v>
      </c>
      <c r="D71" s="241" t="s">
        <v>31</v>
      </c>
      <c r="E71" s="241" t="s">
        <v>414</v>
      </c>
      <c r="F71" s="241" t="s">
        <v>174</v>
      </c>
      <c r="G71" s="241" t="s">
        <v>172</v>
      </c>
      <c r="H71" s="241">
        <v>1</v>
      </c>
      <c r="I71" s="242">
        <v>0</v>
      </c>
      <c r="J71" s="242">
        <f>Table47[[#This Row],[ทดแทนจำนวน]]+Table47[[#This Row],[เพิ่มประสิทธิภาพจำนวน]]</f>
        <v>1</v>
      </c>
      <c r="K71" s="243">
        <v>1055000</v>
      </c>
      <c r="L71" s="247"/>
    </row>
    <row r="72" spans="1:12">
      <c r="A72" s="246" t="s">
        <v>1379</v>
      </c>
      <c r="B72" s="244">
        <v>2568</v>
      </c>
      <c r="C72" s="241" t="s">
        <v>447</v>
      </c>
      <c r="D72" s="241" t="s">
        <v>31</v>
      </c>
      <c r="E72" s="244" t="s">
        <v>225</v>
      </c>
      <c r="F72" s="244" t="s">
        <v>24</v>
      </c>
      <c r="G72" s="244" t="s">
        <v>22</v>
      </c>
      <c r="H72" s="244">
        <v>1</v>
      </c>
      <c r="I72" s="242">
        <v>0</v>
      </c>
      <c r="J72" s="242">
        <f>Table47[[#This Row],[ทดแทนจำนวน]]+Table47[[#This Row],[เพิ่มประสิทธิภาพจำนวน]]</f>
        <v>1</v>
      </c>
      <c r="K72" s="245">
        <v>1358000</v>
      </c>
      <c r="L72" s="248"/>
    </row>
    <row r="73" spans="1:12">
      <c r="A73" s="246" t="s">
        <v>1380</v>
      </c>
      <c r="B73" s="244">
        <v>2568</v>
      </c>
      <c r="C73" s="241" t="s">
        <v>447</v>
      </c>
      <c r="D73" s="241" t="s">
        <v>31</v>
      </c>
      <c r="E73" s="244" t="s">
        <v>227</v>
      </c>
      <c r="F73" s="244" t="s">
        <v>179</v>
      </c>
      <c r="G73" s="244" t="s">
        <v>176</v>
      </c>
      <c r="H73" s="244">
        <v>1</v>
      </c>
      <c r="I73" s="242">
        <v>0</v>
      </c>
      <c r="J73" s="242">
        <f>Table47[[#This Row],[ทดแทนจำนวน]]+Table47[[#This Row],[เพิ่มประสิทธิภาพจำนวน]]</f>
        <v>1</v>
      </c>
      <c r="K73" s="245">
        <v>885900</v>
      </c>
      <c r="L73" s="248"/>
    </row>
    <row r="74" spans="1:12">
      <c r="A74" s="246" t="s">
        <v>1381</v>
      </c>
      <c r="B74" s="244">
        <v>2568</v>
      </c>
      <c r="C74" s="241" t="s">
        <v>447</v>
      </c>
      <c r="D74" s="241" t="s">
        <v>31</v>
      </c>
      <c r="E74" s="244" t="s">
        <v>228</v>
      </c>
      <c r="F74" s="244" t="s">
        <v>33</v>
      </c>
      <c r="G74" s="244" t="s">
        <v>30</v>
      </c>
      <c r="H74" s="244">
        <v>1</v>
      </c>
      <c r="I74" s="242">
        <v>0</v>
      </c>
      <c r="J74" s="242">
        <f>Table47[[#This Row],[ทดแทนจำนวน]]+Table47[[#This Row],[เพิ่มประสิทธิภาพจำนวน]]</f>
        <v>1</v>
      </c>
      <c r="K74" s="245">
        <v>1090900</v>
      </c>
      <c r="L74" s="248"/>
    </row>
    <row r="75" spans="1:12">
      <c r="A75" s="246" t="s">
        <v>1382</v>
      </c>
      <c r="B75" s="244">
        <v>2568</v>
      </c>
      <c r="C75" s="241" t="s">
        <v>447</v>
      </c>
      <c r="D75" s="241" t="s">
        <v>31</v>
      </c>
      <c r="E75" s="244" t="s">
        <v>231</v>
      </c>
      <c r="F75" s="244" t="s">
        <v>232</v>
      </c>
      <c r="G75" s="244" t="s">
        <v>230</v>
      </c>
      <c r="H75" s="244">
        <v>1</v>
      </c>
      <c r="I75" s="242">
        <v>0</v>
      </c>
      <c r="J75" s="242">
        <f>Table47[[#This Row],[ทดแทนจำนวน]]+Table47[[#This Row],[เพิ่มประสิทธิภาพจำนวน]]</f>
        <v>1</v>
      </c>
      <c r="K75" s="245">
        <v>1358000</v>
      </c>
      <c r="L75" s="248"/>
    </row>
    <row r="76" spans="1:12">
      <c r="A76" s="246" t="s">
        <v>1383</v>
      </c>
      <c r="B76" s="244">
        <v>2568</v>
      </c>
      <c r="C76" s="241" t="s">
        <v>447</v>
      </c>
      <c r="D76" s="241" t="s">
        <v>31</v>
      </c>
      <c r="E76" s="244" t="s">
        <v>234</v>
      </c>
      <c r="F76" s="244" t="s">
        <v>39</v>
      </c>
      <c r="G76" s="244" t="s">
        <v>34</v>
      </c>
      <c r="H76" s="244">
        <v>1</v>
      </c>
      <c r="I76" s="242">
        <v>0</v>
      </c>
      <c r="J76" s="242">
        <f>Table47[[#This Row],[ทดแทนจำนวน]]+Table47[[#This Row],[เพิ่มประสิทธิภาพจำนวน]]</f>
        <v>1</v>
      </c>
      <c r="K76" s="245">
        <v>1090900</v>
      </c>
      <c r="L76" s="248"/>
    </row>
    <row r="77" spans="1:12">
      <c r="A77" s="246" t="s">
        <v>1384</v>
      </c>
      <c r="B77" s="244">
        <v>2568</v>
      </c>
      <c r="C77" s="241" t="s">
        <v>447</v>
      </c>
      <c r="D77" s="241" t="s">
        <v>31</v>
      </c>
      <c r="E77" s="244" t="s">
        <v>235</v>
      </c>
      <c r="F77" s="244" t="s">
        <v>190</v>
      </c>
      <c r="G77" s="244" t="s">
        <v>188</v>
      </c>
      <c r="H77" s="244">
        <v>1</v>
      </c>
      <c r="I77" s="242">
        <v>0</v>
      </c>
      <c r="J77" s="242">
        <f>Table47[[#This Row],[ทดแทนจำนวน]]+Table47[[#This Row],[เพิ่มประสิทธิภาพจำนวน]]</f>
        <v>1</v>
      </c>
      <c r="K77" s="245">
        <v>1358000</v>
      </c>
      <c r="L77" s="248"/>
    </row>
    <row r="78" spans="1:12">
      <c r="A78" s="246" t="s">
        <v>1385</v>
      </c>
      <c r="B78" s="244">
        <v>2568</v>
      </c>
      <c r="C78" s="241" t="s">
        <v>447</v>
      </c>
      <c r="D78" s="241" t="s">
        <v>31</v>
      </c>
      <c r="E78" s="244" t="s">
        <v>236</v>
      </c>
      <c r="F78" s="244" t="s">
        <v>195</v>
      </c>
      <c r="G78" s="244" t="s">
        <v>193</v>
      </c>
      <c r="H78" s="244">
        <v>1</v>
      </c>
      <c r="I78" s="242">
        <v>0</v>
      </c>
      <c r="J78" s="242">
        <f>Table47[[#This Row],[ทดแทนจำนวน]]+Table47[[#This Row],[เพิ่มประสิทธิภาพจำนวน]]</f>
        <v>1</v>
      </c>
      <c r="K78" s="245">
        <v>1358000</v>
      </c>
      <c r="L78" s="248"/>
    </row>
    <row r="79" spans="1:12">
      <c r="A79" s="246" t="s">
        <v>1386</v>
      </c>
      <c r="B79" s="244">
        <v>2568</v>
      </c>
      <c r="C79" s="241" t="s">
        <v>447</v>
      </c>
      <c r="D79" s="241" t="s">
        <v>31</v>
      </c>
      <c r="E79" s="244" t="s">
        <v>238</v>
      </c>
      <c r="F79" s="244" t="s">
        <v>239</v>
      </c>
      <c r="G79" s="244" t="s">
        <v>237</v>
      </c>
      <c r="H79" s="244">
        <v>1</v>
      </c>
      <c r="I79" s="242">
        <v>0</v>
      </c>
      <c r="J79" s="242">
        <f>Table47[[#This Row],[ทดแทนจำนวน]]+Table47[[#This Row],[เพิ่มประสิทธิภาพจำนวน]]</f>
        <v>1</v>
      </c>
      <c r="K79" s="245">
        <v>885900</v>
      </c>
      <c r="L79" s="248"/>
    </row>
    <row r="80" spans="1:12">
      <c r="A80" s="246" t="s">
        <v>1387</v>
      </c>
      <c r="B80" s="244">
        <v>2568</v>
      </c>
      <c r="C80" s="241" t="s">
        <v>447</v>
      </c>
      <c r="D80" s="241" t="s">
        <v>31</v>
      </c>
      <c r="E80" s="244" t="s">
        <v>240</v>
      </c>
      <c r="F80" s="244" t="s">
        <v>239</v>
      </c>
      <c r="G80" s="244" t="s">
        <v>237</v>
      </c>
      <c r="H80" s="244">
        <v>1</v>
      </c>
      <c r="I80" s="242">
        <v>0</v>
      </c>
      <c r="J80" s="242">
        <f>Table47[[#This Row],[ทดแทนจำนวน]]+Table47[[#This Row],[เพิ่มประสิทธิภาพจำนวน]]</f>
        <v>1</v>
      </c>
      <c r="K80" s="245">
        <v>1055000</v>
      </c>
      <c r="L80" s="248"/>
    </row>
    <row r="81" spans="1:12">
      <c r="A81" s="246" t="s">
        <v>1388</v>
      </c>
      <c r="B81" s="244">
        <v>2568</v>
      </c>
      <c r="C81" s="241" t="s">
        <v>447</v>
      </c>
      <c r="D81" s="241" t="s">
        <v>31</v>
      </c>
      <c r="E81" s="244" t="s">
        <v>242</v>
      </c>
      <c r="F81" s="244" t="s">
        <v>243</v>
      </c>
      <c r="G81" s="244" t="s">
        <v>241</v>
      </c>
      <c r="H81" s="244">
        <v>1</v>
      </c>
      <c r="I81" s="242">
        <v>0</v>
      </c>
      <c r="J81" s="242">
        <f>Table47[[#This Row],[ทดแทนจำนวน]]+Table47[[#This Row],[เพิ่มประสิทธิภาพจำนวน]]</f>
        <v>1</v>
      </c>
      <c r="K81" s="245">
        <v>885900</v>
      </c>
      <c r="L81" s="248"/>
    </row>
    <row r="82" spans="1:12">
      <c r="A82" s="246" t="s">
        <v>1389</v>
      </c>
      <c r="B82" s="244">
        <v>2568</v>
      </c>
      <c r="C82" s="241" t="s">
        <v>447</v>
      </c>
      <c r="D82" s="241" t="s">
        <v>31</v>
      </c>
      <c r="E82" s="244" t="s">
        <v>244</v>
      </c>
      <c r="F82" s="244" t="s">
        <v>245</v>
      </c>
      <c r="G82" s="244" t="s">
        <v>64</v>
      </c>
      <c r="H82" s="244">
        <v>1</v>
      </c>
      <c r="I82" s="242">
        <v>0</v>
      </c>
      <c r="J82" s="242">
        <f>Table47[[#This Row],[ทดแทนจำนวน]]+Table47[[#This Row],[เพิ่มประสิทธิภาพจำนวน]]</f>
        <v>1</v>
      </c>
      <c r="K82" s="245">
        <v>1358000</v>
      </c>
      <c r="L82" s="248"/>
    </row>
    <row r="83" spans="1:12">
      <c r="A83" s="246" t="s">
        <v>1390</v>
      </c>
      <c r="B83" s="244">
        <v>2568</v>
      </c>
      <c r="C83" s="241" t="s">
        <v>447</v>
      </c>
      <c r="D83" s="241" t="s">
        <v>31</v>
      </c>
      <c r="E83" s="244" t="s">
        <v>246</v>
      </c>
      <c r="F83" s="244" t="s">
        <v>247</v>
      </c>
      <c r="G83" s="244" t="s">
        <v>64</v>
      </c>
      <c r="H83" s="244">
        <v>8</v>
      </c>
      <c r="I83" s="242">
        <v>0</v>
      </c>
      <c r="J83" s="242">
        <f>Table47[[#This Row],[ทดแทนจำนวน]]+Table47[[#This Row],[เพิ่มประสิทธิภาพจำนวน]]</f>
        <v>8</v>
      </c>
      <c r="K83" s="245">
        <v>13312000</v>
      </c>
      <c r="L83" s="248"/>
    </row>
    <row r="84" spans="1:12">
      <c r="A84" s="246" t="s">
        <v>1391</v>
      </c>
      <c r="B84" s="244">
        <v>2568</v>
      </c>
      <c r="C84" s="241" t="s">
        <v>447</v>
      </c>
      <c r="D84" s="241" t="s">
        <v>31</v>
      </c>
      <c r="E84" s="244" t="s">
        <v>246</v>
      </c>
      <c r="F84" s="244" t="s">
        <v>68</v>
      </c>
      <c r="G84" s="244" t="s">
        <v>64</v>
      </c>
      <c r="H84" s="244">
        <v>1</v>
      </c>
      <c r="I84" s="242">
        <v>0</v>
      </c>
      <c r="J84" s="242">
        <f>Table47[[#This Row],[ทดแทนจำนวน]]+Table47[[#This Row],[เพิ่มประสิทธิภาพจำนวน]]</f>
        <v>1</v>
      </c>
      <c r="K84" s="245">
        <v>1664000</v>
      </c>
      <c r="L84" s="248"/>
    </row>
    <row r="85" spans="1:12">
      <c r="A85" s="246" t="s">
        <v>1392</v>
      </c>
      <c r="B85" s="244">
        <v>2568</v>
      </c>
      <c r="C85" s="241" t="s">
        <v>447</v>
      </c>
      <c r="D85" s="241" t="s">
        <v>75</v>
      </c>
      <c r="E85" s="244" t="s">
        <v>248</v>
      </c>
      <c r="F85" s="244" t="s">
        <v>70</v>
      </c>
      <c r="G85" s="244" t="s">
        <v>64</v>
      </c>
      <c r="H85" s="244">
        <v>1</v>
      </c>
      <c r="I85" s="242">
        <v>0</v>
      </c>
      <c r="J85" s="242">
        <f>Table47[[#This Row],[ทดแทนจำนวน]]+Table47[[#This Row],[เพิ่มประสิทธิภาพจำนวน]]</f>
        <v>1</v>
      </c>
      <c r="K85" s="245">
        <v>499900</v>
      </c>
      <c r="L85" s="248"/>
    </row>
    <row r="86" spans="1:12">
      <c r="A86" s="246" t="s">
        <v>1393</v>
      </c>
      <c r="B86" s="244">
        <v>2568</v>
      </c>
      <c r="C86" s="241" t="s">
        <v>447</v>
      </c>
      <c r="D86" s="241" t="s">
        <v>75</v>
      </c>
      <c r="E86" s="244" t="s">
        <v>249</v>
      </c>
      <c r="F86" s="244" t="s">
        <v>250</v>
      </c>
      <c r="G86" s="244" t="s">
        <v>64</v>
      </c>
      <c r="H86" s="244">
        <v>1</v>
      </c>
      <c r="I86" s="242">
        <v>0</v>
      </c>
      <c r="J86" s="242">
        <f>Table47[[#This Row],[ทดแทนจำนวน]]+Table47[[#This Row],[เพิ่มประสิทธิภาพจำนวน]]</f>
        <v>1</v>
      </c>
      <c r="K86" s="245">
        <v>6463000</v>
      </c>
      <c r="L86" s="248"/>
    </row>
    <row r="87" spans="1:12">
      <c r="A87" s="246" t="s">
        <v>1394</v>
      </c>
      <c r="B87" s="244">
        <v>2568</v>
      </c>
      <c r="C87" s="241" t="s">
        <v>447</v>
      </c>
      <c r="D87" s="241" t="s">
        <v>75</v>
      </c>
      <c r="E87" s="244" t="s">
        <v>251</v>
      </c>
      <c r="F87" s="244" t="s">
        <v>77</v>
      </c>
      <c r="G87" s="244" t="s">
        <v>64</v>
      </c>
      <c r="H87" s="244">
        <v>217</v>
      </c>
      <c r="I87" s="242">
        <v>0</v>
      </c>
      <c r="J87" s="242">
        <f>Table47[[#This Row],[ทดแทนจำนวน]]+Table47[[#This Row],[เพิ่มประสิทธิภาพจำนวน]]</f>
        <v>217</v>
      </c>
      <c r="K87" s="245">
        <v>6661900</v>
      </c>
      <c r="L87" s="248"/>
    </row>
    <row r="88" spans="1:12">
      <c r="A88" s="246" t="s">
        <v>1395</v>
      </c>
      <c r="B88" s="244">
        <v>2568</v>
      </c>
      <c r="C88" s="241" t="s">
        <v>447</v>
      </c>
      <c r="D88" s="241" t="s">
        <v>75</v>
      </c>
      <c r="E88" s="244" t="s">
        <v>252</v>
      </c>
      <c r="F88" s="244" t="s">
        <v>77</v>
      </c>
      <c r="G88" s="244" t="s">
        <v>64</v>
      </c>
      <c r="H88" s="244">
        <v>217</v>
      </c>
      <c r="I88" s="242">
        <v>0</v>
      </c>
      <c r="J88" s="242">
        <f>Table47[[#This Row],[ทดแทนจำนวน]]+Table47[[#This Row],[เพิ่มประสิทธิภาพจำนวน]]</f>
        <v>217</v>
      </c>
      <c r="K88" s="245">
        <v>976500</v>
      </c>
      <c r="L88" s="248"/>
    </row>
    <row r="89" spans="1:12">
      <c r="A89" s="246" t="s">
        <v>1396</v>
      </c>
      <c r="B89" s="244">
        <v>2568</v>
      </c>
      <c r="C89" s="241" t="s">
        <v>447</v>
      </c>
      <c r="D89" s="241" t="s">
        <v>31</v>
      </c>
      <c r="E89" s="244" t="s">
        <v>254</v>
      </c>
      <c r="F89" s="244" t="s">
        <v>255</v>
      </c>
      <c r="G89" s="244" t="s">
        <v>253</v>
      </c>
      <c r="H89" s="244">
        <v>1</v>
      </c>
      <c r="I89" s="242">
        <v>0</v>
      </c>
      <c r="J89" s="242">
        <f>Table47[[#This Row],[ทดแทนจำนวน]]+Table47[[#This Row],[เพิ่มประสิทธิภาพจำนวน]]</f>
        <v>1</v>
      </c>
      <c r="K89" s="245">
        <v>1090900</v>
      </c>
      <c r="L89" s="248"/>
    </row>
    <row r="90" spans="1:12">
      <c r="A90" s="246" t="s">
        <v>1397</v>
      </c>
      <c r="B90" s="244">
        <v>2568</v>
      </c>
      <c r="C90" s="241" t="s">
        <v>447</v>
      </c>
      <c r="D90" s="241" t="s">
        <v>31</v>
      </c>
      <c r="E90" s="244" t="s">
        <v>256</v>
      </c>
      <c r="F90" s="244" t="s">
        <v>128</v>
      </c>
      <c r="G90" s="244" t="s">
        <v>126</v>
      </c>
      <c r="H90" s="244">
        <v>1</v>
      </c>
      <c r="I90" s="242">
        <v>0</v>
      </c>
      <c r="J90" s="242">
        <f>Table47[[#This Row],[ทดแทนจำนวน]]+Table47[[#This Row],[เพิ่มประสิทธิภาพจำนวน]]</f>
        <v>1</v>
      </c>
      <c r="K90" s="245">
        <v>885900</v>
      </c>
      <c r="L90" s="248"/>
    </row>
    <row r="91" spans="1:12">
      <c r="A91" s="246" t="s">
        <v>1398</v>
      </c>
      <c r="B91" s="244">
        <v>2568</v>
      </c>
      <c r="C91" s="241" t="s">
        <v>447</v>
      </c>
      <c r="D91" s="241" t="s">
        <v>31</v>
      </c>
      <c r="E91" s="244" t="s">
        <v>258</v>
      </c>
      <c r="F91" s="244" t="s">
        <v>259</v>
      </c>
      <c r="G91" s="244" t="s">
        <v>257</v>
      </c>
      <c r="H91" s="244">
        <v>1</v>
      </c>
      <c r="I91" s="242">
        <v>0</v>
      </c>
      <c r="J91" s="242">
        <f>Table47[[#This Row],[ทดแทนจำนวน]]+Table47[[#This Row],[เพิ่มประสิทธิภาพจำนวน]]</f>
        <v>1</v>
      </c>
      <c r="K91" s="245">
        <v>1090900</v>
      </c>
      <c r="L91" s="248"/>
    </row>
    <row r="92" spans="1:12">
      <c r="A92" s="246" t="s">
        <v>1399</v>
      </c>
      <c r="B92" s="244">
        <v>2568</v>
      </c>
      <c r="C92" s="241" t="s">
        <v>447</v>
      </c>
      <c r="D92" s="241" t="s">
        <v>31</v>
      </c>
      <c r="E92" s="244" t="s">
        <v>261</v>
      </c>
      <c r="F92" s="244" t="s">
        <v>262</v>
      </c>
      <c r="G92" s="244" t="s">
        <v>260</v>
      </c>
      <c r="H92" s="244">
        <v>1</v>
      </c>
      <c r="I92" s="242">
        <v>0</v>
      </c>
      <c r="J92" s="242">
        <f>Table47[[#This Row],[ทดแทนจำนวน]]+Table47[[#This Row],[เพิ่มประสิทธิภาพจำนวน]]</f>
        <v>1</v>
      </c>
      <c r="K92" s="245">
        <v>885900</v>
      </c>
      <c r="L92" s="248"/>
    </row>
    <row r="93" spans="1:12">
      <c r="A93" s="246" t="s">
        <v>1400</v>
      </c>
      <c r="B93" s="244">
        <v>2568</v>
      </c>
      <c r="C93" s="241" t="s">
        <v>447</v>
      </c>
      <c r="D93" s="241" t="s">
        <v>31</v>
      </c>
      <c r="E93" s="244" t="s">
        <v>264</v>
      </c>
      <c r="F93" s="244" t="s">
        <v>265</v>
      </c>
      <c r="G93" s="244" t="s">
        <v>263</v>
      </c>
      <c r="H93" s="244">
        <v>1</v>
      </c>
      <c r="I93" s="242">
        <v>0</v>
      </c>
      <c r="J93" s="242">
        <f>Table47[[#This Row],[ทดแทนจำนวน]]+Table47[[#This Row],[เพิ่มประสิทธิภาพจำนวน]]</f>
        <v>1</v>
      </c>
      <c r="K93" s="245">
        <v>1092000</v>
      </c>
      <c r="L93" s="248"/>
    </row>
    <row r="94" spans="1:12">
      <c r="A94" s="246" t="s">
        <v>1401</v>
      </c>
      <c r="B94" s="244">
        <v>2568</v>
      </c>
      <c r="C94" s="241" t="s">
        <v>447</v>
      </c>
      <c r="D94" s="241" t="s">
        <v>31</v>
      </c>
      <c r="E94" s="244" t="s">
        <v>266</v>
      </c>
      <c r="F94" s="244" t="s">
        <v>223</v>
      </c>
      <c r="G94" s="244" t="s">
        <v>221</v>
      </c>
      <c r="H94" s="244">
        <v>1</v>
      </c>
      <c r="I94" s="242">
        <v>0</v>
      </c>
      <c r="J94" s="242">
        <f>Table47[[#This Row],[ทดแทนจำนวน]]+Table47[[#This Row],[เพิ่มประสิทธิภาพจำนวน]]</f>
        <v>1</v>
      </c>
      <c r="K94" s="245">
        <v>1090900</v>
      </c>
      <c r="L94" s="248"/>
    </row>
    <row r="95" spans="1:12">
      <c r="A95" s="246" t="s">
        <v>1402</v>
      </c>
      <c r="B95" s="244">
        <v>2568</v>
      </c>
      <c r="C95" s="241" t="s">
        <v>447</v>
      </c>
      <c r="D95" s="241" t="s">
        <v>31</v>
      </c>
      <c r="E95" s="244" t="s">
        <v>267</v>
      </c>
      <c r="F95" s="244" t="s">
        <v>156</v>
      </c>
      <c r="G95" s="244" t="s">
        <v>154</v>
      </c>
      <c r="H95" s="244">
        <v>1</v>
      </c>
      <c r="I95" s="242">
        <v>0</v>
      </c>
      <c r="J95" s="242">
        <f>Table47[[#This Row],[ทดแทนจำนวน]]+Table47[[#This Row],[เพิ่มประสิทธิภาพจำนวน]]</f>
        <v>1</v>
      </c>
      <c r="K95" s="245">
        <v>885900</v>
      </c>
      <c r="L95" s="248"/>
    </row>
    <row r="96" spans="1:12">
      <c r="A96" s="246" t="s">
        <v>1403</v>
      </c>
      <c r="B96" s="244">
        <v>2568</v>
      </c>
      <c r="C96" s="241" t="s">
        <v>447</v>
      </c>
      <c r="D96" s="241" t="s">
        <v>31</v>
      </c>
      <c r="E96" s="244" t="s">
        <v>268</v>
      </c>
      <c r="F96" s="244" t="s">
        <v>171</v>
      </c>
      <c r="G96" s="244" t="s">
        <v>169</v>
      </c>
      <c r="H96" s="244">
        <v>1</v>
      </c>
      <c r="I96" s="242">
        <v>0</v>
      </c>
      <c r="J96" s="242">
        <f>Table47[[#This Row],[ทดแทนจำนวน]]+Table47[[#This Row],[เพิ่มประสิทธิภาพจำนวน]]</f>
        <v>1</v>
      </c>
      <c r="K96" s="245">
        <v>1055000</v>
      </c>
      <c r="L96" s="248"/>
    </row>
    <row r="97" spans="1:12">
      <c r="A97" s="246" t="s">
        <v>1404</v>
      </c>
      <c r="B97" s="244">
        <v>2568</v>
      </c>
      <c r="C97" s="241" t="s">
        <v>447</v>
      </c>
      <c r="D97" s="241" t="s">
        <v>16</v>
      </c>
      <c r="E97" s="244" t="s">
        <v>269</v>
      </c>
      <c r="F97" s="244" t="s">
        <v>270</v>
      </c>
      <c r="G97" s="244" t="s">
        <v>172</v>
      </c>
      <c r="H97" s="244">
        <v>1</v>
      </c>
      <c r="I97" s="242">
        <v>0</v>
      </c>
      <c r="J97" s="242">
        <f>Table47[[#This Row],[ทดแทนจำนวน]]+Table47[[#This Row],[เพิ่มประสิทธิภาพจำนวน]]</f>
        <v>1</v>
      </c>
      <c r="K97" s="245">
        <v>1090900</v>
      </c>
      <c r="L97" s="248"/>
    </row>
    <row r="98" spans="1:12">
      <c r="A98" s="246" t="s">
        <v>1405</v>
      </c>
      <c r="B98" s="244">
        <v>2569</v>
      </c>
      <c r="C98" s="241" t="s">
        <v>447</v>
      </c>
      <c r="D98" s="241" t="s">
        <v>16</v>
      </c>
      <c r="E98" s="244" t="s">
        <v>17</v>
      </c>
      <c r="F98" s="244" t="s">
        <v>18</v>
      </c>
      <c r="G98" s="244" t="s">
        <v>14</v>
      </c>
      <c r="H98" s="244">
        <v>2</v>
      </c>
      <c r="I98" s="242">
        <v>0</v>
      </c>
      <c r="J98" s="242">
        <f>Table47[[#This Row],[ทดแทนจำนวน]]+Table47[[#This Row],[เพิ่มประสิทธิภาพจำนวน]]</f>
        <v>2</v>
      </c>
      <c r="K98" s="245">
        <v>81800</v>
      </c>
      <c r="L98" s="248"/>
    </row>
    <row r="99" spans="1:12">
      <c r="A99" s="246" t="s">
        <v>1406</v>
      </c>
      <c r="B99" s="244">
        <v>2569</v>
      </c>
      <c r="C99" s="241" t="s">
        <v>447</v>
      </c>
      <c r="D99" s="241" t="s">
        <v>19</v>
      </c>
      <c r="E99" s="244" t="s">
        <v>20</v>
      </c>
      <c r="F99" s="244" t="s">
        <v>21</v>
      </c>
      <c r="G99" s="244" t="s">
        <v>14</v>
      </c>
      <c r="H99" s="244">
        <v>1</v>
      </c>
      <c r="I99" s="242">
        <v>0</v>
      </c>
      <c r="J99" s="242">
        <f>Table47[[#This Row],[ทดแทนจำนวน]]+Table47[[#This Row],[เพิ่มประสิทธิภาพจำนวน]]</f>
        <v>1</v>
      </c>
      <c r="K99" s="245">
        <v>37000</v>
      </c>
      <c r="L99" s="248"/>
    </row>
    <row r="100" spans="1:12">
      <c r="A100" s="246" t="s">
        <v>1407</v>
      </c>
      <c r="B100" s="244">
        <v>2569</v>
      </c>
      <c r="C100" s="241" t="s">
        <v>447</v>
      </c>
      <c r="D100" s="241" t="s">
        <v>16</v>
      </c>
      <c r="E100" s="244" t="s">
        <v>23</v>
      </c>
      <c r="F100" s="244" t="s">
        <v>24</v>
      </c>
      <c r="G100" s="244" t="s">
        <v>22</v>
      </c>
      <c r="H100" s="244">
        <v>1</v>
      </c>
      <c r="I100" s="242">
        <v>0</v>
      </c>
      <c r="J100" s="242">
        <f>Table47[[#This Row],[ทดแทนจำนวน]]+Table47[[#This Row],[เพิ่มประสิทธิภาพจำนวน]]</f>
        <v>1</v>
      </c>
      <c r="K100" s="245">
        <v>67000</v>
      </c>
      <c r="L100" s="248"/>
    </row>
    <row r="101" spans="1:12">
      <c r="A101" s="246" t="s">
        <v>1408</v>
      </c>
      <c r="B101" s="244">
        <v>2569</v>
      </c>
      <c r="C101" s="241" t="s">
        <v>447</v>
      </c>
      <c r="D101" s="241" t="s">
        <v>16</v>
      </c>
      <c r="E101" s="244" t="s">
        <v>25</v>
      </c>
      <c r="F101" s="244" t="s">
        <v>26</v>
      </c>
      <c r="G101" s="244" t="s">
        <v>22</v>
      </c>
      <c r="H101" s="244">
        <v>3</v>
      </c>
      <c r="I101" s="242">
        <v>0</v>
      </c>
      <c r="J101" s="242">
        <f>Table47[[#This Row],[ทดแทนจำนวน]]+Table47[[#This Row],[เพิ่มประสิทธิภาพจำนวน]]</f>
        <v>3</v>
      </c>
      <c r="K101" s="245">
        <v>96600</v>
      </c>
      <c r="L101" s="248"/>
    </row>
    <row r="102" spans="1:12">
      <c r="A102" s="246" t="s">
        <v>1409</v>
      </c>
      <c r="B102" s="244">
        <v>2569</v>
      </c>
      <c r="C102" s="241" t="s">
        <v>447</v>
      </c>
      <c r="D102" s="241" t="s">
        <v>16</v>
      </c>
      <c r="E102" s="244" t="s">
        <v>28</v>
      </c>
      <c r="F102" s="244" t="s">
        <v>29</v>
      </c>
      <c r="G102" s="244" t="s">
        <v>27</v>
      </c>
      <c r="H102" s="244">
        <v>1</v>
      </c>
      <c r="I102" s="242">
        <v>0</v>
      </c>
      <c r="J102" s="242">
        <f>Table47[[#This Row],[ทดแทนจำนวน]]+Table47[[#This Row],[เพิ่มประสิทธิภาพจำนวน]]</f>
        <v>1</v>
      </c>
      <c r="K102" s="245">
        <v>67000</v>
      </c>
      <c r="L102" s="248"/>
    </row>
    <row r="103" spans="1:12">
      <c r="A103" s="246" t="s">
        <v>1410</v>
      </c>
      <c r="B103" s="244">
        <v>2569</v>
      </c>
      <c r="C103" s="241" t="s">
        <v>447</v>
      </c>
      <c r="D103" s="241" t="s">
        <v>31</v>
      </c>
      <c r="E103" s="244" t="s">
        <v>32</v>
      </c>
      <c r="F103" s="244" t="s">
        <v>33</v>
      </c>
      <c r="G103" s="244" t="s">
        <v>30</v>
      </c>
      <c r="H103" s="244">
        <v>1</v>
      </c>
      <c r="I103" s="242">
        <v>0</v>
      </c>
      <c r="J103" s="242">
        <f>Table47[[#This Row],[ทดแทนจำนวน]]+Table47[[#This Row],[เพิ่มประสิทธิภาพจำนวน]]</f>
        <v>1</v>
      </c>
      <c r="K103" s="245">
        <v>1369000</v>
      </c>
      <c r="L103" s="248"/>
    </row>
    <row r="104" spans="1:12">
      <c r="A104" s="246" t="s">
        <v>1411</v>
      </c>
      <c r="B104" s="244">
        <v>2569</v>
      </c>
      <c r="C104" s="241" t="s">
        <v>447</v>
      </c>
      <c r="D104" s="241" t="s">
        <v>31</v>
      </c>
      <c r="E104" s="244" t="s">
        <v>35</v>
      </c>
      <c r="F104" s="244" t="s">
        <v>36</v>
      </c>
      <c r="G104" s="244" t="s">
        <v>34</v>
      </c>
      <c r="H104" s="244">
        <v>1</v>
      </c>
      <c r="I104" s="242">
        <v>0</v>
      </c>
      <c r="J104" s="242">
        <f>Table47[[#This Row],[ทดแทนจำนวน]]+Table47[[#This Row],[เพิ่มประสิทธิภาพจำนวน]]</f>
        <v>1</v>
      </c>
      <c r="K104" s="245">
        <v>1207900</v>
      </c>
      <c r="L104" s="248"/>
    </row>
    <row r="105" spans="1:12">
      <c r="A105" s="246" t="s">
        <v>1412</v>
      </c>
      <c r="B105" s="244">
        <v>2569</v>
      </c>
      <c r="C105" s="241" t="s">
        <v>447</v>
      </c>
      <c r="D105" s="241" t="s">
        <v>16</v>
      </c>
      <c r="E105" s="244" t="s">
        <v>37</v>
      </c>
      <c r="F105" s="244" t="s">
        <v>36</v>
      </c>
      <c r="G105" s="244" t="s">
        <v>34</v>
      </c>
      <c r="H105" s="244">
        <v>2</v>
      </c>
      <c r="I105" s="242">
        <v>0</v>
      </c>
      <c r="J105" s="242">
        <f>Table47[[#This Row],[ทดแทนจำนวน]]+Table47[[#This Row],[เพิ่มประสิทธิภาพจำนวน]]</f>
        <v>2</v>
      </c>
      <c r="K105" s="245">
        <v>83000</v>
      </c>
      <c r="L105" s="248"/>
    </row>
    <row r="106" spans="1:12">
      <c r="A106" s="246" t="s">
        <v>1413</v>
      </c>
      <c r="B106" s="244">
        <v>2569</v>
      </c>
      <c r="C106" s="241" t="s">
        <v>447</v>
      </c>
      <c r="D106" s="241" t="s">
        <v>16</v>
      </c>
      <c r="E106" s="244" t="s">
        <v>38</v>
      </c>
      <c r="F106" s="244" t="s">
        <v>39</v>
      </c>
      <c r="G106" s="244" t="s">
        <v>34</v>
      </c>
      <c r="H106" s="244">
        <v>6</v>
      </c>
      <c r="I106" s="242">
        <v>0</v>
      </c>
      <c r="J106" s="242">
        <f>Table47[[#This Row],[ทดแทนจำนวน]]+Table47[[#This Row],[เพิ่มประสิทธิภาพจำนวน]]</f>
        <v>6</v>
      </c>
      <c r="K106" s="245">
        <v>321600</v>
      </c>
      <c r="L106" s="248"/>
    </row>
    <row r="107" spans="1:12">
      <c r="A107" s="246" t="s">
        <v>1414</v>
      </c>
      <c r="B107" s="244">
        <v>2569</v>
      </c>
      <c r="C107" s="241" t="s">
        <v>447</v>
      </c>
      <c r="D107" s="241" t="s">
        <v>31</v>
      </c>
      <c r="E107" s="244" t="s">
        <v>42</v>
      </c>
      <c r="F107" s="244" t="s">
        <v>43</v>
      </c>
      <c r="G107" s="244" t="s">
        <v>41</v>
      </c>
      <c r="H107" s="244">
        <v>1</v>
      </c>
      <c r="I107" s="242">
        <v>0</v>
      </c>
      <c r="J107" s="242">
        <f>Table47[[#This Row],[ทดแทนจำนวน]]+Table47[[#This Row],[เพิ่มประสิทธิภาพจำนวน]]</f>
        <v>1</v>
      </c>
      <c r="K107" s="245">
        <v>1369000</v>
      </c>
      <c r="L107" s="248"/>
    </row>
    <row r="108" spans="1:12">
      <c r="A108" s="246" t="s">
        <v>1415</v>
      </c>
      <c r="B108" s="244">
        <v>2569</v>
      </c>
      <c r="C108" s="241" t="s">
        <v>447</v>
      </c>
      <c r="D108" s="241" t="s">
        <v>31</v>
      </c>
      <c r="E108" s="244" t="s">
        <v>44</v>
      </c>
      <c r="F108" s="244" t="s">
        <v>45</v>
      </c>
      <c r="G108" s="244" t="s">
        <v>41</v>
      </c>
      <c r="H108" s="244">
        <v>1</v>
      </c>
      <c r="I108" s="242">
        <v>0</v>
      </c>
      <c r="J108" s="242">
        <f>Table47[[#This Row],[ทดแทนจำนวน]]+Table47[[#This Row],[เพิ่มประสิทธิภาพจำนวน]]</f>
        <v>1</v>
      </c>
      <c r="K108" s="245">
        <v>970900</v>
      </c>
      <c r="L108" s="248"/>
    </row>
    <row r="109" spans="1:12">
      <c r="A109" s="246" t="s">
        <v>1416</v>
      </c>
      <c r="B109" s="244">
        <v>2569</v>
      </c>
      <c r="C109" s="241" t="s">
        <v>447</v>
      </c>
      <c r="D109" s="241" t="s">
        <v>31</v>
      </c>
      <c r="E109" s="244" t="s">
        <v>47</v>
      </c>
      <c r="F109" s="244" t="s">
        <v>48</v>
      </c>
      <c r="G109" s="244" t="s">
        <v>46</v>
      </c>
      <c r="H109" s="244">
        <v>2</v>
      </c>
      <c r="I109" s="242">
        <v>0</v>
      </c>
      <c r="J109" s="242">
        <f>Table47[[#This Row],[ทดแทนจำนวน]]+Table47[[#This Row],[เพิ่มประสิทธิภาพจำนวน]]</f>
        <v>2</v>
      </c>
      <c r="K109" s="245">
        <v>1941800</v>
      </c>
      <c r="L109" s="248"/>
    </row>
    <row r="110" spans="1:12">
      <c r="A110" s="246" t="s">
        <v>1417</v>
      </c>
      <c r="B110" s="244">
        <v>2569</v>
      </c>
      <c r="C110" s="241" t="s">
        <v>447</v>
      </c>
      <c r="D110" s="241" t="s">
        <v>16</v>
      </c>
      <c r="E110" s="244" t="s">
        <v>49</v>
      </c>
      <c r="F110" s="244" t="s">
        <v>50</v>
      </c>
      <c r="G110" s="244" t="s">
        <v>46</v>
      </c>
      <c r="H110" s="244">
        <v>3</v>
      </c>
      <c r="I110" s="242">
        <v>0</v>
      </c>
      <c r="J110" s="242">
        <f>Table47[[#This Row],[ทดแทนจำนวน]]+Table47[[#This Row],[เพิ่มประสิทธิภาพจำนวน]]</f>
        <v>3</v>
      </c>
      <c r="K110" s="245">
        <v>92700</v>
      </c>
      <c r="L110" s="248"/>
    </row>
    <row r="111" spans="1:12">
      <c r="A111" s="246" t="s">
        <v>1418</v>
      </c>
      <c r="B111" s="244">
        <v>2569</v>
      </c>
      <c r="C111" s="241" t="s">
        <v>447</v>
      </c>
      <c r="D111" s="241" t="s">
        <v>31</v>
      </c>
      <c r="E111" s="244" t="s">
        <v>52</v>
      </c>
      <c r="F111" s="244" t="s">
        <v>53</v>
      </c>
      <c r="G111" s="244" t="s">
        <v>51</v>
      </c>
      <c r="H111" s="244">
        <v>1</v>
      </c>
      <c r="I111" s="242">
        <v>0</v>
      </c>
      <c r="J111" s="242">
        <f>Table47[[#This Row],[ทดแทนจำนวน]]+Table47[[#This Row],[เพิ่มประสิทธิภาพจำนวน]]</f>
        <v>1</v>
      </c>
      <c r="K111" s="245">
        <v>970900</v>
      </c>
      <c r="L111" s="248"/>
    </row>
    <row r="112" spans="1:12">
      <c r="A112" s="246" t="s">
        <v>1419</v>
      </c>
      <c r="B112" s="244">
        <v>2569</v>
      </c>
      <c r="C112" s="241" t="s">
        <v>447</v>
      </c>
      <c r="D112" s="241" t="s">
        <v>16</v>
      </c>
      <c r="E112" s="244" t="s">
        <v>55</v>
      </c>
      <c r="F112" s="244" t="s">
        <v>56</v>
      </c>
      <c r="G112" s="244" t="s">
        <v>54</v>
      </c>
      <c r="H112" s="244">
        <v>5</v>
      </c>
      <c r="I112" s="242">
        <v>0</v>
      </c>
      <c r="J112" s="242">
        <f>Table47[[#This Row],[ทดแทนจำนวน]]+Table47[[#This Row],[เพิ่มประสิทธิภาพจำนวน]]</f>
        <v>5</v>
      </c>
      <c r="K112" s="245">
        <v>268000</v>
      </c>
      <c r="L112" s="248"/>
    </row>
    <row r="113" spans="1:12">
      <c r="A113" s="246" t="s">
        <v>1420</v>
      </c>
      <c r="B113" s="244">
        <v>2569</v>
      </c>
      <c r="C113" s="241" t="s">
        <v>447</v>
      </c>
      <c r="D113" s="241" t="s">
        <v>31</v>
      </c>
      <c r="E113" s="244" t="s">
        <v>58</v>
      </c>
      <c r="F113" s="244" t="s">
        <v>59</v>
      </c>
      <c r="G113" s="244" t="s">
        <v>57</v>
      </c>
      <c r="H113" s="244">
        <v>1</v>
      </c>
      <c r="I113" s="242">
        <v>0</v>
      </c>
      <c r="J113" s="242">
        <f>Table47[[#This Row],[ทดแทนจำนวน]]+Table47[[#This Row],[เพิ่มประสิทธิภาพจำนวน]]</f>
        <v>1</v>
      </c>
      <c r="K113" s="245">
        <v>970900</v>
      </c>
      <c r="L113" s="248"/>
    </row>
    <row r="114" spans="1:12">
      <c r="A114" s="246" t="s">
        <v>1421</v>
      </c>
      <c r="B114" s="244">
        <v>2569</v>
      </c>
      <c r="C114" s="241" t="s">
        <v>447</v>
      </c>
      <c r="D114" s="241" t="s">
        <v>16</v>
      </c>
      <c r="E114" s="244" t="s">
        <v>61</v>
      </c>
      <c r="F114" s="244" t="s">
        <v>62</v>
      </c>
      <c r="G114" s="244" t="s">
        <v>60</v>
      </c>
      <c r="H114" s="244">
        <v>5</v>
      </c>
      <c r="I114" s="242">
        <v>0</v>
      </c>
      <c r="J114" s="242">
        <f>Table47[[#This Row],[ทดแทนจำนวน]]+Table47[[#This Row],[เพิ่มประสิทธิภาพจำนวน]]</f>
        <v>5</v>
      </c>
      <c r="K114" s="245">
        <v>204500</v>
      </c>
      <c r="L114" s="248"/>
    </row>
    <row r="115" spans="1:12">
      <c r="A115" s="246" t="s">
        <v>1422</v>
      </c>
      <c r="B115" s="244">
        <v>2569</v>
      </c>
      <c r="C115" s="241" t="s">
        <v>447</v>
      </c>
      <c r="D115" s="241" t="s">
        <v>31</v>
      </c>
      <c r="E115" s="244" t="s">
        <v>65</v>
      </c>
      <c r="F115" s="244" t="s">
        <v>66</v>
      </c>
      <c r="G115" s="244" t="s">
        <v>64</v>
      </c>
      <c r="H115" s="244">
        <v>2</v>
      </c>
      <c r="I115" s="242">
        <v>0</v>
      </c>
      <c r="J115" s="242">
        <f>Table47[[#This Row],[ทดแทนจำนวน]]+Table47[[#This Row],[เพิ่มประสิทธิภาพจำนวน]]</f>
        <v>2</v>
      </c>
      <c r="K115" s="245">
        <v>1836000</v>
      </c>
      <c r="L115" s="248"/>
    </row>
    <row r="116" spans="1:12">
      <c r="A116" s="246" t="s">
        <v>1423</v>
      </c>
      <c r="B116" s="244">
        <v>2569</v>
      </c>
      <c r="C116" s="241" t="s">
        <v>447</v>
      </c>
      <c r="D116" s="241" t="s">
        <v>31</v>
      </c>
      <c r="E116" s="244" t="s">
        <v>67</v>
      </c>
      <c r="F116" s="244" t="s">
        <v>68</v>
      </c>
      <c r="G116" s="244" t="s">
        <v>64</v>
      </c>
      <c r="H116" s="244">
        <v>1</v>
      </c>
      <c r="I116" s="242">
        <v>0</v>
      </c>
      <c r="J116" s="242">
        <f>Table47[[#This Row],[ทดแทนจำนวน]]+Table47[[#This Row],[เพิ่มประสิทธิภาพจำนวน]]</f>
        <v>1</v>
      </c>
      <c r="K116" s="245">
        <v>825000</v>
      </c>
      <c r="L116" s="248"/>
    </row>
    <row r="117" spans="1:12">
      <c r="A117" s="246" t="s">
        <v>1424</v>
      </c>
      <c r="B117" s="244">
        <v>2569</v>
      </c>
      <c r="C117" s="241" t="s">
        <v>447</v>
      </c>
      <c r="D117" s="241" t="s">
        <v>31</v>
      </c>
      <c r="E117" s="244" t="s">
        <v>65</v>
      </c>
      <c r="F117" s="244" t="s">
        <v>69</v>
      </c>
      <c r="G117" s="244" t="s">
        <v>64</v>
      </c>
      <c r="H117" s="244">
        <v>1</v>
      </c>
      <c r="I117" s="242">
        <v>0</v>
      </c>
      <c r="J117" s="242">
        <f>Table47[[#This Row],[ทดแทนจำนวน]]+Table47[[#This Row],[เพิ่มประสิทธิภาพจำนวน]]</f>
        <v>1</v>
      </c>
      <c r="K117" s="245">
        <v>918000</v>
      </c>
      <c r="L117" s="248"/>
    </row>
    <row r="118" spans="1:12">
      <c r="A118" s="246" t="s">
        <v>1425</v>
      </c>
      <c r="B118" s="244">
        <v>2569</v>
      </c>
      <c r="C118" s="241" t="s">
        <v>447</v>
      </c>
      <c r="D118" s="241" t="s">
        <v>31</v>
      </c>
      <c r="E118" s="244" t="s">
        <v>65</v>
      </c>
      <c r="F118" s="244" t="s">
        <v>70</v>
      </c>
      <c r="G118" s="244" t="s">
        <v>64</v>
      </c>
      <c r="H118" s="244">
        <v>1</v>
      </c>
      <c r="I118" s="242">
        <v>0</v>
      </c>
      <c r="J118" s="242">
        <f>Table47[[#This Row],[ทดแทนจำนวน]]+Table47[[#This Row],[เพิ่มประสิทธิภาพจำนวน]]</f>
        <v>1</v>
      </c>
      <c r="K118" s="245">
        <v>918000</v>
      </c>
      <c r="L118" s="248"/>
    </row>
    <row r="119" spans="1:12">
      <c r="A119" s="246" t="s">
        <v>1426</v>
      </c>
      <c r="B119" s="244">
        <v>2569</v>
      </c>
      <c r="C119" s="241" t="s">
        <v>447</v>
      </c>
      <c r="D119" s="241" t="s">
        <v>16</v>
      </c>
      <c r="E119" s="244" t="s">
        <v>71</v>
      </c>
      <c r="F119" s="244" t="s">
        <v>69</v>
      </c>
      <c r="G119" s="244" t="s">
        <v>64</v>
      </c>
      <c r="H119" s="244">
        <v>1</v>
      </c>
      <c r="I119" s="242">
        <v>0</v>
      </c>
      <c r="J119" s="242">
        <f>Table47[[#This Row],[ทดแทนจำนวน]]+Table47[[#This Row],[เพิ่มประสิทธิภาพจำนวน]]</f>
        <v>1</v>
      </c>
      <c r="K119" s="245">
        <v>63000</v>
      </c>
      <c r="L119" s="248"/>
    </row>
    <row r="120" spans="1:12">
      <c r="A120" s="246" t="s">
        <v>1427</v>
      </c>
      <c r="B120" s="244">
        <v>2569</v>
      </c>
      <c r="C120" s="241" t="s">
        <v>447</v>
      </c>
      <c r="D120" s="241" t="s">
        <v>16</v>
      </c>
      <c r="E120" s="244" t="s">
        <v>72</v>
      </c>
      <c r="F120" s="244" t="s">
        <v>66</v>
      </c>
      <c r="G120" s="244" t="s">
        <v>64</v>
      </c>
      <c r="H120" s="244">
        <v>1</v>
      </c>
      <c r="I120" s="242">
        <v>0</v>
      </c>
      <c r="J120" s="242">
        <f>Table47[[#This Row],[ทดแทนจำนวน]]+Table47[[#This Row],[เพิ่มประสิทธิภาพจำนวน]]</f>
        <v>1</v>
      </c>
      <c r="K120" s="245">
        <v>1375900</v>
      </c>
      <c r="L120" s="248"/>
    </row>
    <row r="121" spans="1:12">
      <c r="A121" s="246" t="s">
        <v>1428</v>
      </c>
      <c r="B121" s="244">
        <v>2569</v>
      </c>
      <c r="C121" s="241" t="s">
        <v>447</v>
      </c>
      <c r="D121" s="241" t="s">
        <v>73</v>
      </c>
      <c r="E121" s="244" t="s">
        <v>74</v>
      </c>
      <c r="F121" s="244" t="s">
        <v>66</v>
      </c>
      <c r="G121" s="244" t="s">
        <v>64</v>
      </c>
      <c r="H121" s="244">
        <v>2</v>
      </c>
      <c r="I121" s="242">
        <v>0</v>
      </c>
      <c r="J121" s="242">
        <f>Table47[[#This Row],[ทดแทนจำนวน]]+Table47[[#This Row],[เพิ่มประสิทธิภาพจำนวน]]</f>
        <v>2</v>
      </c>
      <c r="K121" s="245">
        <v>164000</v>
      </c>
      <c r="L121" s="248"/>
    </row>
    <row r="122" spans="1:12">
      <c r="A122" s="246" t="s">
        <v>1429</v>
      </c>
      <c r="B122" s="244">
        <v>2569</v>
      </c>
      <c r="C122" s="241" t="s">
        <v>447</v>
      </c>
      <c r="D122" s="241" t="s">
        <v>75</v>
      </c>
      <c r="E122" s="244" t="s">
        <v>76</v>
      </c>
      <c r="F122" s="244" t="s">
        <v>77</v>
      </c>
      <c r="G122" s="244" t="s">
        <v>64</v>
      </c>
      <c r="H122" s="244">
        <v>11</v>
      </c>
      <c r="I122" s="242">
        <v>0</v>
      </c>
      <c r="J122" s="242">
        <f>Table47[[#This Row],[ทดแทนจำนวน]]+Table47[[#This Row],[เพิ่มประสิทธิภาพจำนวน]]</f>
        <v>11</v>
      </c>
      <c r="K122" s="245">
        <v>715000</v>
      </c>
      <c r="L122" s="248"/>
    </row>
    <row r="123" spans="1:12">
      <c r="A123" s="246" t="s">
        <v>1430</v>
      </c>
      <c r="B123" s="244">
        <v>2569</v>
      </c>
      <c r="C123" s="241" t="s">
        <v>447</v>
      </c>
      <c r="D123" s="241" t="s">
        <v>75</v>
      </c>
      <c r="E123" s="244" t="s">
        <v>78</v>
      </c>
      <c r="F123" s="244" t="s">
        <v>77</v>
      </c>
      <c r="G123" s="244" t="s">
        <v>64</v>
      </c>
      <c r="H123" s="244">
        <v>1</v>
      </c>
      <c r="I123" s="242">
        <v>0</v>
      </c>
      <c r="J123" s="242">
        <f>Table47[[#This Row],[ทดแทนจำนวน]]+Table47[[#This Row],[เพิ่มประสิทธิภาพจำนวน]]</f>
        <v>1</v>
      </c>
      <c r="K123" s="245">
        <v>1000000</v>
      </c>
      <c r="L123" s="248"/>
    </row>
    <row r="124" spans="1:12">
      <c r="A124" s="246" t="s">
        <v>1431</v>
      </c>
      <c r="B124" s="244">
        <v>2569</v>
      </c>
      <c r="C124" s="241" t="s">
        <v>447</v>
      </c>
      <c r="D124" s="241" t="s">
        <v>75</v>
      </c>
      <c r="E124" s="244" t="s">
        <v>79</v>
      </c>
      <c r="F124" s="244" t="s">
        <v>77</v>
      </c>
      <c r="G124" s="244" t="s">
        <v>64</v>
      </c>
      <c r="H124" s="244">
        <v>7</v>
      </c>
      <c r="I124" s="242">
        <v>0</v>
      </c>
      <c r="J124" s="242">
        <f>Table47[[#This Row],[ทดแทนจำนวน]]+Table47[[#This Row],[เพิ่มประสิทธิภาพจำนวน]]</f>
        <v>7</v>
      </c>
      <c r="K124" s="245">
        <v>3150000</v>
      </c>
      <c r="L124" s="248"/>
    </row>
    <row r="125" spans="1:12">
      <c r="A125" s="246" t="s">
        <v>1432</v>
      </c>
      <c r="B125" s="244">
        <v>2569</v>
      </c>
      <c r="C125" s="241" t="s">
        <v>447</v>
      </c>
      <c r="D125" s="241" t="s">
        <v>75</v>
      </c>
      <c r="E125" s="244" t="s">
        <v>80</v>
      </c>
      <c r="F125" s="244" t="s">
        <v>77</v>
      </c>
      <c r="G125" s="244" t="s">
        <v>64</v>
      </c>
      <c r="H125" s="244">
        <v>48</v>
      </c>
      <c r="I125" s="242">
        <v>0</v>
      </c>
      <c r="J125" s="242">
        <f>Table47[[#This Row],[ทดแทนจำนวน]]+Table47[[#This Row],[เพิ่มประสิทธิภาพจำนวน]]</f>
        <v>48</v>
      </c>
      <c r="K125" s="245">
        <v>1008000</v>
      </c>
      <c r="L125" s="248"/>
    </row>
    <row r="126" spans="1:12">
      <c r="A126" s="246" t="s">
        <v>1433</v>
      </c>
      <c r="B126" s="244">
        <v>2569</v>
      </c>
      <c r="C126" s="241" t="s">
        <v>447</v>
      </c>
      <c r="D126" s="241" t="s">
        <v>75</v>
      </c>
      <c r="E126" s="244" t="s">
        <v>81</v>
      </c>
      <c r="F126" s="244" t="s">
        <v>77</v>
      </c>
      <c r="G126" s="244" t="s">
        <v>64</v>
      </c>
      <c r="H126" s="244">
        <v>31</v>
      </c>
      <c r="I126" s="242">
        <v>0</v>
      </c>
      <c r="J126" s="242">
        <f>Table47[[#This Row],[ทดแทนจำนวน]]+Table47[[#This Row],[เพิ่มประสิทธิภาพจำนวน]]</f>
        <v>31</v>
      </c>
      <c r="K126" s="245">
        <v>403000</v>
      </c>
      <c r="L126" s="248"/>
    </row>
    <row r="127" spans="1:12">
      <c r="A127" s="246" t="s">
        <v>1434</v>
      </c>
      <c r="B127" s="244">
        <v>2569</v>
      </c>
      <c r="C127" s="241" t="s">
        <v>447</v>
      </c>
      <c r="D127" s="241" t="s">
        <v>75</v>
      </c>
      <c r="E127" s="244" t="s">
        <v>82</v>
      </c>
      <c r="F127" s="244" t="s">
        <v>77</v>
      </c>
      <c r="G127" s="244" t="s">
        <v>64</v>
      </c>
      <c r="H127" s="244">
        <v>1</v>
      </c>
      <c r="I127" s="242">
        <v>0</v>
      </c>
      <c r="J127" s="242">
        <f>Table47[[#This Row],[ทดแทนจำนวน]]+Table47[[#This Row],[เพิ่มประสิทธิภาพจำนวน]]</f>
        <v>1</v>
      </c>
      <c r="K127" s="245">
        <v>35000</v>
      </c>
      <c r="L127" s="248"/>
    </row>
    <row r="128" spans="1:12">
      <c r="A128" s="246" t="s">
        <v>1435</v>
      </c>
      <c r="B128" s="244">
        <v>2569</v>
      </c>
      <c r="C128" s="241" t="s">
        <v>447</v>
      </c>
      <c r="D128" s="241" t="s">
        <v>75</v>
      </c>
      <c r="E128" s="244" t="s">
        <v>83</v>
      </c>
      <c r="F128" s="244" t="s">
        <v>77</v>
      </c>
      <c r="G128" s="244" t="s">
        <v>64</v>
      </c>
      <c r="H128" s="244">
        <v>11</v>
      </c>
      <c r="I128" s="242">
        <v>0</v>
      </c>
      <c r="J128" s="242">
        <f>Table47[[#This Row],[ทดแทนจำนวน]]+Table47[[#This Row],[เพิ่มประสิทธิภาพจำนวน]]</f>
        <v>11</v>
      </c>
      <c r="K128" s="245">
        <v>121000</v>
      </c>
      <c r="L128" s="248"/>
    </row>
    <row r="129" spans="1:12">
      <c r="A129" s="246" t="s">
        <v>1436</v>
      </c>
      <c r="B129" s="244">
        <v>2569</v>
      </c>
      <c r="C129" s="241" t="s">
        <v>447</v>
      </c>
      <c r="D129" s="241" t="s">
        <v>75</v>
      </c>
      <c r="E129" s="244" t="s">
        <v>84</v>
      </c>
      <c r="F129" s="244" t="s">
        <v>77</v>
      </c>
      <c r="G129" s="244" t="s">
        <v>64</v>
      </c>
      <c r="H129" s="244">
        <v>1</v>
      </c>
      <c r="I129" s="242">
        <v>0</v>
      </c>
      <c r="J129" s="242">
        <f>Table47[[#This Row],[ทดแทนจำนวน]]+Table47[[#This Row],[เพิ่มประสิทธิภาพจำนวน]]</f>
        <v>1</v>
      </c>
      <c r="K129" s="245">
        <v>1800000</v>
      </c>
      <c r="L129" s="248"/>
    </row>
    <row r="130" spans="1:12">
      <c r="A130" s="246" t="s">
        <v>1437</v>
      </c>
      <c r="B130" s="244">
        <v>2569</v>
      </c>
      <c r="C130" s="241" t="s">
        <v>447</v>
      </c>
      <c r="D130" s="241" t="s">
        <v>75</v>
      </c>
      <c r="E130" s="244" t="s">
        <v>85</v>
      </c>
      <c r="F130" s="244" t="s">
        <v>77</v>
      </c>
      <c r="G130" s="244" t="s">
        <v>64</v>
      </c>
      <c r="H130" s="244">
        <v>1</v>
      </c>
      <c r="I130" s="242">
        <v>0</v>
      </c>
      <c r="J130" s="242">
        <f>Table47[[#This Row],[ทดแทนจำนวน]]+Table47[[#This Row],[เพิ่มประสิทธิภาพจำนวน]]</f>
        <v>1</v>
      </c>
      <c r="K130" s="245">
        <v>1000000</v>
      </c>
      <c r="L130" s="248"/>
    </row>
    <row r="131" spans="1:12">
      <c r="A131" s="246" t="s">
        <v>1438</v>
      </c>
      <c r="B131" s="244">
        <v>2569</v>
      </c>
      <c r="C131" s="241" t="s">
        <v>447</v>
      </c>
      <c r="D131" s="241" t="s">
        <v>75</v>
      </c>
      <c r="E131" s="244" t="s">
        <v>86</v>
      </c>
      <c r="F131" s="244" t="s">
        <v>77</v>
      </c>
      <c r="G131" s="244" t="s">
        <v>64</v>
      </c>
      <c r="H131" s="244">
        <v>154</v>
      </c>
      <c r="I131" s="242">
        <v>0</v>
      </c>
      <c r="J131" s="242">
        <f>Table47[[#This Row],[ทดแทนจำนวน]]+Table47[[#This Row],[เพิ่มประสิทธิภาพจำนวน]]</f>
        <v>154</v>
      </c>
      <c r="K131" s="245">
        <v>4727800</v>
      </c>
      <c r="L131" s="248"/>
    </row>
    <row r="132" spans="1:12">
      <c r="A132" s="246" t="s">
        <v>1439</v>
      </c>
      <c r="B132" s="244">
        <v>2569</v>
      </c>
      <c r="C132" s="241" t="s">
        <v>447</v>
      </c>
      <c r="D132" s="241" t="s">
        <v>75</v>
      </c>
      <c r="E132" s="244" t="s">
        <v>87</v>
      </c>
      <c r="F132" s="244" t="s">
        <v>77</v>
      </c>
      <c r="G132" s="244" t="s">
        <v>64</v>
      </c>
      <c r="H132" s="244">
        <v>1</v>
      </c>
      <c r="I132" s="242">
        <v>0</v>
      </c>
      <c r="J132" s="242">
        <f>Table47[[#This Row],[ทดแทนจำนวน]]+Table47[[#This Row],[เพิ่มประสิทธิภาพจำนวน]]</f>
        <v>1</v>
      </c>
      <c r="K132" s="245">
        <v>38700</v>
      </c>
      <c r="L132" s="248"/>
    </row>
    <row r="133" spans="1:12">
      <c r="A133" s="246" t="s">
        <v>1440</v>
      </c>
      <c r="B133" s="244">
        <v>2569</v>
      </c>
      <c r="C133" s="241" t="s">
        <v>447</v>
      </c>
      <c r="D133" s="241" t="s">
        <v>75</v>
      </c>
      <c r="E133" s="244" t="s">
        <v>88</v>
      </c>
      <c r="F133" s="244" t="s">
        <v>77</v>
      </c>
      <c r="G133" s="244" t="s">
        <v>64</v>
      </c>
      <c r="H133" s="244">
        <v>1</v>
      </c>
      <c r="I133" s="242">
        <v>0</v>
      </c>
      <c r="J133" s="242">
        <f>Table47[[#This Row],[ทดแทนจำนวน]]+Table47[[#This Row],[เพิ่มประสิทธิภาพจำนวน]]</f>
        <v>1</v>
      </c>
      <c r="K133" s="245">
        <v>30700</v>
      </c>
      <c r="L133" s="248"/>
    </row>
    <row r="134" spans="1:12">
      <c r="A134" s="246" t="s">
        <v>1441</v>
      </c>
      <c r="B134" s="244">
        <v>2569</v>
      </c>
      <c r="C134" s="241" t="s">
        <v>447</v>
      </c>
      <c r="D134" s="241" t="s">
        <v>75</v>
      </c>
      <c r="E134" s="244" t="s">
        <v>89</v>
      </c>
      <c r="F134" s="244" t="s">
        <v>77</v>
      </c>
      <c r="G134" s="244" t="s">
        <v>64</v>
      </c>
      <c r="H134" s="244">
        <v>87</v>
      </c>
      <c r="I134" s="242">
        <v>0</v>
      </c>
      <c r="J134" s="242">
        <f>Table47[[#This Row],[ทดแทนจำนวน]]+Table47[[#This Row],[เพิ่มประสิทธิภาพจำนวน]]</f>
        <v>87</v>
      </c>
      <c r="K134" s="245">
        <v>2453400</v>
      </c>
      <c r="L134" s="248"/>
    </row>
    <row r="135" spans="1:12">
      <c r="A135" s="246" t="s">
        <v>1442</v>
      </c>
      <c r="B135" s="244">
        <v>2569</v>
      </c>
      <c r="C135" s="241" t="s">
        <v>447</v>
      </c>
      <c r="D135" s="241" t="s">
        <v>75</v>
      </c>
      <c r="E135" s="244" t="s">
        <v>90</v>
      </c>
      <c r="F135" s="244" t="s">
        <v>77</v>
      </c>
      <c r="G135" s="244" t="s">
        <v>64</v>
      </c>
      <c r="H135" s="244">
        <v>121</v>
      </c>
      <c r="I135" s="242">
        <v>0</v>
      </c>
      <c r="J135" s="242">
        <f>Table47[[#This Row],[ทดแทนจำนวน]]+Table47[[#This Row],[เพิ่มประสิทธิภาพจำนวน]]</f>
        <v>121</v>
      </c>
      <c r="K135" s="245">
        <v>1076900</v>
      </c>
      <c r="L135" s="248"/>
    </row>
    <row r="136" spans="1:12">
      <c r="A136" s="246" t="s">
        <v>1443</v>
      </c>
      <c r="B136" s="244">
        <v>2569</v>
      </c>
      <c r="C136" s="241" t="s">
        <v>447</v>
      </c>
      <c r="D136" s="241" t="s">
        <v>75</v>
      </c>
      <c r="E136" s="244" t="s">
        <v>91</v>
      </c>
      <c r="F136" s="244" t="s">
        <v>77</v>
      </c>
      <c r="G136" s="244" t="s">
        <v>64</v>
      </c>
      <c r="H136" s="244">
        <v>10</v>
      </c>
      <c r="I136" s="242">
        <v>0</v>
      </c>
      <c r="J136" s="242">
        <f>Table47[[#This Row],[ทดแทนจำนวน]]+Table47[[#This Row],[เพิ่มประสิทธิภาพจำนวน]]</f>
        <v>10</v>
      </c>
      <c r="K136" s="245">
        <v>110000</v>
      </c>
      <c r="L136" s="248"/>
    </row>
    <row r="137" spans="1:12">
      <c r="A137" s="246" t="s">
        <v>1444</v>
      </c>
      <c r="B137" s="244">
        <v>2569</v>
      </c>
      <c r="C137" s="241" t="s">
        <v>447</v>
      </c>
      <c r="D137" s="241" t="s">
        <v>75</v>
      </c>
      <c r="E137" s="244" t="s">
        <v>92</v>
      </c>
      <c r="F137" s="244" t="s">
        <v>77</v>
      </c>
      <c r="G137" s="244" t="s">
        <v>64</v>
      </c>
      <c r="H137" s="244">
        <v>2</v>
      </c>
      <c r="I137" s="242">
        <v>0</v>
      </c>
      <c r="J137" s="242">
        <f>Table47[[#This Row],[ทดแทนจำนวน]]+Table47[[#This Row],[เพิ่มประสิทธิภาพจำนวน]]</f>
        <v>2</v>
      </c>
      <c r="K137" s="245">
        <v>20000</v>
      </c>
      <c r="L137" s="248"/>
    </row>
    <row r="138" spans="1:12">
      <c r="A138" s="246" t="s">
        <v>1445</v>
      </c>
      <c r="B138" s="244">
        <v>2569</v>
      </c>
      <c r="C138" s="241" t="s">
        <v>447</v>
      </c>
      <c r="D138" s="241" t="s">
        <v>75</v>
      </c>
      <c r="E138" s="244" t="s">
        <v>93</v>
      </c>
      <c r="F138" s="244" t="s">
        <v>77</v>
      </c>
      <c r="G138" s="244" t="s">
        <v>64</v>
      </c>
      <c r="H138" s="244">
        <v>2</v>
      </c>
      <c r="I138" s="242">
        <v>0</v>
      </c>
      <c r="J138" s="242">
        <f>Table47[[#This Row],[ทดแทนจำนวน]]+Table47[[#This Row],[เพิ่มประสิทธิภาพจำนวน]]</f>
        <v>2</v>
      </c>
      <c r="K138" s="245">
        <v>32000</v>
      </c>
      <c r="L138" s="248"/>
    </row>
    <row r="139" spans="1:12">
      <c r="A139" s="246" t="s">
        <v>1446</v>
      </c>
      <c r="B139" s="244">
        <v>2569</v>
      </c>
      <c r="C139" s="241" t="s">
        <v>447</v>
      </c>
      <c r="D139" s="241" t="s">
        <v>75</v>
      </c>
      <c r="E139" s="244" t="s">
        <v>94</v>
      </c>
      <c r="F139" s="244" t="s">
        <v>77</v>
      </c>
      <c r="G139" s="244" t="s">
        <v>64</v>
      </c>
      <c r="H139" s="244">
        <v>80</v>
      </c>
      <c r="I139" s="242">
        <v>0</v>
      </c>
      <c r="J139" s="242">
        <f>Table47[[#This Row],[ทดแทนจำนวน]]+Table47[[#This Row],[เพิ่มประสิทธิภาพจำนวน]]</f>
        <v>80</v>
      </c>
      <c r="K139" s="245">
        <v>1280000</v>
      </c>
      <c r="L139" s="248"/>
    </row>
    <row r="140" spans="1:12">
      <c r="A140" s="246" t="s">
        <v>1447</v>
      </c>
      <c r="B140" s="244">
        <v>2569</v>
      </c>
      <c r="C140" s="241" t="s">
        <v>447</v>
      </c>
      <c r="D140" s="241" t="s">
        <v>75</v>
      </c>
      <c r="E140" s="244" t="s">
        <v>95</v>
      </c>
      <c r="F140" s="244" t="s">
        <v>77</v>
      </c>
      <c r="G140" s="244" t="s">
        <v>64</v>
      </c>
      <c r="H140" s="244">
        <v>243</v>
      </c>
      <c r="I140" s="242">
        <v>0</v>
      </c>
      <c r="J140" s="242">
        <f>Table47[[#This Row],[ทดแทนจำนวน]]+Table47[[#This Row],[เพิ่มประสิทธิภาพจำนวน]]</f>
        <v>243</v>
      </c>
      <c r="K140" s="245">
        <v>1093500</v>
      </c>
      <c r="L140" s="248"/>
    </row>
    <row r="141" spans="1:12">
      <c r="A141" s="246" t="s">
        <v>1448</v>
      </c>
      <c r="B141" s="244">
        <v>2569</v>
      </c>
      <c r="C141" s="241" t="s">
        <v>447</v>
      </c>
      <c r="D141" s="241" t="s">
        <v>75</v>
      </c>
      <c r="E141" s="244" t="s">
        <v>96</v>
      </c>
      <c r="F141" s="244" t="s">
        <v>77</v>
      </c>
      <c r="G141" s="244" t="s">
        <v>64</v>
      </c>
      <c r="H141" s="244">
        <v>76</v>
      </c>
      <c r="I141" s="242">
        <v>0</v>
      </c>
      <c r="J141" s="242">
        <f>Table47[[#This Row],[ทดแทนจำนวน]]+Table47[[#This Row],[เพิ่มประสิทธิภาพจำนวน]]</f>
        <v>76</v>
      </c>
      <c r="K141" s="245">
        <v>1976000</v>
      </c>
      <c r="L141" s="248"/>
    </row>
    <row r="142" spans="1:12">
      <c r="A142" s="246" t="s">
        <v>1449</v>
      </c>
      <c r="B142" s="244">
        <v>2569</v>
      </c>
      <c r="C142" s="241" t="s">
        <v>447</v>
      </c>
      <c r="D142" s="241" t="s">
        <v>75</v>
      </c>
      <c r="E142" s="244" t="s">
        <v>97</v>
      </c>
      <c r="F142" s="244" t="s">
        <v>77</v>
      </c>
      <c r="G142" s="244" t="s">
        <v>64</v>
      </c>
      <c r="H142" s="244">
        <v>76</v>
      </c>
      <c r="I142" s="242">
        <v>0</v>
      </c>
      <c r="J142" s="242">
        <f>Table47[[#This Row],[ทดแทนจำนวน]]+Table47[[#This Row],[เพิ่มประสิทธิภาพจำนวน]]</f>
        <v>76</v>
      </c>
      <c r="K142" s="245">
        <v>1672000</v>
      </c>
      <c r="L142" s="248"/>
    </row>
    <row r="143" spans="1:12">
      <c r="A143" s="246" t="s">
        <v>1450</v>
      </c>
      <c r="B143" s="244">
        <v>2569</v>
      </c>
      <c r="C143" s="241" t="s">
        <v>447</v>
      </c>
      <c r="D143" s="241" t="s">
        <v>75</v>
      </c>
      <c r="E143" s="244" t="s">
        <v>98</v>
      </c>
      <c r="F143" s="244" t="s">
        <v>77</v>
      </c>
      <c r="G143" s="244" t="s">
        <v>64</v>
      </c>
      <c r="H143" s="244">
        <v>1</v>
      </c>
      <c r="I143" s="242">
        <v>0</v>
      </c>
      <c r="J143" s="242">
        <f>Table47[[#This Row],[ทดแทนจำนวน]]+Table47[[#This Row],[เพิ่มประสิทธิภาพจำนวน]]</f>
        <v>1</v>
      </c>
      <c r="K143" s="245">
        <v>4500000</v>
      </c>
      <c r="L143" s="248"/>
    </row>
    <row r="144" spans="1:12">
      <c r="A144" s="246" t="s">
        <v>1451</v>
      </c>
      <c r="B144" s="244">
        <v>2569</v>
      </c>
      <c r="C144" s="241" t="s">
        <v>447</v>
      </c>
      <c r="D144" s="241" t="s">
        <v>75</v>
      </c>
      <c r="E144" s="244" t="s">
        <v>99</v>
      </c>
      <c r="F144" s="244" t="s">
        <v>70</v>
      </c>
      <c r="G144" s="244" t="s">
        <v>64</v>
      </c>
      <c r="H144" s="244">
        <v>1</v>
      </c>
      <c r="I144" s="242">
        <v>0</v>
      </c>
      <c r="J144" s="242">
        <f>Table47[[#This Row],[ทดแทนจำนวน]]+Table47[[#This Row],[เพิ่มประสิทธิภาพจำนวน]]</f>
        <v>1</v>
      </c>
      <c r="K144" s="245">
        <v>2500000</v>
      </c>
      <c r="L144" s="248"/>
    </row>
    <row r="145" spans="1:12">
      <c r="A145" s="246" t="s">
        <v>1452</v>
      </c>
      <c r="B145" s="244">
        <v>2569</v>
      </c>
      <c r="C145" s="241" t="s">
        <v>447</v>
      </c>
      <c r="D145" s="241" t="s">
        <v>75</v>
      </c>
      <c r="E145" s="244" t="s">
        <v>100</v>
      </c>
      <c r="F145" s="244" t="s">
        <v>77</v>
      </c>
      <c r="G145" s="244" t="s">
        <v>64</v>
      </c>
      <c r="H145" s="244">
        <v>1</v>
      </c>
      <c r="I145" s="242">
        <v>0</v>
      </c>
      <c r="J145" s="242">
        <f>Table47[[#This Row],[ทดแทนจำนวน]]+Table47[[#This Row],[เพิ่มประสิทธิภาพจำนวน]]</f>
        <v>1</v>
      </c>
      <c r="K145" s="245">
        <v>40000000</v>
      </c>
      <c r="L145" s="248"/>
    </row>
    <row r="146" spans="1:12">
      <c r="A146" s="246" t="s">
        <v>1453</v>
      </c>
      <c r="B146" s="244">
        <v>2569</v>
      </c>
      <c r="C146" s="241" t="s">
        <v>447</v>
      </c>
      <c r="D146" s="241" t="s">
        <v>75</v>
      </c>
      <c r="E146" s="244" t="s">
        <v>101</v>
      </c>
      <c r="F146" s="244" t="s">
        <v>77</v>
      </c>
      <c r="G146" s="244" t="s">
        <v>64</v>
      </c>
      <c r="H146" s="244">
        <v>1</v>
      </c>
      <c r="I146" s="242">
        <v>0</v>
      </c>
      <c r="J146" s="242">
        <f>Table47[[#This Row],[ทดแทนจำนวน]]+Table47[[#This Row],[เพิ่มประสิทธิภาพจำนวน]]</f>
        <v>1</v>
      </c>
      <c r="K146" s="245">
        <v>97000000</v>
      </c>
      <c r="L146" s="248"/>
    </row>
    <row r="147" spans="1:12">
      <c r="A147" s="246" t="s">
        <v>1454</v>
      </c>
      <c r="B147" s="244">
        <v>2569</v>
      </c>
      <c r="C147" s="241" t="s">
        <v>447</v>
      </c>
      <c r="D147" s="241" t="s">
        <v>75</v>
      </c>
      <c r="E147" s="244" t="s">
        <v>102</v>
      </c>
      <c r="F147" s="244" t="s">
        <v>69</v>
      </c>
      <c r="G147" s="244" t="s">
        <v>64</v>
      </c>
      <c r="H147" s="244">
        <v>1</v>
      </c>
      <c r="I147" s="242">
        <v>0</v>
      </c>
      <c r="J147" s="242">
        <f>Table47[[#This Row],[ทดแทนจำนวน]]+Table47[[#This Row],[เพิ่มประสิทธิภาพจำนวน]]</f>
        <v>1</v>
      </c>
      <c r="K147" s="245">
        <v>15000000</v>
      </c>
      <c r="L147" s="248"/>
    </row>
    <row r="148" spans="1:12">
      <c r="A148" s="246" t="s">
        <v>1455</v>
      </c>
      <c r="B148" s="244">
        <v>2569</v>
      </c>
      <c r="C148" s="241" t="s">
        <v>447</v>
      </c>
      <c r="D148" s="241" t="s">
        <v>104</v>
      </c>
      <c r="E148" s="244" t="s">
        <v>105</v>
      </c>
      <c r="F148" s="244" t="s">
        <v>106</v>
      </c>
      <c r="G148" s="244" t="s">
        <v>103</v>
      </c>
      <c r="H148" s="244">
        <v>1</v>
      </c>
      <c r="I148" s="242">
        <v>0</v>
      </c>
      <c r="J148" s="242">
        <f>Table47[[#This Row],[ทดแทนจำนวน]]+Table47[[#This Row],[เพิ่มประสิทธิภาพจำนวน]]</f>
        <v>1</v>
      </c>
      <c r="K148" s="245">
        <v>730400</v>
      </c>
      <c r="L148" s="248"/>
    </row>
    <row r="149" spans="1:12">
      <c r="A149" s="246" t="s">
        <v>1456</v>
      </c>
      <c r="B149" s="244">
        <v>2569</v>
      </c>
      <c r="C149" s="241" t="s">
        <v>447</v>
      </c>
      <c r="D149" s="241" t="s">
        <v>16</v>
      </c>
      <c r="E149" s="244" t="s">
        <v>108</v>
      </c>
      <c r="F149" s="244" t="s">
        <v>109</v>
      </c>
      <c r="G149" s="244" t="s">
        <v>107</v>
      </c>
      <c r="H149" s="244">
        <v>1</v>
      </c>
      <c r="I149" s="242">
        <v>0</v>
      </c>
      <c r="J149" s="242">
        <f>Table47[[#This Row],[ทดแทนจำนวน]]+Table47[[#This Row],[เพิ่มประสิทธิภาพจำนวน]]</f>
        <v>1</v>
      </c>
      <c r="K149" s="245">
        <v>67000</v>
      </c>
      <c r="L149" s="248"/>
    </row>
    <row r="150" spans="1:12">
      <c r="A150" s="246" t="s">
        <v>1457</v>
      </c>
      <c r="B150" s="244">
        <v>2569</v>
      </c>
      <c r="C150" s="241" t="s">
        <v>447</v>
      </c>
      <c r="D150" s="241" t="s">
        <v>31</v>
      </c>
      <c r="E150" s="244" t="s">
        <v>111</v>
      </c>
      <c r="F150" s="244" t="s">
        <v>112</v>
      </c>
      <c r="G150" s="244" t="s">
        <v>110</v>
      </c>
      <c r="H150" s="244">
        <v>1</v>
      </c>
      <c r="I150" s="242">
        <v>0</v>
      </c>
      <c r="J150" s="242">
        <f>Table47[[#This Row],[ทดแทนจำนวน]]+Table47[[#This Row],[เพิ่มประสิทธิภาพจำนวน]]</f>
        <v>1</v>
      </c>
      <c r="K150" s="245">
        <v>1369000</v>
      </c>
      <c r="L150" s="248"/>
    </row>
    <row r="151" spans="1:12">
      <c r="A151" s="246" t="s">
        <v>1458</v>
      </c>
      <c r="B151" s="244">
        <v>2569</v>
      </c>
      <c r="C151" s="241" t="s">
        <v>447</v>
      </c>
      <c r="D151" s="241" t="s">
        <v>19</v>
      </c>
      <c r="E151" s="244" t="s">
        <v>113</v>
      </c>
      <c r="F151" s="244" t="s">
        <v>114</v>
      </c>
      <c r="G151" s="244" t="s">
        <v>110</v>
      </c>
      <c r="H151" s="244">
        <v>2</v>
      </c>
      <c r="I151" s="242">
        <v>0</v>
      </c>
      <c r="J151" s="242">
        <f>Table47[[#This Row],[ทดแทนจำนวน]]+Table47[[#This Row],[เพิ่มประสิทธิภาพจำนวน]]</f>
        <v>2</v>
      </c>
      <c r="K151" s="245">
        <v>120200</v>
      </c>
      <c r="L151" s="248"/>
    </row>
    <row r="152" spans="1:12">
      <c r="A152" s="246" t="s">
        <v>1459</v>
      </c>
      <c r="B152" s="244">
        <v>2569</v>
      </c>
      <c r="C152" s="241" t="s">
        <v>447</v>
      </c>
      <c r="D152" s="241" t="s">
        <v>104</v>
      </c>
      <c r="E152" s="244" t="s">
        <v>115</v>
      </c>
      <c r="F152" s="244" t="s">
        <v>114</v>
      </c>
      <c r="G152" s="244" t="s">
        <v>110</v>
      </c>
      <c r="H152" s="244">
        <v>1</v>
      </c>
      <c r="I152" s="242">
        <v>0</v>
      </c>
      <c r="J152" s="242">
        <f>Table47[[#This Row],[ทดแทนจำนวน]]+Table47[[#This Row],[เพิ่มประสิทธิภาพจำนวน]]</f>
        <v>1</v>
      </c>
      <c r="K152" s="245">
        <v>396100</v>
      </c>
      <c r="L152" s="248"/>
    </row>
    <row r="153" spans="1:12">
      <c r="A153" s="246" t="s">
        <v>1460</v>
      </c>
      <c r="B153" s="244">
        <v>2569</v>
      </c>
      <c r="C153" s="241" t="s">
        <v>447</v>
      </c>
      <c r="D153" s="241" t="s">
        <v>16</v>
      </c>
      <c r="E153" s="244" t="s">
        <v>116</v>
      </c>
      <c r="F153" s="244" t="s">
        <v>117</v>
      </c>
      <c r="G153" s="244" t="s">
        <v>110</v>
      </c>
      <c r="H153" s="244">
        <v>4</v>
      </c>
      <c r="I153" s="242">
        <v>0</v>
      </c>
      <c r="J153" s="242">
        <f>Table47[[#This Row],[ทดแทนจำนวน]]+Table47[[#This Row],[เพิ่มประสิทธิภาพจำนวน]]</f>
        <v>4</v>
      </c>
      <c r="K153" s="245">
        <v>182000</v>
      </c>
      <c r="L153" s="248"/>
    </row>
    <row r="154" spans="1:12">
      <c r="A154" s="246" t="s">
        <v>1461</v>
      </c>
      <c r="B154" s="244">
        <v>2569</v>
      </c>
      <c r="C154" s="241" t="s">
        <v>447</v>
      </c>
      <c r="D154" s="241" t="s">
        <v>16</v>
      </c>
      <c r="E154" s="244" t="s">
        <v>118</v>
      </c>
      <c r="F154" s="244" t="s">
        <v>117</v>
      </c>
      <c r="G154" s="244" t="s">
        <v>110</v>
      </c>
      <c r="H154" s="244">
        <v>7</v>
      </c>
      <c r="I154" s="242">
        <v>0</v>
      </c>
      <c r="J154" s="242">
        <f>Table47[[#This Row],[ทดแทนจำนวน]]+Table47[[#This Row],[เพิ่มประสิทธิภาพจำนวน]]</f>
        <v>7</v>
      </c>
      <c r="K154" s="245">
        <v>225400</v>
      </c>
      <c r="L154" s="248"/>
    </row>
    <row r="155" spans="1:12">
      <c r="A155" s="246" t="s">
        <v>1462</v>
      </c>
      <c r="B155" s="244">
        <v>2569</v>
      </c>
      <c r="C155" s="241" t="s">
        <v>447</v>
      </c>
      <c r="D155" s="241" t="s">
        <v>31</v>
      </c>
      <c r="E155" s="244" t="s">
        <v>120</v>
      </c>
      <c r="F155" s="244" t="s">
        <v>121</v>
      </c>
      <c r="G155" s="244" t="s">
        <v>119</v>
      </c>
      <c r="H155" s="244">
        <v>1</v>
      </c>
      <c r="I155" s="242">
        <v>0</v>
      </c>
      <c r="J155" s="242">
        <f>Table47[[#This Row],[ทดแทนจำนวน]]+Table47[[#This Row],[เพิ่มประสิทธิภาพจำนวน]]</f>
        <v>1</v>
      </c>
      <c r="K155" s="245">
        <v>970900</v>
      </c>
      <c r="L155" s="248"/>
    </row>
    <row r="156" spans="1:12">
      <c r="A156" s="246" t="s">
        <v>1463</v>
      </c>
      <c r="B156" s="244">
        <v>2569</v>
      </c>
      <c r="C156" s="241" t="s">
        <v>447</v>
      </c>
      <c r="D156" s="241" t="s">
        <v>16</v>
      </c>
      <c r="E156" s="244" t="s">
        <v>123</v>
      </c>
      <c r="F156" s="244" t="s">
        <v>124</v>
      </c>
      <c r="G156" s="244" t="s">
        <v>122</v>
      </c>
      <c r="H156" s="244">
        <v>2</v>
      </c>
      <c r="I156" s="242">
        <v>0</v>
      </c>
      <c r="J156" s="242">
        <f>Table47[[#This Row],[ทดแทนจำนวน]]+Table47[[#This Row],[เพิ่มประสิทธิภาพจำนวน]]</f>
        <v>2</v>
      </c>
      <c r="K156" s="245">
        <v>61800</v>
      </c>
      <c r="L156" s="248"/>
    </row>
    <row r="157" spans="1:12">
      <c r="A157" s="246" t="s">
        <v>1464</v>
      </c>
      <c r="B157" s="244">
        <v>2569</v>
      </c>
      <c r="C157" s="241" t="s">
        <v>447</v>
      </c>
      <c r="D157" s="241" t="s">
        <v>16</v>
      </c>
      <c r="E157" s="244" t="s">
        <v>125</v>
      </c>
      <c r="F157" s="244" t="s">
        <v>124</v>
      </c>
      <c r="G157" s="244" t="s">
        <v>122</v>
      </c>
      <c r="H157" s="244">
        <v>4</v>
      </c>
      <c r="I157" s="242">
        <v>0</v>
      </c>
      <c r="J157" s="242">
        <f>Table47[[#This Row],[ทดแทนจำนวน]]+Table47[[#This Row],[เพิ่มประสิทธิภาพจำนวน]]</f>
        <v>4</v>
      </c>
      <c r="K157" s="245">
        <v>214400</v>
      </c>
      <c r="L157" s="248"/>
    </row>
    <row r="158" spans="1:12">
      <c r="A158" s="246" t="s">
        <v>1465</v>
      </c>
      <c r="B158" s="244">
        <v>2569</v>
      </c>
      <c r="C158" s="241" t="s">
        <v>447</v>
      </c>
      <c r="D158" s="241" t="s">
        <v>16</v>
      </c>
      <c r="E158" s="244" t="s">
        <v>127</v>
      </c>
      <c r="F158" s="244" t="s">
        <v>128</v>
      </c>
      <c r="G158" s="244" t="s">
        <v>126</v>
      </c>
      <c r="H158" s="244">
        <v>2</v>
      </c>
      <c r="I158" s="242">
        <v>0</v>
      </c>
      <c r="J158" s="242">
        <f>Table47[[#This Row],[ทดแทนจำนวน]]+Table47[[#This Row],[เพิ่มประสิทธิภาพจำนวน]]</f>
        <v>2</v>
      </c>
      <c r="K158" s="245">
        <v>61800</v>
      </c>
      <c r="L158" s="248"/>
    </row>
    <row r="159" spans="1:12">
      <c r="A159" s="246" t="s">
        <v>1467</v>
      </c>
      <c r="B159" s="244">
        <v>2569</v>
      </c>
      <c r="C159" s="241" t="s">
        <v>447</v>
      </c>
      <c r="D159" s="241" t="s">
        <v>16</v>
      </c>
      <c r="E159" s="244" t="s">
        <v>129</v>
      </c>
      <c r="F159" s="244" t="s">
        <v>128</v>
      </c>
      <c r="G159" s="244" t="s">
        <v>126</v>
      </c>
      <c r="H159" s="244">
        <v>6</v>
      </c>
      <c r="I159" s="242">
        <v>0</v>
      </c>
      <c r="J159" s="242">
        <f>Table47[[#This Row],[ทดแทนจำนวน]]+Table47[[#This Row],[เพิ่มประสิทธิภาพจำนวน]]</f>
        <v>6</v>
      </c>
      <c r="K159" s="245">
        <v>321600</v>
      </c>
      <c r="L159" s="248"/>
    </row>
    <row r="160" spans="1:12">
      <c r="A160" s="246" t="s">
        <v>1468</v>
      </c>
      <c r="B160" s="244">
        <v>2569</v>
      </c>
      <c r="C160" s="241" t="s">
        <v>447</v>
      </c>
      <c r="D160" s="241" t="s">
        <v>16</v>
      </c>
      <c r="E160" s="244" t="s">
        <v>131</v>
      </c>
      <c r="F160" s="244" t="s">
        <v>132</v>
      </c>
      <c r="G160" s="244" t="s">
        <v>130</v>
      </c>
      <c r="H160" s="244">
        <v>5</v>
      </c>
      <c r="I160" s="242">
        <v>0</v>
      </c>
      <c r="J160" s="242">
        <f>Table47[[#This Row],[ทดแทนจำนวน]]+Table47[[#This Row],[เพิ่มประสิทธิภาพจำนวน]]</f>
        <v>5</v>
      </c>
      <c r="K160" s="245">
        <v>292500</v>
      </c>
      <c r="L160" s="248"/>
    </row>
    <row r="161" spans="1:12">
      <c r="A161" s="246" t="s">
        <v>1469</v>
      </c>
      <c r="B161" s="244">
        <v>2569</v>
      </c>
      <c r="C161" s="241" t="s">
        <v>447</v>
      </c>
      <c r="D161" s="241" t="s">
        <v>16</v>
      </c>
      <c r="E161" s="244" t="s">
        <v>134</v>
      </c>
      <c r="F161" s="244" t="s">
        <v>135</v>
      </c>
      <c r="G161" s="244" t="s">
        <v>133</v>
      </c>
      <c r="H161" s="244">
        <v>1</v>
      </c>
      <c r="I161" s="242">
        <v>0</v>
      </c>
      <c r="J161" s="242">
        <f>Table47[[#This Row],[ทดแทนจำนวน]]+Table47[[#This Row],[เพิ่มประสิทธิภาพจำนวน]]</f>
        <v>1</v>
      </c>
      <c r="K161" s="245">
        <v>58500</v>
      </c>
      <c r="L161" s="248"/>
    </row>
    <row r="162" spans="1:12">
      <c r="A162" s="246" t="s">
        <v>1470</v>
      </c>
      <c r="B162" s="244">
        <v>2569</v>
      </c>
      <c r="C162" s="241" t="s">
        <v>447</v>
      </c>
      <c r="D162" s="241" t="s">
        <v>31</v>
      </c>
      <c r="E162" s="244" t="s">
        <v>137</v>
      </c>
      <c r="F162" s="244" t="s">
        <v>138</v>
      </c>
      <c r="G162" s="244" t="s">
        <v>136</v>
      </c>
      <c r="H162" s="244">
        <v>1</v>
      </c>
      <c r="I162" s="242">
        <v>0</v>
      </c>
      <c r="J162" s="242">
        <f>Table47[[#This Row],[ทดแทนจำนวน]]+Table47[[#This Row],[เพิ่มประสิทธิภาพจำนวน]]</f>
        <v>1</v>
      </c>
      <c r="K162" s="245">
        <v>1369000</v>
      </c>
      <c r="L162" s="248"/>
    </row>
    <row r="163" spans="1:12">
      <c r="A163" s="246" t="s">
        <v>1471</v>
      </c>
      <c r="B163" s="244">
        <v>2569</v>
      </c>
      <c r="C163" s="241" t="s">
        <v>447</v>
      </c>
      <c r="D163" s="241" t="s">
        <v>31</v>
      </c>
      <c r="E163" s="244" t="s">
        <v>140</v>
      </c>
      <c r="F163" s="244" t="s">
        <v>141</v>
      </c>
      <c r="G163" s="244" t="s">
        <v>139</v>
      </c>
      <c r="H163" s="244">
        <v>1</v>
      </c>
      <c r="I163" s="242">
        <v>0</v>
      </c>
      <c r="J163" s="242">
        <f>Table47[[#This Row],[ทดแทนจำนวน]]+Table47[[#This Row],[เพิ่มประสิทธิภาพจำนวน]]</f>
        <v>1</v>
      </c>
      <c r="K163" s="245">
        <v>970900</v>
      </c>
      <c r="L163" s="248"/>
    </row>
    <row r="164" spans="1:12">
      <c r="A164" s="246" t="s">
        <v>1472</v>
      </c>
      <c r="B164" s="244">
        <v>2569</v>
      </c>
      <c r="C164" s="241" t="s">
        <v>447</v>
      </c>
      <c r="D164" s="241" t="s">
        <v>16</v>
      </c>
      <c r="E164" s="244" t="s">
        <v>142</v>
      </c>
      <c r="F164" s="244" t="s">
        <v>141</v>
      </c>
      <c r="G164" s="244" t="s">
        <v>139</v>
      </c>
      <c r="H164" s="244">
        <v>1</v>
      </c>
      <c r="I164" s="242">
        <v>0</v>
      </c>
      <c r="J164" s="242">
        <f>Table47[[#This Row],[ทดแทนจำนวน]]+Table47[[#This Row],[เพิ่มประสิทธิภาพจำนวน]]</f>
        <v>1</v>
      </c>
      <c r="K164" s="245">
        <v>40900</v>
      </c>
      <c r="L164" s="248"/>
    </row>
    <row r="165" spans="1:12">
      <c r="A165" s="246" t="s">
        <v>1473</v>
      </c>
      <c r="B165" s="244">
        <v>2569</v>
      </c>
      <c r="C165" s="241" t="s">
        <v>447</v>
      </c>
      <c r="D165" s="241" t="s">
        <v>31</v>
      </c>
      <c r="E165" s="244" t="s">
        <v>144</v>
      </c>
      <c r="F165" s="244" t="s">
        <v>145</v>
      </c>
      <c r="G165" s="244" t="s">
        <v>143</v>
      </c>
      <c r="H165" s="244">
        <v>1</v>
      </c>
      <c r="I165" s="242">
        <v>0</v>
      </c>
      <c r="J165" s="242">
        <f>Table47[[#This Row],[ทดแทนจำนวน]]+Table47[[#This Row],[เพิ่มประสิทธิภาพจำนวน]]</f>
        <v>1</v>
      </c>
      <c r="K165" s="245">
        <v>1207900</v>
      </c>
      <c r="L165" s="248"/>
    </row>
    <row r="166" spans="1:12">
      <c r="A166" s="246" t="s">
        <v>1474</v>
      </c>
      <c r="B166" s="244">
        <v>2569</v>
      </c>
      <c r="C166" s="241" t="s">
        <v>447</v>
      </c>
      <c r="D166" s="241" t="s">
        <v>31</v>
      </c>
      <c r="E166" s="244" t="s">
        <v>147</v>
      </c>
      <c r="F166" s="244" t="s">
        <v>148</v>
      </c>
      <c r="G166" s="244" t="s">
        <v>146</v>
      </c>
      <c r="H166" s="244">
        <v>1</v>
      </c>
      <c r="I166" s="242">
        <v>0</v>
      </c>
      <c r="J166" s="242">
        <f>Table47[[#This Row],[ทดแทนจำนวน]]+Table47[[#This Row],[เพิ่มประสิทธิภาพจำนวน]]</f>
        <v>1</v>
      </c>
      <c r="K166" s="245">
        <v>970900</v>
      </c>
      <c r="L166" s="248"/>
    </row>
    <row r="167" spans="1:12">
      <c r="A167" s="246" t="s">
        <v>1475</v>
      </c>
      <c r="B167" s="244">
        <v>2569</v>
      </c>
      <c r="C167" s="241" t="s">
        <v>447</v>
      </c>
      <c r="D167" s="241" t="s">
        <v>31</v>
      </c>
      <c r="E167" s="244" t="s">
        <v>151</v>
      </c>
      <c r="F167" s="244" t="s">
        <v>152</v>
      </c>
      <c r="G167" s="244" t="s">
        <v>150</v>
      </c>
      <c r="H167" s="244">
        <v>1</v>
      </c>
      <c r="I167" s="242">
        <v>0</v>
      </c>
      <c r="J167" s="242">
        <f>Table47[[#This Row],[ทดแทนจำนวน]]+Table47[[#This Row],[เพิ่มประสิทธิภาพจำนวน]]</f>
        <v>1</v>
      </c>
      <c r="K167" s="245">
        <v>1369000</v>
      </c>
      <c r="L167" s="248"/>
    </row>
    <row r="168" spans="1:12">
      <c r="A168" s="246" t="s">
        <v>1476</v>
      </c>
      <c r="B168" s="244">
        <v>2569</v>
      </c>
      <c r="C168" s="241" t="s">
        <v>447</v>
      </c>
      <c r="D168" s="241" t="s">
        <v>16</v>
      </c>
      <c r="E168" s="244" t="s">
        <v>153</v>
      </c>
      <c r="F168" s="244" t="s">
        <v>152</v>
      </c>
      <c r="G168" s="244" t="s">
        <v>150</v>
      </c>
      <c r="H168" s="244">
        <v>5</v>
      </c>
      <c r="I168" s="242">
        <v>0</v>
      </c>
      <c r="J168" s="242">
        <f>Table47[[#This Row],[ทดแทนจำนวน]]+Table47[[#This Row],[เพิ่มประสิทธิภาพจำนวน]]</f>
        <v>5</v>
      </c>
      <c r="K168" s="245">
        <v>268000</v>
      </c>
      <c r="L168" s="248"/>
    </row>
    <row r="169" spans="1:12">
      <c r="A169" s="246" t="s">
        <v>1477</v>
      </c>
      <c r="B169" s="244">
        <v>2569</v>
      </c>
      <c r="C169" s="241" t="s">
        <v>447</v>
      </c>
      <c r="D169" s="241" t="s">
        <v>31</v>
      </c>
      <c r="E169" s="244" t="s">
        <v>155</v>
      </c>
      <c r="F169" s="244" t="s">
        <v>156</v>
      </c>
      <c r="G169" s="244" t="s">
        <v>154</v>
      </c>
      <c r="H169" s="244">
        <v>1</v>
      </c>
      <c r="I169" s="242">
        <v>0</v>
      </c>
      <c r="J169" s="242">
        <f>Table47[[#This Row],[ทดแทนจำนวน]]+Table47[[#This Row],[เพิ่มประสิทธิภาพจำนวน]]</f>
        <v>1</v>
      </c>
      <c r="K169" s="245">
        <v>1207900</v>
      </c>
      <c r="L169" s="248"/>
    </row>
    <row r="170" spans="1:12">
      <c r="A170" s="246" t="s">
        <v>1478</v>
      </c>
      <c r="B170" s="244">
        <v>2569</v>
      </c>
      <c r="C170" s="241" t="s">
        <v>447</v>
      </c>
      <c r="D170" s="241" t="s">
        <v>31</v>
      </c>
      <c r="E170" s="244" t="s">
        <v>158</v>
      </c>
      <c r="F170" s="244" t="s">
        <v>159</v>
      </c>
      <c r="G170" s="244" t="s">
        <v>157</v>
      </c>
      <c r="H170" s="244">
        <v>1</v>
      </c>
      <c r="I170" s="242">
        <v>0</v>
      </c>
      <c r="J170" s="242">
        <f>Table47[[#This Row],[ทดแทนจำนวน]]+Table47[[#This Row],[เพิ่มประสิทธิภาพจำนวน]]</f>
        <v>1</v>
      </c>
      <c r="K170" s="245">
        <v>1207900</v>
      </c>
      <c r="L170" s="248"/>
    </row>
    <row r="171" spans="1:12">
      <c r="A171" s="246" t="s">
        <v>1479</v>
      </c>
      <c r="B171" s="244">
        <v>2569</v>
      </c>
      <c r="C171" s="241" t="s">
        <v>447</v>
      </c>
      <c r="D171" s="241" t="s">
        <v>16</v>
      </c>
      <c r="E171" s="244" t="s">
        <v>161</v>
      </c>
      <c r="F171" s="244" t="s">
        <v>162</v>
      </c>
      <c r="G171" s="244" t="s">
        <v>160</v>
      </c>
      <c r="H171" s="244">
        <v>3</v>
      </c>
      <c r="I171" s="242">
        <v>0</v>
      </c>
      <c r="J171" s="242">
        <f>Table47[[#This Row],[ทดแทนจำนวน]]+Table47[[#This Row],[เพิ่มประสิทธิภาพจำนวน]]</f>
        <v>3</v>
      </c>
      <c r="K171" s="245">
        <v>96600</v>
      </c>
      <c r="L171" s="248"/>
    </row>
    <row r="172" spans="1:12">
      <c r="A172" s="246" t="s">
        <v>1480</v>
      </c>
      <c r="B172" s="244">
        <v>2569</v>
      </c>
      <c r="C172" s="241" t="s">
        <v>447</v>
      </c>
      <c r="D172" s="241" t="s">
        <v>16</v>
      </c>
      <c r="E172" s="244" t="s">
        <v>163</v>
      </c>
      <c r="F172" s="244" t="s">
        <v>164</v>
      </c>
      <c r="G172" s="244" t="s">
        <v>160</v>
      </c>
      <c r="H172" s="244">
        <v>7</v>
      </c>
      <c r="I172" s="242">
        <v>0</v>
      </c>
      <c r="J172" s="242">
        <f>Table47[[#This Row],[ทดแทนจำนวน]]+Table47[[#This Row],[เพิ่มประสิทธิภาพจำนวน]]</f>
        <v>7</v>
      </c>
      <c r="K172" s="245">
        <v>286300</v>
      </c>
      <c r="L172" s="248"/>
    </row>
    <row r="173" spans="1:12">
      <c r="A173" s="246" t="s">
        <v>1481</v>
      </c>
      <c r="B173" s="244">
        <v>2569</v>
      </c>
      <c r="C173" s="241" t="s">
        <v>447</v>
      </c>
      <c r="D173" s="241" t="s">
        <v>16</v>
      </c>
      <c r="E173" s="244" t="s">
        <v>165</v>
      </c>
      <c r="F173" s="244" t="s">
        <v>164</v>
      </c>
      <c r="G173" s="244" t="s">
        <v>160</v>
      </c>
      <c r="H173" s="244">
        <v>1</v>
      </c>
      <c r="I173" s="242">
        <v>0</v>
      </c>
      <c r="J173" s="242">
        <f>Table47[[#This Row],[ทดแทนจำนวน]]+Table47[[#This Row],[เพิ่มประสิทธิภาพจำนวน]]</f>
        <v>1</v>
      </c>
      <c r="K173" s="245">
        <v>47200</v>
      </c>
      <c r="L173" s="248"/>
    </row>
    <row r="174" spans="1:12">
      <c r="A174" s="246" t="s">
        <v>1482</v>
      </c>
      <c r="B174" s="244">
        <v>2569</v>
      </c>
      <c r="C174" s="241" t="s">
        <v>447</v>
      </c>
      <c r="D174" s="241" t="s">
        <v>16</v>
      </c>
      <c r="E174" s="244" t="s">
        <v>167</v>
      </c>
      <c r="F174" s="244" t="s">
        <v>168</v>
      </c>
      <c r="G174" s="244" t="s">
        <v>166</v>
      </c>
      <c r="H174" s="244">
        <v>6</v>
      </c>
      <c r="I174" s="242">
        <v>0</v>
      </c>
      <c r="J174" s="242">
        <f>Table47[[#This Row],[ทดแทนจำนวน]]+Table47[[#This Row],[เพิ่มประสิทธิภาพจำนวน]]</f>
        <v>6</v>
      </c>
      <c r="K174" s="245">
        <v>245400</v>
      </c>
      <c r="L174" s="248"/>
    </row>
    <row r="175" spans="1:12">
      <c r="A175" s="246" t="s">
        <v>1483</v>
      </c>
      <c r="B175" s="244">
        <v>2569</v>
      </c>
      <c r="C175" s="241" t="s">
        <v>447</v>
      </c>
      <c r="D175" s="241" t="s">
        <v>31</v>
      </c>
      <c r="E175" s="244" t="s">
        <v>170</v>
      </c>
      <c r="F175" s="244" t="s">
        <v>171</v>
      </c>
      <c r="G175" s="244" t="s">
        <v>169</v>
      </c>
      <c r="H175" s="244">
        <v>1</v>
      </c>
      <c r="I175" s="242">
        <v>0</v>
      </c>
      <c r="J175" s="242">
        <f>Table47[[#This Row],[ทดแทนจำนวน]]+Table47[[#This Row],[เพิ่มประสิทธิภาพจำนวน]]</f>
        <v>1</v>
      </c>
      <c r="K175" s="245">
        <v>1369000</v>
      </c>
      <c r="L175" s="248"/>
    </row>
    <row r="176" spans="1:12">
      <c r="A176" s="246" t="s">
        <v>1484</v>
      </c>
      <c r="B176" s="244">
        <v>2569</v>
      </c>
      <c r="C176" s="241" t="s">
        <v>447</v>
      </c>
      <c r="D176" s="241" t="s">
        <v>16</v>
      </c>
      <c r="E176" s="244" t="s">
        <v>173</v>
      </c>
      <c r="F176" s="244" t="s">
        <v>174</v>
      </c>
      <c r="G176" s="244" t="s">
        <v>172</v>
      </c>
      <c r="H176" s="244">
        <v>3</v>
      </c>
      <c r="I176" s="242">
        <v>0</v>
      </c>
      <c r="J176" s="242">
        <f>Table47[[#This Row],[ทดแทนจำนวน]]+Table47[[#This Row],[เพิ่มประสิทธิภาพจำนวน]]</f>
        <v>3</v>
      </c>
      <c r="K176" s="245">
        <v>160800</v>
      </c>
      <c r="L176" s="248"/>
    </row>
    <row r="177" spans="1:12">
      <c r="A177" s="246" t="s">
        <v>1485</v>
      </c>
      <c r="B177" s="244">
        <v>2570</v>
      </c>
      <c r="C177" s="241" t="s">
        <v>447</v>
      </c>
      <c r="D177" s="241" t="s">
        <v>527</v>
      </c>
      <c r="E177" s="244" t="s">
        <v>1262</v>
      </c>
      <c r="F177" s="244" t="s">
        <v>66</v>
      </c>
      <c r="G177" s="244" t="s">
        <v>64</v>
      </c>
      <c r="H177" s="244">
        <v>3</v>
      </c>
      <c r="I177" s="244">
        <v>0</v>
      </c>
      <c r="J177" s="242">
        <f>Table47[[#This Row],[ทดแทนจำนวน]]+Table47[[#This Row],[เพิ่มประสิทธิภาพจำนวน]]</f>
        <v>3</v>
      </c>
      <c r="K177" s="245">
        <v>5028000</v>
      </c>
      <c r="L177" s="248" t="s">
        <v>589</v>
      </c>
    </row>
    <row r="178" spans="1:12">
      <c r="A178" s="246" t="s">
        <v>1486</v>
      </c>
      <c r="B178" s="244">
        <v>2570</v>
      </c>
      <c r="C178" s="241" t="s">
        <v>447</v>
      </c>
      <c r="D178" s="241" t="s">
        <v>527</v>
      </c>
      <c r="E178" s="244" t="s">
        <v>1152</v>
      </c>
      <c r="F178" s="244" t="s">
        <v>66</v>
      </c>
      <c r="G178" s="244" t="s">
        <v>64</v>
      </c>
      <c r="H178" s="244">
        <v>2</v>
      </c>
      <c r="I178" s="244">
        <v>0</v>
      </c>
      <c r="J178" s="242">
        <f>Table47[[#This Row],[ทดแทนจำนวน]]+Table47[[#This Row],[เพิ่มประสิทธิภาพจำนวน]]</f>
        <v>2</v>
      </c>
      <c r="K178" s="245">
        <v>2996000</v>
      </c>
      <c r="L178" s="248" t="s">
        <v>589</v>
      </c>
    </row>
    <row r="179" spans="1:12">
      <c r="A179" s="246" t="s">
        <v>1487</v>
      </c>
      <c r="B179" s="244">
        <v>2570</v>
      </c>
      <c r="C179" s="241" t="s">
        <v>447</v>
      </c>
      <c r="D179" s="241" t="s">
        <v>527</v>
      </c>
      <c r="E179" s="244" t="s">
        <v>1152</v>
      </c>
      <c r="F179" s="244" t="s">
        <v>66</v>
      </c>
      <c r="G179" s="244" t="s">
        <v>64</v>
      </c>
      <c r="H179" s="244">
        <v>1</v>
      </c>
      <c r="I179" s="244">
        <v>0</v>
      </c>
      <c r="J179" s="242">
        <f>Table47[[#This Row],[ทดแทนจำนวน]]+Table47[[#This Row],[เพิ่มประสิทธิภาพจำนวน]]</f>
        <v>1</v>
      </c>
      <c r="K179" s="245">
        <v>1498000</v>
      </c>
      <c r="L179" s="248" t="s">
        <v>589</v>
      </c>
    </row>
    <row r="180" spans="1:12">
      <c r="A180" s="246" t="s">
        <v>1488</v>
      </c>
      <c r="B180" s="244">
        <v>2570</v>
      </c>
      <c r="C180" s="241" t="s">
        <v>447</v>
      </c>
      <c r="D180" s="241" t="s">
        <v>555</v>
      </c>
      <c r="E180" s="244" t="s">
        <v>1254</v>
      </c>
      <c r="F180" s="244" t="s">
        <v>66</v>
      </c>
      <c r="G180" s="244" t="s">
        <v>64</v>
      </c>
      <c r="H180" s="244">
        <v>0</v>
      </c>
      <c r="I180" s="244">
        <v>8</v>
      </c>
      <c r="J180" s="242">
        <f>Table47[[#This Row],[ทดแทนจำนวน]]+Table47[[#This Row],[เพิ่มประสิทธิภาพจำนวน]]</f>
        <v>8</v>
      </c>
      <c r="K180" s="245">
        <v>172000</v>
      </c>
      <c r="L180" s="248" t="s">
        <v>1941</v>
      </c>
    </row>
    <row r="181" spans="1:12">
      <c r="A181" s="246" t="s">
        <v>1489</v>
      </c>
      <c r="B181" s="244">
        <v>2570</v>
      </c>
      <c r="C181" s="241" t="s">
        <v>447</v>
      </c>
      <c r="D181" s="241" t="s">
        <v>527</v>
      </c>
      <c r="E181" s="244" t="s">
        <v>1152</v>
      </c>
      <c r="F181" s="244" t="s">
        <v>70</v>
      </c>
      <c r="G181" s="244" t="s">
        <v>64</v>
      </c>
      <c r="H181" s="244">
        <v>1</v>
      </c>
      <c r="I181" s="244">
        <v>0</v>
      </c>
      <c r="J181" s="242">
        <f>Table47[[#This Row],[ทดแทนจำนวน]]+Table47[[#This Row],[เพิ่มประสิทธิภาพจำนวน]]</f>
        <v>1</v>
      </c>
      <c r="K181" s="245">
        <v>1498000</v>
      </c>
      <c r="L181" s="248" t="s">
        <v>589</v>
      </c>
    </row>
    <row r="182" spans="1:12">
      <c r="A182" s="246" t="s">
        <v>1490</v>
      </c>
      <c r="B182" s="244">
        <v>2570</v>
      </c>
      <c r="C182" s="241" t="s">
        <v>447</v>
      </c>
      <c r="D182" s="241" t="s">
        <v>527</v>
      </c>
      <c r="E182" s="244" t="s">
        <v>1152</v>
      </c>
      <c r="F182" s="244" t="s">
        <v>70</v>
      </c>
      <c r="G182" s="244" t="s">
        <v>64</v>
      </c>
      <c r="H182" s="244">
        <v>1</v>
      </c>
      <c r="I182" s="244">
        <v>0</v>
      </c>
      <c r="J182" s="242">
        <f>Table47[[#This Row],[ทดแทนจำนวน]]+Table47[[#This Row],[เพิ่มประสิทธิภาพจำนวน]]</f>
        <v>1</v>
      </c>
      <c r="K182" s="245">
        <v>1498000</v>
      </c>
      <c r="L182" s="248" t="s">
        <v>589</v>
      </c>
    </row>
    <row r="183" spans="1:12">
      <c r="A183" s="246" t="s">
        <v>1491</v>
      </c>
      <c r="B183" s="244">
        <v>2570</v>
      </c>
      <c r="C183" s="241" t="s">
        <v>447</v>
      </c>
      <c r="D183" s="241" t="s">
        <v>527</v>
      </c>
      <c r="E183" s="244" t="s">
        <v>1152</v>
      </c>
      <c r="F183" s="244" t="s">
        <v>70</v>
      </c>
      <c r="G183" s="244" t="s">
        <v>64</v>
      </c>
      <c r="H183" s="244">
        <v>1</v>
      </c>
      <c r="I183" s="244">
        <v>0</v>
      </c>
      <c r="J183" s="242">
        <f>Table47[[#This Row],[ทดแทนจำนวน]]+Table47[[#This Row],[เพิ่มประสิทธิภาพจำนวน]]</f>
        <v>1</v>
      </c>
      <c r="K183" s="245">
        <v>1498000</v>
      </c>
      <c r="L183" s="248" t="s">
        <v>589</v>
      </c>
    </row>
    <row r="184" spans="1:12">
      <c r="A184" s="246" t="s">
        <v>1492</v>
      </c>
      <c r="B184" s="244">
        <v>2570</v>
      </c>
      <c r="C184" s="241" t="s">
        <v>447</v>
      </c>
      <c r="D184" s="241" t="s">
        <v>527</v>
      </c>
      <c r="E184" s="244" t="s">
        <v>1246</v>
      </c>
      <c r="F184" s="244" t="s">
        <v>70</v>
      </c>
      <c r="G184" s="244" t="s">
        <v>64</v>
      </c>
      <c r="H184" s="244">
        <v>1</v>
      </c>
      <c r="I184" s="244">
        <v>0</v>
      </c>
      <c r="J184" s="242">
        <f>Table47[[#This Row],[ทดแทนจำนวน]]+Table47[[#This Row],[เพิ่มประสิทธิภาพจำนวน]]</f>
        <v>1</v>
      </c>
      <c r="K184" s="245">
        <v>1172000</v>
      </c>
      <c r="L184" s="248" t="s">
        <v>589</v>
      </c>
    </row>
    <row r="185" spans="1:12">
      <c r="A185" s="246" t="s">
        <v>1493</v>
      </c>
      <c r="B185" s="244">
        <v>2570</v>
      </c>
      <c r="C185" s="241" t="s">
        <v>447</v>
      </c>
      <c r="D185" s="241" t="s">
        <v>527</v>
      </c>
      <c r="E185" s="244" t="s">
        <v>1243</v>
      </c>
      <c r="F185" s="244" t="s">
        <v>70</v>
      </c>
      <c r="G185" s="244" t="s">
        <v>64</v>
      </c>
      <c r="H185" s="244">
        <v>1</v>
      </c>
      <c r="I185" s="244">
        <v>0</v>
      </c>
      <c r="J185" s="242">
        <f>Table47[[#This Row],[ทดแทนจำนวน]]+Table47[[#This Row],[เพิ่มประสิทธิภาพจำนวน]]</f>
        <v>1</v>
      </c>
      <c r="K185" s="245">
        <v>35900</v>
      </c>
      <c r="L185" s="248" t="s">
        <v>589</v>
      </c>
    </row>
    <row r="186" spans="1:12">
      <c r="A186" s="246" t="s">
        <v>1494</v>
      </c>
      <c r="B186" s="244">
        <v>2570</v>
      </c>
      <c r="C186" s="241" t="s">
        <v>447</v>
      </c>
      <c r="D186" s="241" t="s">
        <v>538</v>
      </c>
      <c r="E186" s="244" t="s">
        <v>1240</v>
      </c>
      <c r="F186" s="244" t="s">
        <v>114</v>
      </c>
      <c r="G186" s="244" t="s">
        <v>110</v>
      </c>
      <c r="H186" s="244">
        <v>3</v>
      </c>
      <c r="I186" s="244">
        <v>0</v>
      </c>
      <c r="J186" s="242">
        <f>Table47[[#This Row],[ทดแทนจำนวน]]+Table47[[#This Row],[เพิ่มประสิทธิภาพจำนวน]]</f>
        <v>3</v>
      </c>
      <c r="K186" s="245">
        <v>51000</v>
      </c>
      <c r="L186" s="248" t="s">
        <v>589</v>
      </c>
    </row>
    <row r="187" spans="1:12">
      <c r="A187" s="246" t="s">
        <v>1495</v>
      </c>
      <c r="B187" s="244">
        <v>2570</v>
      </c>
      <c r="C187" s="241" t="s">
        <v>447</v>
      </c>
      <c r="D187" s="241" t="s">
        <v>538</v>
      </c>
      <c r="E187" s="244" t="s">
        <v>1237</v>
      </c>
      <c r="F187" s="244" t="s">
        <v>114</v>
      </c>
      <c r="G187" s="244" t="s">
        <v>110</v>
      </c>
      <c r="H187" s="244">
        <v>0</v>
      </c>
      <c r="I187" s="244">
        <v>2</v>
      </c>
      <c r="J187" s="242">
        <f>Table47[[#This Row],[ทดแทนจำนวน]]+Table47[[#This Row],[เพิ่มประสิทธิภาพจำนวน]]</f>
        <v>2</v>
      </c>
      <c r="K187" s="245">
        <v>19000</v>
      </c>
      <c r="L187" s="248" t="s">
        <v>1941</v>
      </c>
    </row>
    <row r="188" spans="1:12">
      <c r="A188" s="246" t="s">
        <v>1496</v>
      </c>
      <c r="B188" s="244">
        <v>2570</v>
      </c>
      <c r="C188" s="241" t="s">
        <v>447</v>
      </c>
      <c r="D188" s="241" t="s">
        <v>538</v>
      </c>
      <c r="E188" s="244" t="s">
        <v>1235</v>
      </c>
      <c r="F188" s="244" t="s">
        <v>114</v>
      </c>
      <c r="G188" s="244" t="s">
        <v>110</v>
      </c>
      <c r="H188" s="244">
        <v>0</v>
      </c>
      <c r="I188" s="244">
        <v>8</v>
      </c>
      <c r="J188" s="242">
        <f>Table47[[#This Row],[ทดแทนจำนวน]]+Table47[[#This Row],[เพิ่มประสิทธิภาพจำนวน]]</f>
        <v>8</v>
      </c>
      <c r="K188" s="245">
        <v>102400</v>
      </c>
      <c r="L188" s="248" t="s">
        <v>1941</v>
      </c>
    </row>
    <row r="189" spans="1:12">
      <c r="A189" s="246" t="s">
        <v>1497</v>
      </c>
      <c r="B189" s="244">
        <v>2570</v>
      </c>
      <c r="C189" s="241" t="s">
        <v>447</v>
      </c>
      <c r="D189" s="241" t="s">
        <v>555</v>
      </c>
      <c r="E189" s="244" t="s">
        <v>1233</v>
      </c>
      <c r="F189" s="244" t="s">
        <v>114</v>
      </c>
      <c r="G189" s="244" t="s">
        <v>110</v>
      </c>
      <c r="H189" s="244">
        <v>5</v>
      </c>
      <c r="I189" s="244">
        <v>0</v>
      </c>
      <c r="J189" s="242">
        <f>Table47[[#This Row],[ทดแทนจำนวน]]+Table47[[#This Row],[เพิ่มประสิทธิภาพจำนวน]]</f>
        <v>5</v>
      </c>
      <c r="K189" s="245">
        <v>236000</v>
      </c>
      <c r="L189" s="248" t="s">
        <v>589</v>
      </c>
    </row>
    <row r="190" spans="1:12">
      <c r="A190" s="246" t="s">
        <v>1498</v>
      </c>
      <c r="B190" s="244">
        <v>2570</v>
      </c>
      <c r="C190" s="241" t="s">
        <v>447</v>
      </c>
      <c r="D190" s="241" t="s">
        <v>527</v>
      </c>
      <c r="E190" s="244" t="s">
        <v>1230</v>
      </c>
      <c r="F190" s="244" t="s">
        <v>114</v>
      </c>
      <c r="G190" s="244" t="s">
        <v>110</v>
      </c>
      <c r="H190" s="244">
        <v>1</v>
      </c>
      <c r="I190" s="244">
        <v>0</v>
      </c>
      <c r="J190" s="242">
        <f>Table47[[#This Row],[ทดแทนจำนวน]]+Table47[[#This Row],[เพิ่มประสิทธิภาพจำนวน]]</f>
        <v>1</v>
      </c>
      <c r="K190" s="245">
        <v>1329000</v>
      </c>
      <c r="L190" s="248" t="s">
        <v>589</v>
      </c>
    </row>
    <row r="191" spans="1:12">
      <c r="A191" s="246" t="s">
        <v>1499</v>
      </c>
      <c r="B191" s="244">
        <v>2570</v>
      </c>
      <c r="C191" s="241" t="s">
        <v>447</v>
      </c>
      <c r="D191" s="241" t="s">
        <v>477</v>
      </c>
      <c r="E191" s="244" t="s">
        <v>1227</v>
      </c>
      <c r="F191" s="244" t="s">
        <v>21</v>
      </c>
      <c r="G191" s="244" t="s">
        <v>14</v>
      </c>
      <c r="H191" s="244">
        <v>0</v>
      </c>
      <c r="I191" s="244">
        <v>1</v>
      </c>
      <c r="J191" s="242">
        <f>Table47[[#This Row],[ทดแทนจำนวน]]+Table47[[#This Row],[เพิ่มประสิทธิภาพจำนวน]]</f>
        <v>1</v>
      </c>
      <c r="K191" s="245">
        <v>39900</v>
      </c>
      <c r="L191" s="248" t="s">
        <v>1941</v>
      </c>
    </row>
    <row r="192" spans="1:12">
      <c r="A192" s="246" t="s">
        <v>1500</v>
      </c>
      <c r="B192" s="244">
        <v>2570</v>
      </c>
      <c r="C192" s="241" t="s">
        <v>447</v>
      </c>
      <c r="D192" s="241" t="s">
        <v>527</v>
      </c>
      <c r="E192" s="244" t="s">
        <v>1225</v>
      </c>
      <c r="F192" s="244" t="s">
        <v>21</v>
      </c>
      <c r="G192" s="244" t="s">
        <v>14</v>
      </c>
      <c r="H192" s="244">
        <v>1</v>
      </c>
      <c r="I192" s="244">
        <v>0</v>
      </c>
      <c r="J192" s="242">
        <f>Table47[[#This Row],[ทดแทนจำนวน]]+Table47[[#This Row],[เพิ่มประสิทธิภาพจำนวน]]</f>
        <v>1</v>
      </c>
      <c r="K192" s="245">
        <v>1207900</v>
      </c>
      <c r="L192" s="248" t="s">
        <v>589</v>
      </c>
    </row>
    <row r="193" spans="1:12">
      <c r="A193" s="246" t="s">
        <v>1501</v>
      </c>
      <c r="B193" s="244">
        <v>2570</v>
      </c>
      <c r="C193" s="241" t="s">
        <v>447</v>
      </c>
      <c r="D193" s="241" t="s">
        <v>527</v>
      </c>
      <c r="E193" s="244" t="s">
        <v>1222</v>
      </c>
      <c r="F193" s="244" t="s">
        <v>21</v>
      </c>
      <c r="G193" s="244" t="s">
        <v>14</v>
      </c>
      <c r="H193" s="244">
        <v>1</v>
      </c>
      <c r="I193" s="244">
        <v>0</v>
      </c>
      <c r="J193" s="242">
        <f>Table47[[#This Row],[ทดแทนจำนวน]]+Table47[[#This Row],[เพิ่มประสิทธิภาพจำนวน]]</f>
        <v>1</v>
      </c>
      <c r="K193" s="245">
        <v>1500000</v>
      </c>
      <c r="L193" s="248" t="s">
        <v>589</v>
      </c>
    </row>
    <row r="194" spans="1:12">
      <c r="A194" s="246" t="s">
        <v>1502</v>
      </c>
      <c r="B194" s="244">
        <v>2570</v>
      </c>
      <c r="C194" s="241" t="s">
        <v>447</v>
      </c>
      <c r="D194" s="241" t="s">
        <v>538</v>
      </c>
      <c r="E194" s="244" t="s">
        <v>1219</v>
      </c>
      <c r="F194" s="244" t="s">
        <v>21</v>
      </c>
      <c r="G194" s="244" t="s">
        <v>14</v>
      </c>
      <c r="H194" s="244">
        <v>1</v>
      </c>
      <c r="I194" s="244">
        <v>0</v>
      </c>
      <c r="J194" s="242">
        <f>Table47[[#This Row],[ทดแทนจำนวน]]+Table47[[#This Row],[เพิ่มประสิทธิภาพจำนวน]]</f>
        <v>1</v>
      </c>
      <c r="K194" s="245">
        <v>8500</v>
      </c>
      <c r="L194" s="248" t="s">
        <v>589</v>
      </c>
    </row>
    <row r="195" spans="1:12">
      <c r="A195" s="246" t="s">
        <v>1503</v>
      </c>
      <c r="B195" s="244">
        <v>2570</v>
      </c>
      <c r="C195" s="241" t="s">
        <v>447</v>
      </c>
      <c r="D195" s="241" t="s">
        <v>538</v>
      </c>
      <c r="E195" s="244" t="s">
        <v>1216</v>
      </c>
      <c r="F195" s="244" t="s">
        <v>21</v>
      </c>
      <c r="G195" s="244" t="s">
        <v>14</v>
      </c>
      <c r="H195" s="244">
        <v>0</v>
      </c>
      <c r="I195" s="244">
        <v>1</v>
      </c>
      <c r="J195" s="242">
        <f>Table47[[#This Row],[ทดแทนจำนวน]]+Table47[[#This Row],[เพิ่มประสิทธิภาพจำนวน]]</f>
        <v>1</v>
      </c>
      <c r="K195" s="245">
        <v>192600</v>
      </c>
      <c r="L195" s="248" t="s">
        <v>1941</v>
      </c>
    </row>
    <row r="196" spans="1:12">
      <c r="A196" s="246" t="s">
        <v>1504</v>
      </c>
      <c r="B196" s="244">
        <v>2570</v>
      </c>
      <c r="C196" s="241" t="s">
        <v>447</v>
      </c>
      <c r="D196" s="241" t="s">
        <v>555</v>
      </c>
      <c r="E196" s="244" t="s">
        <v>1214</v>
      </c>
      <c r="F196" s="244" t="s">
        <v>162</v>
      </c>
      <c r="G196" s="244" t="s">
        <v>160</v>
      </c>
      <c r="H196" s="244">
        <v>24</v>
      </c>
      <c r="I196" s="244">
        <v>0</v>
      </c>
      <c r="J196" s="242">
        <f>Table47[[#This Row],[ทดแทนจำนวน]]+Table47[[#This Row],[เพิ่มประสิทธิภาพจำนวน]]</f>
        <v>24</v>
      </c>
      <c r="K196" s="245">
        <v>40800</v>
      </c>
      <c r="L196" s="248" t="s">
        <v>589</v>
      </c>
    </row>
    <row r="197" spans="1:12">
      <c r="A197" s="246" t="s">
        <v>1505</v>
      </c>
      <c r="B197" s="244">
        <v>2570</v>
      </c>
      <c r="C197" s="241" t="s">
        <v>447</v>
      </c>
      <c r="D197" s="241" t="s">
        <v>555</v>
      </c>
      <c r="E197" s="244" t="s">
        <v>1211</v>
      </c>
      <c r="F197" s="244" t="s">
        <v>162</v>
      </c>
      <c r="G197" s="244" t="s">
        <v>160</v>
      </c>
      <c r="H197" s="244">
        <v>0</v>
      </c>
      <c r="I197" s="244">
        <v>18</v>
      </c>
      <c r="J197" s="242">
        <f>Table47[[#This Row],[ทดแทนจำนวน]]+Table47[[#This Row],[เพิ่มประสิทธิภาพจำนวน]]</f>
        <v>18</v>
      </c>
      <c r="K197" s="245">
        <v>34200</v>
      </c>
      <c r="L197" s="248" t="s">
        <v>1941</v>
      </c>
    </row>
    <row r="198" spans="1:12">
      <c r="A198" s="246" t="s">
        <v>1506</v>
      </c>
      <c r="B198" s="244">
        <v>2570</v>
      </c>
      <c r="C198" s="241" t="s">
        <v>447</v>
      </c>
      <c r="D198" s="241" t="s">
        <v>555</v>
      </c>
      <c r="E198" s="244" t="s">
        <v>1209</v>
      </c>
      <c r="F198" s="244" t="s">
        <v>162</v>
      </c>
      <c r="G198" s="244" t="s">
        <v>160</v>
      </c>
      <c r="H198" s="244">
        <v>1</v>
      </c>
      <c r="I198" s="244">
        <v>0</v>
      </c>
      <c r="J198" s="242">
        <f>Table47[[#This Row],[ทดแทนจำนวน]]+Table47[[#This Row],[เพิ่มประสิทธิภาพจำนวน]]</f>
        <v>1</v>
      </c>
      <c r="K198" s="245">
        <v>24000</v>
      </c>
      <c r="L198" s="248" t="s">
        <v>589</v>
      </c>
    </row>
    <row r="199" spans="1:12">
      <c r="A199" s="246" t="s">
        <v>1507</v>
      </c>
      <c r="B199" s="244">
        <v>2570</v>
      </c>
      <c r="C199" s="241" t="s">
        <v>447</v>
      </c>
      <c r="D199" s="241" t="s">
        <v>527</v>
      </c>
      <c r="E199" s="244" t="s">
        <v>526</v>
      </c>
      <c r="F199" s="244" t="s">
        <v>162</v>
      </c>
      <c r="G199" s="244" t="s">
        <v>160</v>
      </c>
      <c r="H199" s="244">
        <v>1</v>
      </c>
      <c r="I199" s="244">
        <v>0</v>
      </c>
      <c r="J199" s="242">
        <f>Table47[[#This Row],[ทดแทนจำนวน]]+Table47[[#This Row],[เพิ่มประสิทธิภาพจำนวน]]</f>
        <v>1</v>
      </c>
      <c r="K199" s="245">
        <v>1450000</v>
      </c>
      <c r="L199" s="248" t="s">
        <v>589</v>
      </c>
    </row>
    <row r="200" spans="1:12">
      <c r="A200" s="246" t="s">
        <v>1508</v>
      </c>
      <c r="B200" s="244">
        <v>2570</v>
      </c>
      <c r="C200" s="241" t="s">
        <v>447</v>
      </c>
      <c r="D200" s="241" t="s">
        <v>538</v>
      </c>
      <c r="E200" s="244" t="s">
        <v>1203</v>
      </c>
      <c r="F200" s="244" t="s">
        <v>162</v>
      </c>
      <c r="G200" s="244" t="s">
        <v>160</v>
      </c>
      <c r="H200" s="244">
        <v>1</v>
      </c>
      <c r="I200" s="244">
        <v>0</v>
      </c>
      <c r="J200" s="242">
        <f>Table47[[#This Row],[ทดแทนจำนวน]]+Table47[[#This Row],[เพิ่มประสิทธิภาพจำนวน]]</f>
        <v>1</v>
      </c>
      <c r="K200" s="245">
        <v>26000</v>
      </c>
      <c r="L200" s="248" t="s">
        <v>589</v>
      </c>
    </row>
    <row r="201" spans="1:12">
      <c r="A201" s="246" t="s">
        <v>1509</v>
      </c>
      <c r="B201" s="244">
        <v>2570</v>
      </c>
      <c r="C201" s="241" t="s">
        <v>447</v>
      </c>
      <c r="D201" s="241" t="s">
        <v>527</v>
      </c>
      <c r="E201" s="244" t="s">
        <v>1199</v>
      </c>
      <c r="F201" s="244" t="s">
        <v>408</v>
      </c>
      <c r="G201" s="244" t="s">
        <v>166</v>
      </c>
      <c r="H201" s="244">
        <v>1</v>
      </c>
      <c r="I201" s="244">
        <v>0</v>
      </c>
      <c r="J201" s="242">
        <f>Table47[[#This Row],[ทดแทนจำนวน]]+Table47[[#This Row],[เพิ่มประสิทธิภาพจำนวน]]</f>
        <v>1</v>
      </c>
      <c r="K201" s="245">
        <v>1172000</v>
      </c>
      <c r="L201" s="248" t="s">
        <v>589</v>
      </c>
    </row>
    <row r="202" spans="1:12">
      <c r="A202" s="246" t="s">
        <v>1510</v>
      </c>
      <c r="B202" s="244">
        <v>2570</v>
      </c>
      <c r="C202" s="241" t="s">
        <v>447</v>
      </c>
      <c r="D202" s="241" t="s">
        <v>615</v>
      </c>
      <c r="E202" s="244" t="s">
        <v>1196</v>
      </c>
      <c r="F202" s="244" t="s">
        <v>408</v>
      </c>
      <c r="G202" s="244" t="s">
        <v>166</v>
      </c>
      <c r="H202" s="244">
        <v>0</v>
      </c>
      <c r="I202" s="244">
        <v>1</v>
      </c>
      <c r="J202" s="242">
        <f>Table47[[#This Row],[ทดแทนจำนวน]]+Table47[[#This Row],[เพิ่มประสิทธิภาพจำนวน]]</f>
        <v>1</v>
      </c>
      <c r="K202" s="245">
        <v>3200</v>
      </c>
      <c r="L202" s="248" t="s">
        <v>1941</v>
      </c>
    </row>
    <row r="203" spans="1:12">
      <c r="A203" s="246" t="s">
        <v>1511</v>
      </c>
      <c r="B203" s="244">
        <v>2570</v>
      </c>
      <c r="C203" s="241" t="s">
        <v>447</v>
      </c>
      <c r="D203" s="241" t="s">
        <v>538</v>
      </c>
      <c r="E203" s="244" t="s">
        <v>1194</v>
      </c>
      <c r="F203" s="244" t="s">
        <v>207</v>
      </c>
      <c r="G203" s="244" t="s">
        <v>205</v>
      </c>
      <c r="H203" s="244">
        <v>0</v>
      </c>
      <c r="I203" s="244">
        <v>1</v>
      </c>
      <c r="J203" s="242">
        <f>Table47[[#This Row],[ทดแทนจำนวน]]+Table47[[#This Row],[เพิ่มประสิทธิภาพจำนวน]]</f>
        <v>1</v>
      </c>
      <c r="K203" s="245">
        <v>53500</v>
      </c>
      <c r="L203" s="248" t="s">
        <v>1941</v>
      </c>
    </row>
    <row r="204" spans="1:12">
      <c r="A204" s="246" t="s">
        <v>1512</v>
      </c>
      <c r="B204" s="244">
        <v>2570</v>
      </c>
      <c r="C204" s="241" t="s">
        <v>447</v>
      </c>
      <c r="D204" s="241" t="s">
        <v>555</v>
      </c>
      <c r="E204" s="244" t="s">
        <v>1192</v>
      </c>
      <c r="F204" s="244" t="s">
        <v>207</v>
      </c>
      <c r="G204" s="244" t="s">
        <v>205</v>
      </c>
      <c r="H204" s="244">
        <v>0</v>
      </c>
      <c r="I204" s="244">
        <v>200</v>
      </c>
      <c r="J204" s="242">
        <f>Table47[[#This Row],[ทดแทนจำนวน]]+Table47[[#This Row],[เพิ่มประสิทธิภาพจำนวน]]</f>
        <v>200</v>
      </c>
      <c r="K204" s="245">
        <v>498000</v>
      </c>
      <c r="L204" s="248" t="s">
        <v>1941</v>
      </c>
    </row>
    <row r="205" spans="1:12">
      <c r="A205" s="246" t="s">
        <v>1513</v>
      </c>
      <c r="B205" s="244">
        <v>2570</v>
      </c>
      <c r="C205" s="241" t="s">
        <v>447</v>
      </c>
      <c r="D205" s="241" t="s">
        <v>555</v>
      </c>
      <c r="E205" s="244" t="s">
        <v>1190</v>
      </c>
      <c r="F205" s="244" t="s">
        <v>207</v>
      </c>
      <c r="G205" s="244" t="s">
        <v>205</v>
      </c>
      <c r="H205" s="244">
        <v>0</v>
      </c>
      <c r="I205" s="244">
        <v>1</v>
      </c>
      <c r="J205" s="242">
        <f>Table47[[#This Row],[ทดแทนจำนวน]]+Table47[[#This Row],[เพิ่มประสิทธิภาพจำนวน]]</f>
        <v>1</v>
      </c>
      <c r="K205" s="245">
        <v>63000</v>
      </c>
      <c r="L205" s="248" t="s">
        <v>1941</v>
      </c>
    </row>
    <row r="206" spans="1:12">
      <c r="A206" s="246" t="s">
        <v>1514</v>
      </c>
      <c r="B206" s="244">
        <v>2570</v>
      </c>
      <c r="C206" s="241" t="s">
        <v>447</v>
      </c>
      <c r="D206" s="241" t="s">
        <v>538</v>
      </c>
      <c r="E206" s="244" t="s">
        <v>1188</v>
      </c>
      <c r="F206" s="244" t="s">
        <v>1178</v>
      </c>
      <c r="G206" s="244" t="s">
        <v>46</v>
      </c>
      <c r="H206" s="244">
        <v>0</v>
      </c>
      <c r="I206" s="244">
        <v>1</v>
      </c>
      <c r="J206" s="242">
        <f>Table47[[#This Row],[ทดแทนจำนวน]]+Table47[[#This Row],[เพิ่มประสิทธิภาพจำนวน]]</f>
        <v>1</v>
      </c>
      <c r="K206" s="245">
        <v>165000</v>
      </c>
      <c r="L206" s="248" t="s">
        <v>1941</v>
      </c>
    </row>
    <row r="207" spans="1:12">
      <c r="A207" s="246" t="s">
        <v>1515</v>
      </c>
      <c r="B207" s="244">
        <v>2570</v>
      </c>
      <c r="C207" s="241" t="s">
        <v>447</v>
      </c>
      <c r="D207" s="241" t="s">
        <v>615</v>
      </c>
      <c r="E207" s="244" t="s">
        <v>1186</v>
      </c>
      <c r="F207" s="244" t="s">
        <v>1178</v>
      </c>
      <c r="G207" s="244" t="s">
        <v>46</v>
      </c>
      <c r="H207" s="244">
        <v>1</v>
      </c>
      <c r="I207" s="244">
        <v>0</v>
      </c>
      <c r="J207" s="242">
        <f>Table47[[#This Row],[ทดแทนจำนวน]]+Table47[[#This Row],[เพิ่มประสิทธิภาพจำนวน]]</f>
        <v>1</v>
      </c>
      <c r="K207" s="245">
        <v>38000</v>
      </c>
      <c r="L207" s="248" t="s">
        <v>589</v>
      </c>
    </row>
    <row r="208" spans="1:12">
      <c r="A208" s="246" t="s">
        <v>1516</v>
      </c>
      <c r="B208" s="244">
        <v>2570</v>
      </c>
      <c r="C208" s="241" t="s">
        <v>447</v>
      </c>
      <c r="D208" s="241" t="s">
        <v>538</v>
      </c>
      <c r="E208" s="244" t="s">
        <v>1183</v>
      </c>
      <c r="F208" s="244" t="s">
        <v>1178</v>
      </c>
      <c r="G208" s="244" t="s">
        <v>46</v>
      </c>
      <c r="H208" s="244">
        <v>0</v>
      </c>
      <c r="I208" s="244">
        <v>5</v>
      </c>
      <c r="J208" s="242">
        <f>Table47[[#This Row],[ทดแทนจำนวน]]+Table47[[#This Row],[เพิ่มประสิทธิภาพจำนวน]]</f>
        <v>5</v>
      </c>
      <c r="K208" s="245">
        <v>57950</v>
      </c>
      <c r="L208" s="248" t="s">
        <v>1941</v>
      </c>
    </row>
    <row r="209" spans="1:12">
      <c r="A209" s="246" t="s">
        <v>1517</v>
      </c>
      <c r="B209" s="244">
        <v>2570</v>
      </c>
      <c r="C209" s="241" t="s">
        <v>447</v>
      </c>
      <c r="D209" s="241" t="s">
        <v>555</v>
      </c>
      <c r="E209" s="244" t="s">
        <v>1181</v>
      </c>
      <c r="F209" s="244" t="s">
        <v>1178</v>
      </c>
      <c r="G209" s="244" t="s">
        <v>46</v>
      </c>
      <c r="H209" s="244">
        <v>0</v>
      </c>
      <c r="I209" s="244">
        <v>5</v>
      </c>
      <c r="J209" s="242">
        <f>Table47[[#This Row],[ทดแทนจำนวน]]+Table47[[#This Row],[เพิ่มประสิทธิภาพจำนวน]]</f>
        <v>5</v>
      </c>
      <c r="K209" s="245">
        <v>37500</v>
      </c>
      <c r="L209" s="248" t="s">
        <v>1941</v>
      </c>
    </row>
    <row r="210" spans="1:12">
      <c r="A210" s="246" t="s">
        <v>1518</v>
      </c>
      <c r="B210" s="244">
        <v>2570</v>
      </c>
      <c r="C210" s="241" t="s">
        <v>447</v>
      </c>
      <c r="D210" s="241" t="s">
        <v>538</v>
      </c>
      <c r="E210" s="244" t="s">
        <v>545</v>
      </c>
      <c r="F210" s="244" t="s">
        <v>1178</v>
      </c>
      <c r="G210" s="244" t="s">
        <v>46</v>
      </c>
      <c r="H210" s="244">
        <v>0</v>
      </c>
      <c r="I210" s="244">
        <v>1</v>
      </c>
      <c r="J210" s="242">
        <f>Table47[[#This Row],[ทดแทนจำนวน]]+Table47[[#This Row],[เพิ่มประสิทธิภาพจำนวน]]</f>
        <v>1</v>
      </c>
      <c r="K210" s="245">
        <v>9500</v>
      </c>
      <c r="L210" s="248" t="s">
        <v>1941</v>
      </c>
    </row>
    <row r="211" spans="1:12">
      <c r="A211" s="246" t="s">
        <v>1519</v>
      </c>
      <c r="B211" s="244">
        <v>2570</v>
      </c>
      <c r="C211" s="241" t="s">
        <v>447</v>
      </c>
      <c r="D211" s="241" t="s">
        <v>615</v>
      </c>
      <c r="E211" s="244" t="s">
        <v>1176</v>
      </c>
      <c r="F211" s="244" t="s">
        <v>405</v>
      </c>
      <c r="G211" s="244" t="s">
        <v>172</v>
      </c>
      <c r="H211" s="244">
        <v>1</v>
      </c>
      <c r="I211" s="244">
        <v>0</v>
      </c>
      <c r="J211" s="242">
        <f>Table47[[#This Row],[ทดแทนจำนวน]]+Table47[[#This Row],[เพิ่มประสิทธิภาพจำนวน]]</f>
        <v>1</v>
      </c>
      <c r="K211" s="245">
        <v>9700</v>
      </c>
      <c r="L211" s="248" t="s">
        <v>589</v>
      </c>
    </row>
    <row r="212" spans="1:12">
      <c r="A212" s="246" t="s">
        <v>1520</v>
      </c>
      <c r="B212" s="244">
        <v>2570</v>
      </c>
      <c r="C212" s="241" t="s">
        <v>447</v>
      </c>
      <c r="D212" s="241" t="s">
        <v>615</v>
      </c>
      <c r="E212" s="244" t="s">
        <v>1173</v>
      </c>
      <c r="F212" s="244" t="s">
        <v>213</v>
      </c>
      <c r="G212" s="244" t="s">
        <v>130</v>
      </c>
      <c r="H212" s="244">
        <v>1</v>
      </c>
      <c r="I212" s="244">
        <v>0</v>
      </c>
      <c r="J212" s="242">
        <f>Table47[[#This Row],[ทดแทนจำนวน]]+Table47[[#This Row],[เพิ่มประสิทธิภาพจำนวน]]</f>
        <v>1</v>
      </c>
      <c r="K212" s="245">
        <v>19800</v>
      </c>
      <c r="L212" s="248" t="s">
        <v>589</v>
      </c>
    </row>
    <row r="213" spans="1:12">
      <c r="A213" s="246" t="s">
        <v>1521</v>
      </c>
      <c r="B213" s="244">
        <v>2570</v>
      </c>
      <c r="C213" s="241" t="s">
        <v>447</v>
      </c>
      <c r="D213" s="241" t="s">
        <v>615</v>
      </c>
      <c r="E213" s="244" t="s">
        <v>1170</v>
      </c>
      <c r="F213" s="244" t="s">
        <v>213</v>
      </c>
      <c r="G213" s="244" t="s">
        <v>130</v>
      </c>
      <c r="H213" s="244">
        <v>1</v>
      </c>
      <c r="I213" s="244">
        <v>0</v>
      </c>
      <c r="J213" s="242">
        <f>Table47[[#This Row],[ทดแทนจำนวน]]+Table47[[#This Row],[เพิ่มประสิทธิภาพจำนวน]]</f>
        <v>1</v>
      </c>
      <c r="K213" s="245">
        <v>46200</v>
      </c>
      <c r="L213" s="248" t="s">
        <v>589</v>
      </c>
    </row>
    <row r="214" spans="1:12">
      <c r="A214" s="246" t="s">
        <v>1522</v>
      </c>
      <c r="B214" s="244">
        <v>2570</v>
      </c>
      <c r="C214" s="241" t="s">
        <v>447</v>
      </c>
      <c r="D214" s="241" t="s">
        <v>477</v>
      </c>
      <c r="E214" s="244" t="s">
        <v>1164</v>
      </c>
      <c r="F214" s="244" t="s">
        <v>213</v>
      </c>
      <c r="G214" s="244" t="s">
        <v>130</v>
      </c>
      <c r="H214" s="244">
        <v>1</v>
      </c>
      <c r="I214" s="244">
        <v>0</v>
      </c>
      <c r="J214" s="242">
        <f>Table47[[#This Row],[ทดแทนจำนวน]]+Table47[[#This Row],[เพิ่มประสิทธิภาพจำนวน]]</f>
        <v>1</v>
      </c>
      <c r="K214" s="245">
        <v>34900</v>
      </c>
      <c r="L214" s="248" t="s">
        <v>589</v>
      </c>
    </row>
    <row r="215" spans="1:12">
      <c r="A215" s="246" t="s">
        <v>1523</v>
      </c>
      <c r="B215" s="244">
        <v>2570</v>
      </c>
      <c r="C215" s="241" t="s">
        <v>447</v>
      </c>
      <c r="D215" s="241" t="s">
        <v>479</v>
      </c>
      <c r="E215" s="244" t="s">
        <v>1161</v>
      </c>
      <c r="F215" s="244" t="s">
        <v>70</v>
      </c>
      <c r="G215" s="244" t="s">
        <v>64</v>
      </c>
      <c r="H215" s="244">
        <v>0</v>
      </c>
      <c r="I215" s="244">
        <v>1</v>
      </c>
      <c r="J215" s="242">
        <f>Table47[[#This Row],[ทดแทนจำนวน]]+Table47[[#This Row],[เพิ่มประสิทธิภาพจำนวน]]</f>
        <v>1</v>
      </c>
      <c r="K215" s="245">
        <v>3073000</v>
      </c>
      <c r="L215" s="248" t="s">
        <v>1941</v>
      </c>
    </row>
    <row r="216" spans="1:12">
      <c r="A216" s="246" t="s">
        <v>1524</v>
      </c>
      <c r="B216" s="244">
        <v>2570</v>
      </c>
      <c r="C216" s="241" t="s">
        <v>447</v>
      </c>
      <c r="D216" s="241" t="s">
        <v>479</v>
      </c>
      <c r="E216" s="244" t="s">
        <v>1158</v>
      </c>
      <c r="F216" s="244" t="s">
        <v>70</v>
      </c>
      <c r="G216" s="244" t="s">
        <v>64</v>
      </c>
      <c r="H216" s="244">
        <v>1</v>
      </c>
      <c r="I216" s="244">
        <v>0</v>
      </c>
      <c r="J216" s="242">
        <f>Table47[[#This Row],[ทดแทนจำนวน]]+Table47[[#This Row],[เพิ่มประสิทธิภาพจำนวน]]</f>
        <v>1</v>
      </c>
      <c r="K216" s="245">
        <v>748800</v>
      </c>
      <c r="L216" s="248" t="s">
        <v>589</v>
      </c>
    </row>
    <row r="217" spans="1:12">
      <c r="A217" s="246" t="s">
        <v>1525</v>
      </c>
      <c r="B217" s="244">
        <v>2570</v>
      </c>
      <c r="C217" s="241" t="s">
        <v>447</v>
      </c>
      <c r="D217" s="241" t="s">
        <v>527</v>
      </c>
      <c r="E217" s="244" t="s">
        <v>1155</v>
      </c>
      <c r="F217" s="244" t="s">
        <v>460</v>
      </c>
      <c r="G217" s="244" t="s">
        <v>64</v>
      </c>
      <c r="H217" s="244">
        <v>1</v>
      </c>
      <c r="I217" s="244">
        <v>0</v>
      </c>
      <c r="J217" s="242">
        <f>Table47[[#This Row],[ทดแทนจำนวน]]+Table47[[#This Row],[เพิ่มประสิทธิภาพจำนวน]]</f>
        <v>1</v>
      </c>
      <c r="K217" s="245">
        <v>1498000</v>
      </c>
      <c r="L217" s="248" t="s">
        <v>589</v>
      </c>
    </row>
    <row r="218" spans="1:12">
      <c r="A218" s="246" t="s">
        <v>1526</v>
      </c>
      <c r="B218" s="244">
        <v>2570</v>
      </c>
      <c r="C218" s="241" t="s">
        <v>447</v>
      </c>
      <c r="D218" s="241" t="s">
        <v>527</v>
      </c>
      <c r="E218" s="244" t="s">
        <v>1152</v>
      </c>
      <c r="F218" s="244" t="s">
        <v>448</v>
      </c>
      <c r="G218" s="244" t="s">
        <v>64</v>
      </c>
      <c r="H218" s="244">
        <v>1</v>
      </c>
      <c r="I218" s="244">
        <v>0</v>
      </c>
      <c r="J218" s="242">
        <f>Table47[[#This Row],[ทดแทนจำนวน]]+Table47[[#This Row],[เพิ่มประสิทธิภาพจำนวน]]</f>
        <v>1</v>
      </c>
      <c r="K218" s="245">
        <v>1498000</v>
      </c>
      <c r="L218" s="248" t="s">
        <v>589</v>
      </c>
    </row>
    <row r="219" spans="1:12">
      <c r="A219" s="246" t="s">
        <v>1527</v>
      </c>
      <c r="B219" s="244">
        <v>2570</v>
      </c>
      <c r="C219" s="241" t="s">
        <v>447</v>
      </c>
      <c r="D219" s="241" t="s">
        <v>527</v>
      </c>
      <c r="E219" s="244" t="s">
        <v>1147</v>
      </c>
      <c r="F219" s="244" t="s">
        <v>448</v>
      </c>
      <c r="G219" s="244" t="s">
        <v>64</v>
      </c>
      <c r="H219" s="244">
        <v>0</v>
      </c>
      <c r="I219" s="244">
        <v>1</v>
      </c>
      <c r="J219" s="242">
        <f>Table47[[#This Row],[ทดแทนจำนวน]]+Table47[[#This Row],[เพิ่มประสิทธิภาพจำนวน]]</f>
        <v>1</v>
      </c>
      <c r="K219" s="245">
        <v>918000</v>
      </c>
      <c r="L219" s="248" t="s">
        <v>1941</v>
      </c>
    </row>
    <row r="220" spans="1:12">
      <c r="A220" s="246" t="s">
        <v>1528</v>
      </c>
      <c r="B220" s="244">
        <v>2570</v>
      </c>
      <c r="C220" s="241" t="s">
        <v>447</v>
      </c>
      <c r="D220" s="241" t="s">
        <v>479</v>
      </c>
      <c r="E220" s="244" t="s">
        <v>1143</v>
      </c>
      <c r="F220" s="244" t="s">
        <v>448</v>
      </c>
      <c r="G220" s="244" t="s">
        <v>64</v>
      </c>
      <c r="H220" s="244">
        <v>0</v>
      </c>
      <c r="I220" s="244">
        <v>1</v>
      </c>
      <c r="J220" s="242">
        <f>Table47[[#This Row],[ทดแทนจำนวน]]+Table47[[#This Row],[เพิ่มประสิทธิภาพจำนวน]]</f>
        <v>1</v>
      </c>
      <c r="K220" s="245">
        <v>2000000</v>
      </c>
      <c r="L220" s="248" t="s">
        <v>1941</v>
      </c>
    </row>
    <row r="221" spans="1:12">
      <c r="A221" s="246" t="s">
        <v>1529</v>
      </c>
      <c r="B221" s="244">
        <v>2570</v>
      </c>
      <c r="C221" s="241" t="s">
        <v>447</v>
      </c>
      <c r="D221" s="241" t="s">
        <v>527</v>
      </c>
      <c r="E221" s="244" t="s">
        <v>1138</v>
      </c>
      <c r="F221" s="244" t="s">
        <v>448</v>
      </c>
      <c r="G221" s="244" t="s">
        <v>64</v>
      </c>
      <c r="H221" s="244">
        <v>0</v>
      </c>
      <c r="I221" s="244">
        <v>2</v>
      </c>
      <c r="J221" s="242">
        <f>Table47[[#This Row],[ทดแทนจำนวน]]+Table47[[#This Row],[เพิ่มประสิทธิภาพจำนวน]]</f>
        <v>2</v>
      </c>
      <c r="K221" s="245">
        <v>4000000</v>
      </c>
      <c r="L221" s="248" t="s">
        <v>1941</v>
      </c>
    </row>
    <row r="222" spans="1:12">
      <c r="A222" s="246" t="s">
        <v>1530</v>
      </c>
      <c r="B222" s="244">
        <v>2570</v>
      </c>
      <c r="C222" s="241" t="s">
        <v>447</v>
      </c>
      <c r="D222" s="241" t="s">
        <v>527</v>
      </c>
      <c r="E222" s="244" t="s">
        <v>1136</v>
      </c>
      <c r="F222" s="244" t="s">
        <v>448</v>
      </c>
      <c r="G222" s="244" t="s">
        <v>64</v>
      </c>
      <c r="H222" s="244">
        <v>1</v>
      </c>
      <c r="I222" s="244">
        <v>0</v>
      </c>
      <c r="J222" s="242">
        <f>Table47[[#This Row],[ทดแทนจำนวน]]+Table47[[#This Row],[เพิ่มประสิทธิภาพจำนวน]]</f>
        <v>1</v>
      </c>
      <c r="K222" s="245">
        <v>3290000</v>
      </c>
      <c r="L222" s="248" t="s">
        <v>589</v>
      </c>
    </row>
    <row r="223" spans="1:12">
      <c r="A223" s="246" t="s">
        <v>1531</v>
      </c>
      <c r="B223" s="244">
        <v>2570</v>
      </c>
      <c r="C223" s="241" t="s">
        <v>447</v>
      </c>
      <c r="D223" s="241" t="s">
        <v>527</v>
      </c>
      <c r="E223" s="244" t="s">
        <v>1132</v>
      </c>
      <c r="F223" s="244" t="s">
        <v>448</v>
      </c>
      <c r="G223" s="244" t="s">
        <v>64</v>
      </c>
      <c r="H223" s="244">
        <v>1</v>
      </c>
      <c r="I223" s="244">
        <v>0</v>
      </c>
      <c r="J223" s="242">
        <f>Table47[[#This Row],[ทดแทนจำนวน]]+Table47[[#This Row],[เพิ่มประสิทธิภาพจำนวน]]</f>
        <v>1</v>
      </c>
      <c r="K223" s="245">
        <v>1207900</v>
      </c>
      <c r="L223" s="248" t="s">
        <v>589</v>
      </c>
    </row>
    <row r="224" spans="1:12">
      <c r="A224" s="246" t="s">
        <v>1534</v>
      </c>
      <c r="B224" s="244">
        <v>2570</v>
      </c>
      <c r="C224" s="241" t="s">
        <v>447</v>
      </c>
      <c r="D224" s="241" t="s">
        <v>555</v>
      </c>
      <c r="E224" s="244" t="s">
        <v>1127</v>
      </c>
      <c r="F224" s="244" t="s">
        <v>198</v>
      </c>
      <c r="G224" s="244" t="s">
        <v>64</v>
      </c>
      <c r="H224" s="244">
        <v>1</v>
      </c>
      <c r="I224" s="244">
        <v>0</v>
      </c>
      <c r="J224" s="242">
        <f>Table47[[#This Row],[ทดแทนจำนวน]]+Table47[[#This Row],[เพิ่มประสิทธิภาพจำนวน]]</f>
        <v>1</v>
      </c>
      <c r="K224" s="245">
        <v>13700</v>
      </c>
      <c r="L224" s="248" t="s">
        <v>589</v>
      </c>
    </row>
    <row r="225" spans="1:12">
      <c r="A225" s="246" t="s">
        <v>1535</v>
      </c>
      <c r="B225" s="244">
        <v>2570</v>
      </c>
      <c r="C225" s="241" t="s">
        <v>447</v>
      </c>
      <c r="D225" s="241" t="s">
        <v>555</v>
      </c>
      <c r="E225" s="244" t="s">
        <v>1127</v>
      </c>
      <c r="F225" s="244" t="s">
        <v>198</v>
      </c>
      <c r="G225" s="244" t="s">
        <v>64</v>
      </c>
      <c r="H225" s="244">
        <v>1</v>
      </c>
      <c r="I225" s="244">
        <v>0</v>
      </c>
      <c r="J225" s="242">
        <f>Table47[[#This Row],[ทดแทนจำนวน]]+Table47[[#This Row],[เพิ่มประสิทธิภาพจำนวน]]</f>
        <v>1</v>
      </c>
      <c r="K225" s="245">
        <v>13700</v>
      </c>
      <c r="L225" s="248" t="s">
        <v>589</v>
      </c>
    </row>
    <row r="226" spans="1:12">
      <c r="A226" s="246" t="s">
        <v>1536</v>
      </c>
      <c r="B226" s="244">
        <v>2570</v>
      </c>
      <c r="C226" s="241" t="s">
        <v>447</v>
      </c>
      <c r="D226" s="241" t="s">
        <v>538</v>
      </c>
      <c r="E226" s="244" t="s">
        <v>1124</v>
      </c>
      <c r="F226" s="244" t="s">
        <v>198</v>
      </c>
      <c r="G226" s="244" t="s">
        <v>64</v>
      </c>
      <c r="H226" s="244">
        <v>1</v>
      </c>
      <c r="I226" s="244">
        <v>0</v>
      </c>
      <c r="J226" s="242">
        <f>Table47[[#This Row],[ทดแทนจำนวน]]+Table47[[#This Row],[เพิ่มประสิทธิภาพจำนวน]]</f>
        <v>1</v>
      </c>
      <c r="K226" s="245">
        <v>6500</v>
      </c>
      <c r="L226" s="248" t="s">
        <v>589</v>
      </c>
    </row>
    <row r="227" spans="1:12">
      <c r="A227" s="246" t="s">
        <v>1537</v>
      </c>
      <c r="B227" s="244">
        <v>2570</v>
      </c>
      <c r="C227" s="241" t="s">
        <v>447</v>
      </c>
      <c r="D227" s="241" t="s">
        <v>538</v>
      </c>
      <c r="E227" s="244" t="s">
        <v>822</v>
      </c>
      <c r="F227" s="244" t="s">
        <v>198</v>
      </c>
      <c r="G227" s="244" t="s">
        <v>64</v>
      </c>
      <c r="H227" s="244">
        <v>1</v>
      </c>
      <c r="I227" s="244">
        <v>0</v>
      </c>
      <c r="J227" s="242">
        <f>Table47[[#This Row],[ทดแทนจำนวน]]+Table47[[#This Row],[เพิ่มประสิทธิภาพจำนวน]]</f>
        <v>1</v>
      </c>
      <c r="K227" s="245">
        <v>7600</v>
      </c>
      <c r="L227" s="248" t="s">
        <v>589</v>
      </c>
    </row>
    <row r="228" spans="1:12">
      <c r="A228" s="246" t="s">
        <v>1538</v>
      </c>
      <c r="B228" s="244">
        <v>2570</v>
      </c>
      <c r="C228" s="241" t="s">
        <v>447</v>
      </c>
      <c r="D228" s="241" t="s">
        <v>527</v>
      </c>
      <c r="E228" s="244" t="s">
        <v>1119</v>
      </c>
      <c r="F228" s="244" t="s">
        <v>198</v>
      </c>
      <c r="G228" s="244" t="s">
        <v>64</v>
      </c>
      <c r="H228" s="244">
        <v>1</v>
      </c>
      <c r="I228" s="244">
        <v>0</v>
      </c>
      <c r="J228" s="242">
        <f>Table47[[#This Row],[ทดแทนจำนวน]]+Table47[[#This Row],[เพิ่มประสิทธิภาพจำนวน]]</f>
        <v>1</v>
      </c>
      <c r="K228" s="245">
        <v>849500</v>
      </c>
      <c r="L228" s="248" t="s">
        <v>589</v>
      </c>
    </row>
    <row r="229" spans="1:12">
      <c r="A229" s="246" t="s">
        <v>1539</v>
      </c>
      <c r="B229" s="244">
        <v>2570</v>
      </c>
      <c r="C229" s="241" t="s">
        <v>447</v>
      </c>
      <c r="D229" s="241" t="s">
        <v>477</v>
      </c>
      <c r="E229" s="244" t="s">
        <v>1116</v>
      </c>
      <c r="F229" s="244" t="s">
        <v>198</v>
      </c>
      <c r="G229" s="244" t="s">
        <v>64</v>
      </c>
      <c r="H229" s="244">
        <v>0</v>
      </c>
      <c r="I229" s="244">
        <v>2</v>
      </c>
      <c r="J229" s="242">
        <f>Table47[[#This Row],[ทดแทนจำนวน]]+Table47[[#This Row],[เพิ่มประสิทธิภาพจำนวน]]</f>
        <v>2</v>
      </c>
      <c r="K229" s="245">
        <v>432000</v>
      </c>
      <c r="L229" s="248" t="s">
        <v>1941</v>
      </c>
    </row>
    <row r="230" spans="1:12">
      <c r="A230" s="246" t="s">
        <v>1540</v>
      </c>
      <c r="B230" s="244">
        <v>2570</v>
      </c>
      <c r="C230" s="241" t="s">
        <v>447</v>
      </c>
      <c r="D230" s="241" t="s">
        <v>477</v>
      </c>
      <c r="E230" s="244" t="s">
        <v>1114</v>
      </c>
      <c r="F230" s="244" t="s">
        <v>198</v>
      </c>
      <c r="G230" s="244" t="s">
        <v>64</v>
      </c>
      <c r="H230" s="244">
        <v>0</v>
      </c>
      <c r="I230" s="244">
        <v>1</v>
      </c>
      <c r="J230" s="242">
        <f>Table47[[#This Row],[ทดแทนจำนวน]]+Table47[[#This Row],[เพิ่มประสิทธิภาพจำนวน]]</f>
        <v>1</v>
      </c>
      <c r="K230" s="245">
        <v>70190</v>
      </c>
      <c r="L230" s="248" t="s">
        <v>1941</v>
      </c>
    </row>
    <row r="231" spans="1:12">
      <c r="A231" s="246" t="s">
        <v>1541</v>
      </c>
      <c r="B231" s="244">
        <v>2570</v>
      </c>
      <c r="C231" s="241" t="s">
        <v>447</v>
      </c>
      <c r="D231" s="241" t="s">
        <v>477</v>
      </c>
      <c r="E231" s="244" t="s">
        <v>1112</v>
      </c>
      <c r="F231" s="244" t="s">
        <v>198</v>
      </c>
      <c r="G231" s="244" t="s">
        <v>64</v>
      </c>
      <c r="H231" s="244">
        <v>0</v>
      </c>
      <c r="I231" s="244">
        <v>2</v>
      </c>
      <c r="J231" s="242">
        <f>Table47[[#This Row],[ทดแทนจำนวน]]+Table47[[#This Row],[เพิ่มประสิทธิภาพจำนวน]]</f>
        <v>2</v>
      </c>
      <c r="K231" s="245">
        <v>2200</v>
      </c>
      <c r="L231" s="248" t="s">
        <v>1941</v>
      </c>
    </row>
    <row r="232" spans="1:12">
      <c r="A232" s="246" t="s">
        <v>1542</v>
      </c>
      <c r="B232" s="244">
        <v>2570</v>
      </c>
      <c r="C232" s="241" t="s">
        <v>447</v>
      </c>
      <c r="D232" s="241" t="s">
        <v>477</v>
      </c>
      <c r="E232" s="244" t="s">
        <v>1110</v>
      </c>
      <c r="F232" s="244" t="s">
        <v>198</v>
      </c>
      <c r="G232" s="244" t="s">
        <v>64</v>
      </c>
      <c r="H232" s="244">
        <v>0</v>
      </c>
      <c r="I232" s="244">
        <v>4</v>
      </c>
      <c r="J232" s="242">
        <f>Table47[[#This Row],[ทดแทนจำนวน]]+Table47[[#This Row],[เพิ่มประสิทธิภาพจำนวน]]</f>
        <v>4</v>
      </c>
      <c r="K232" s="245">
        <v>19200</v>
      </c>
      <c r="L232" s="248" t="s">
        <v>1941</v>
      </c>
    </row>
    <row r="233" spans="1:12">
      <c r="A233" s="246" t="s">
        <v>1543</v>
      </c>
      <c r="B233" s="244">
        <v>2570</v>
      </c>
      <c r="C233" s="241" t="s">
        <v>447</v>
      </c>
      <c r="D233" s="241" t="s">
        <v>477</v>
      </c>
      <c r="E233" s="244" t="s">
        <v>1108</v>
      </c>
      <c r="F233" s="244" t="s">
        <v>198</v>
      </c>
      <c r="G233" s="244" t="s">
        <v>64</v>
      </c>
      <c r="H233" s="244">
        <v>0</v>
      </c>
      <c r="I233" s="244">
        <v>3</v>
      </c>
      <c r="J233" s="242">
        <f>Table47[[#This Row],[ทดแทนจำนวน]]+Table47[[#This Row],[เพิ่มประสิทธิภาพจำนวน]]</f>
        <v>3</v>
      </c>
      <c r="K233" s="245">
        <v>18000</v>
      </c>
      <c r="L233" s="248" t="s">
        <v>1941</v>
      </c>
    </row>
    <row r="234" spans="1:12">
      <c r="A234" s="246" t="s">
        <v>1544</v>
      </c>
      <c r="B234" s="244">
        <v>2570</v>
      </c>
      <c r="C234" s="241" t="s">
        <v>447</v>
      </c>
      <c r="D234" s="241" t="s">
        <v>477</v>
      </c>
      <c r="E234" s="244" t="s">
        <v>1106</v>
      </c>
      <c r="F234" s="244" t="s">
        <v>198</v>
      </c>
      <c r="G234" s="244" t="s">
        <v>64</v>
      </c>
      <c r="H234" s="244">
        <v>0</v>
      </c>
      <c r="I234" s="244">
        <v>2</v>
      </c>
      <c r="J234" s="242">
        <f>Table47[[#This Row],[ทดแทนจำนวน]]+Table47[[#This Row],[เพิ่มประสิทธิภาพจำนวน]]</f>
        <v>2</v>
      </c>
      <c r="K234" s="245">
        <v>35000</v>
      </c>
      <c r="L234" s="248" t="s">
        <v>1941</v>
      </c>
    </row>
    <row r="235" spans="1:12">
      <c r="A235" s="246" t="s">
        <v>1545</v>
      </c>
      <c r="B235" s="244">
        <v>2570</v>
      </c>
      <c r="C235" s="241" t="s">
        <v>447</v>
      </c>
      <c r="D235" s="241" t="s">
        <v>477</v>
      </c>
      <c r="E235" s="244" t="s">
        <v>1104</v>
      </c>
      <c r="F235" s="244" t="s">
        <v>198</v>
      </c>
      <c r="G235" s="244" t="s">
        <v>64</v>
      </c>
      <c r="H235" s="244">
        <v>0</v>
      </c>
      <c r="I235" s="244">
        <v>2</v>
      </c>
      <c r="J235" s="242">
        <f>Table47[[#This Row],[ทดแทนจำนวน]]+Table47[[#This Row],[เพิ่มประสิทธิภาพจำนวน]]</f>
        <v>2</v>
      </c>
      <c r="K235" s="245">
        <v>8000</v>
      </c>
      <c r="L235" s="248" t="s">
        <v>1941</v>
      </c>
    </row>
    <row r="236" spans="1:12">
      <c r="A236" s="246" t="s">
        <v>1546</v>
      </c>
      <c r="B236" s="244">
        <v>2570</v>
      </c>
      <c r="C236" s="241" t="s">
        <v>447</v>
      </c>
      <c r="D236" s="241" t="s">
        <v>477</v>
      </c>
      <c r="E236" s="244" t="s">
        <v>1102</v>
      </c>
      <c r="F236" s="244" t="s">
        <v>198</v>
      </c>
      <c r="G236" s="244" t="s">
        <v>64</v>
      </c>
      <c r="H236" s="244">
        <v>0</v>
      </c>
      <c r="I236" s="244">
        <v>1</v>
      </c>
      <c r="J236" s="242">
        <f>Table47[[#This Row],[ทดแทนจำนวน]]+Table47[[#This Row],[เพิ่มประสิทธิภาพจำนวน]]</f>
        <v>1</v>
      </c>
      <c r="K236" s="245">
        <v>12600</v>
      </c>
      <c r="L236" s="248" t="s">
        <v>1941</v>
      </c>
    </row>
    <row r="237" spans="1:12">
      <c r="A237" s="246" t="s">
        <v>1547</v>
      </c>
      <c r="B237" s="244">
        <v>2570</v>
      </c>
      <c r="C237" s="241" t="s">
        <v>447</v>
      </c>
      <c r="D237" s="241" t="s">
        <v>477</v>
      </c>
      <c r="E237" s="244" t="s">
        <v>1100</v>
      </c>
      <c r="F237" s="244" t="s">
        <v>198</v>
      </c>
      <c r="G237" s="244" t="s">
        <v>64</v>
      </c>
      <c r="H237" s="244">
        <v>0</v>
      </c>
      <c r="I237" s="244">
        <v>2</v>
      </c>
      <c r="J237" s="242">
        <f>Table47[[#This Row],[ทดแทนจำนวน]]+Table47[[#This Row],[เพิ่มประสิทธิภาพจำนวน]]</f>
        <v>2</v>
      </c>
      <c r="K237" s="245">
        <v>25800</v>
      </c>
      <c r="L237" s="248" t="s">
        <v>1941</v>
      </c>
    </row>
    <row r="238" spans="1:12">
      <c r="A238" s="246" t="s">
        <v>1548</v>
      </c>
      <c r="B238" s="244">
        <v>2570</v>
      </c>
      <c r="C238" s="241" t="s">
        <v>447</v>
      </c>
      <c r="D238" s="241" t="s">
        <v>477</v>
      </c>
      <c r="E238" s="244" t="s">
        <v>1098</v>
      </c>
      <c r="F238" s="244" t="s">
        <v>198</v>
      </c>
      <c r="G238" s="244" t="s">
        <v>64</v>
      </c>
      <c r="H238" s="244">
        <v>0</v>
      </c>
      <c r="I238" s="244">
        <v>2</v>
      </c>
      <c r="J238" s="242">
        <f>Table47[[#This Row],[ทดแทนจำนวน]]+Table47[[#This Row],[เพิ่มประสิทธิภาพจำนวน]]</f>
        <v>2</v>
      </c>
      <c r="K238" s="245">
        <v>120000</v>
      </c>
      <c r="L238" s="248" t="s">
        <v>1941</v>
      </c>
    </row>
    <row r="239" spans="1:12">
      <c r="A239" s="246" t="s">
        <v>1549</v>
      </c>
      <c r="B239" s="244">
        <v>2570</v>
      </c>
      <c r="C239" s="241" t="s">
        <v>447</v>
      </c>
      <c r="D239" s="241" t="s">
        <v>477</v>
      </c>
      <c r="E239" s="244" t="s">
        <v>1096</v>
      </c>
      <c r="F239" s="244" t="s">
        <v>198</v>
      </c>
      <c r="G239" s="244" t="s">
        <v>64</v>
      </c>
      <c r="H239" s="244">
        <v>0</v>
      </c>
      <c r="I239" s="244">
        <v>2</v>
      </c>
      <c r="J239" s="242">
        <f>Table47[[#This Row],[ทดแทนจำนวน]]+Table47[[#This Row],[เพิ่มประสิทธิภาพจำนวน]]</f>
        <v>2</v>
      </c>
      <c r="K239" s="245">
        <v>30000</v>
      </c>
      <c r="L239" s="248" t="s">
        <v>1941</v>
      </c>
    </row>
    <row r="240" spans="1:12">
      <c r="A240" s="246" t="s">
        <v>1550</v>
      </c>
      <c r="B240" s="244">
        <v>2570</v>
      </c>
      <c r="C240" s="241" t="s">
        <v>447</v>
      </c>
      <c r="D240" s="241" t="s">
        <v>477</v>
      </c>
      <c r="E240" s="244" t="s">
        <v>1094</v>
      </c>
      <c r="F240" s="244" t="s">
        <v>198</v>
      </c>
      <c r="G240" s="244" t="s">
        <v>64</v>
      </c>
      <c r="H240" s="244">
        <v>0</v>
      </c>
      <c r="I240" s="244">
        <v>2</v>
      </c>
      <c r="J240" s="242">
        <f>Table47[[#This Row],[ทดแทนจำนวน]]+Table47[[#This Row],[เพิ่มประสิทธิภาพจำนวน]]</f>
        <v>2</v>
      </c>
      <c r="K240" s="245">
        <v>1400</v>
      </c>
      <c r="L240" s="248" t="s">
        <v>1941</v>
      </c>
    </row>
    <row r="241" spans="1:12">
      <c r="A241" s="246" t="s">
        <v>1551</v>
      </c>
      <c r="B241" s="244">
        <v>2570</v>
      </c>
      <c r="C241" s="241" t="s">
        <v>447</v>
      </c>
      <c r="D241" s="241" t="s">
        <v>477</v>
      </c>
      <c r="E241" s="244" t="s">
        <v>1092</v>
      </c>
      <c r="F241" s="244" t="s">
        <v>198</v>
      </c>
      <c r="G241" s="244" t="s">
        <v>64</v>
      </c>
      <c r="H241" s="244">
        <v>0</v>
      </c>
      <c r="I241" s="244">
        <v>1</v>
      </c>
      <c r="J241" s="242">
        <f>Table47[[#This Row],[ทดแทนจำนวน]]+Table47[[#This Row],[เพิ่มประสิทธิภาพจำนวน]]</f>
        <v>1</v>
      </c>
      <c r="K241" s="245">
        <v>45000</v>
      </c>
      <c r="L241" s="248" t="s">
        <v>1941</v>
      </c>
    </row>
    <row r="242" spans="1:12">
      <c r="A242" s="246" t="s">
        <v>1552</v>
      </c>
      <c r="B242" s="244">
        <v>2570</v>
      </c>
      <c r="C242" s="241" t="s">
        <v>447</v>
      </c>
      <c r="D242" s="241" t="s">
        <v>477</v>
      </c>
      <c r="E242" s="244" t="s">
        <v>1090</v>
      </c>
      <c r="F242" s="244" t="s">
        <v>198</v>
      </c>
      <c r="G242" s="244" t="s">
        <v>64</v>
      </c>
      <c r="H242" s="244">
        <v>0</v>
      </c>
      <c r="I242" s="244">
        <v>5</v>
      </c>
      <c r="J242" s="242">
        <f>Table47[[#This Row],[ทดแทนจำนวน]]+Table47[[#This Row],[เพิ่มประสิทธิภาพจำนวน]]</f>
        <v>5</v>
      </c>
      <c r="K242" s="245">
        <v>10000</v>
      </c>
      <c r="L242" s="248" t="s">
        <v>1941</v>
      </c>
    </row>
    <row r="243" spans="1:12">
      <c r="A243" s="246" t="s">
        <v>1553</v>
      </c>
      <c r="B243" s="244">
        <v>2570</v>
      </c>
      <c r="C243" s="241" t="s">
        <v>447</v>
      </c>
      <c r="D243" s="241" t="s">
        <v>477</v>
      </c>
      <c r="E243" s="244" t="s">
        <v>1088</v>
      </c>
      <c r="F243" s="244" t="s">
        <v>198</v>
      </c>
      <c r="G243" s="244" t="s">
        <v>64</v>
      </c>
      <c r="H243" s="244">
        <v>0</v>
      </c>
      <c r="I243" s="244">
        <v>1</v>
      </c>
      <c r="J243" s="242">
        <f>Table47[[#This Row],[ทดแทนจำนวน]]+Table47[[#This Row],[เพิ่มประสิทธิภาพจำนวน]]</f>
        <v>1</v>
      </c>
      <c r="K243" s="245">
        <v>6000</v>
      </c>
      <c r="L243" s="248" t="s">
        <v>1941</v>
      </c>
    </row>
    <row r="244" spans="1:12">
      <c r="A244" s="246" t="s">
        <v>1554</v>
      </c>
      <c r="B244" s="244">
        <v>2570</v>
      </c>
      <c r="C244" s="241" t="s">
        <v>447</v>
      </c>
      <c r="D244" s="241" t="s">
        <v>477</v>
      </c>
      <c r="E244" s="244" t="s">
        <v>1086</v>
      </c>
      <c r="F244" s="244" t="s">
        <v>198</v>
      </c>
      <c r="G244" s="244" t="s">
        <v>64</v>
      </c>
      <c r="H244" s="244">
        <v>0</v>
      </c>
      <c r="I244" s="244">
        <v>2</v>
      </c>
      <c r="J244" s="242">
        <f>Table47[[#This Row],[ทดแทนจำนวน]]+Table47[[#This Row],[เพิ่มประสิทธิภาพจำนวน]]</f>
        <v>2</v>
      </c>
      <c r="K244" s="245">
        <v>14000</v>
      </c>
      <c r="L244" s="248" t="s">
        <v>1941</v>
      </c>
    </row>
    <row r="245" spans="1:12">
      <c r="A245" s="246" t="s">
        <v>1555</v>
      </c>
      <c r="B245" s="244">
        <v>2570</v>
      </c>
      <c r="C245" s="241" t="s">
        <v>447</v>
      </c>
      <c r="D245" s="241" t="s">
        <v>477</v>
      </c>
      <c r="E245" s="244" t="s">
        <v>1084</v>
      </c>
      <c r="F245" s="244" t="s">
        <v>198</v>
      </c>
      <c r="G245" s="244" t="s">
        <v>64</v>
      </c>
      <c r="H245" s="244">
        <v>0</v>
      </c>
      <c r="I245" s="244">
        <v>2</v>
      </c>
      <c r="J245" s="242">
        <f>Table47[[#This Row],[ทดแทนจำนวน]]+Table47[[#This Row],[เพิ่มประสิทธิภาพจำนวน]]</f>
        <v>2</v>
      </c>
      <c r="K245" s="245">
        <v>40000</v>
      </c>
      <c r="L245" s="248" t="s">
        <v>1941</v>
      </c>
    </row>
    <row r="246" spans="1:12">
      <c r="A246" s="246" t="s">
        <v>1556</v>
      </c>
      <c r="B246" s="244">
        <v>2570</v>
      </c>
      <c r="C246" s="241" t="s">
        <v>447</v>
      </c>
      <c r="D246" s="241" t="s">
        <v>477</v>
      </c>
      <c r="E246" s="244" t="s">
        <v>1082</v>
      </c>
      <c r="F246" s="244" t="s">
        <v>198</v>
      </c>
      <c r="G246" s="244" t="s">
        <v>64</v>
      </c>
      <c r="H246" s="244">
        <v>0</v>
      </c>
      <c r="I246" s="244">
        <v>1</v>
      </c>
      <c r="J246" s="242">
        <f>Table47[[#This Row],[ทดแทนจำนวน]]+Table47[[#This Row],[เพิ่มประสิทธิภาพจำนวน]]</f>
        <v>1</v>
      </c>
      <c r="K246" s="245">
        <v>3000</v>
      </c>
      <c r="L246" s="248" t="s">
        <v>1941</v>
      </c>
    </row>
    <row r="247" spans="1:12">
      <c r="A247" s="246" t="s">
        <v>1557</v>
      </c>
      <c r="B247" s="244">
        <v>2570</v>
      </c>
      <c r="C247" s="241" t="s">
        <v>447</v>
      </c>
      <c r="D247" s="241" t="s">
        <v>477</v>
      </c>
      <c r="E247" s="244" t="s">
        <v>1080</v>
      </c>
      <c r="F247" s="244" t="s">
        <v>198</v>
      </c>
      <c r="G247" s="244" t="s">
        <v>64</v>
      </c>
      <c r="H247" s="244">
        <v>0</v>
      </c>
      <c r="I247" s="244">
        <v>2</v>
      </c>
      <c r="J247" s="242">
        <f>Table47[[#This Row],[ทดแทนจำนวน]]+Table47[[#This Row],[เพิ่มประสิทธิภาพจำนวน]]</f>
        <v>2</v>
      </c>
      <c r="K247" s="245">
        <v>4000</v>
      </c>
      <c r="L247" s="248" t="s">
        <v>1941</v>
      </c>
    </row>
    <row r="248" spans="1:12">
      <c r="A248" s="246" t="s">
        <v>1558</v>
      </c>
      <c r="B248" s="244">
        <v>2570</v>
      </c>
      <c r="C248" s="241" t="s">
        <v>447</v>
      </c>
      <c r="D248" s="241" t="s">
        <v>477</v>
      </c>
      <c r="E248" s="244" t="s">
        <v>1078</v>
      </c>
      <c r="F248" s="244" t="s">
        <v>198</v>
      </c>
      <c r="G248" s="244" t="s">
        <v>64</v>
      </c>
      <c r="H248" s="244">
        <v>0</v>
      </c>
      <c r="I248" s="244">
        <v>2</v>
      </c>
      <c r="J248" s="242">
        <f>Table47[[#This Row],[ทดแทนจำนวน]]+Table47[[#This Row],[เพิ่มประสิทธิภาพจำนวน]]</f>
        <v>2</v>
      </c>
      <c r="K248" s="245">
        <v>5000</v>
      </c>
      <c r="L248" s="248" t="s">
        <v>1941</v>
      </c>
    </row>
    <row r="249" spans="1:12">
      <c r="A249" s="246" t="s">
        <v>1559</v>
      </c>
      <c r="B249" s="244">
        <v>2570</v>
      </c>
      <c r="C249" s="241" t="s">
        <v>447</v>
      </c>
      <c r="D249" s="241" t="s">
        <v>477</v>
      </c>
      <c r="E249" s="244" t="s">
        <v>1076</v>
      </c>
      <c r="F249" s="244" t="s">
        <v>198</v>
      </c>
      <c r="G249" s="244" t="s">
        <v>64</v>
      </c>
      <c r="H249" s="244">
        <v>0</v>
      </c>
      <c r="I249" s="244">
        <v>2</v>
      </c>
      <c r="J249" s="242">
        <f>Table47[[#This Row],[ทดแทนจำนวน]]+Table47[[#This Row],[เพิ่มประสิทธิภาพจำนวน]]</f>
        <v>2</v>
      </c>
      <c r="K249" s="245">
        <v>170000</v>
      </c>
      <c r="L249" s="248" t="s">
        <v>1941</v>
      </c>
    </row>
    <row r="250" spans="1:12">
      <c r="A250" s="246" t="s">
        <v>1560</v>
      </c>
      <c r="B250" s="244">
        <v>2570</v>
      </c>
      <c r="C250" s="241" t="s">
        <v>447</v>
      </c>
      <c r="D250" s="241" t="s">
        <v>477</v>
      </c>
      <c r="E250" s="244" t="s">
        <v>1074</v>
      </c>
      <c r="F250" s="244" t="s">
        <v>198</v>
      </c>
      <c r="G250" s="244" t="s">
        <v>64</v>
      </c>
      <c r="H250" s="244">
        <v>0</v>
      </c>
      <c r="I250" s="244">
        <v>2</v>
      </c>
      <c r="J250" s="242">
        <f>Table47[[#This Row],[ทดแทนจำนวน]]+Table47[[#This Row],[เพิ่มประสิทธิภาพจำนวน]]</f>
        <v>2</v>
      </c>
      <c r="K250" s="245">
        <v>9000</v>
      </c>
      <c r="L250" s="248" t="s">
        <v>1941</v>
      </c>
    </row>
    <row r="251" spans="1:12">
      <c r="A251" s="246" t="s">
        <v>1561</v>
      </c>
      <c r="B251" s="244">
        <v>2570</v>
      </c>
      <c r="C251" s="241" t="s">
        <v>447</v>
      </c>
      <c r="D251" s="241" t="s">
        <v>477</v>
      </c>
      <c r="E251" s="244" t="s">
        <v>1072</v>
      </c>
      <c r="F251" s="244" t="s">
        <v>198</v>
      </c>
      <c r="G251" s="244" t="s">
        <v>64</v>
      </c>
      <c r="H251" s="244">
        <v>0</v>
      </c>
      <c r="I251" s="244">
        <v>2</v>
      </c>
      <c r="J251" s="242">
        <f>Table47[[#This Row],[ทดแทนจำนวน]]+Table47[[#This Row],[เพิ่มประสิทธิภาพจำนวน]]</f>
        <v>2</v>
      </c>
      <c r="K251" s="245">
        <v>110000</v>
      </c>
      <c r="L251" s="248" t="s">
        <v>1941</v>
      </c>
    </row>
    <row r="252" spans="1:12">
      <c r="A252" s="246" t="s">
        <v>1562</v>
      </c>
      <c r="B252" s="244">
        <v>2570</v>
      </c>
      <c r="C252" s="241" t="s">
        <v>447</v>
      </c>
      <c r="D252" s="241" t="s">
        <v>477</v>
      </c>
      <c r="E252" s="244" t="s">
        <v>1070</v>
      </c>
      <c r="F252" s="244" t="s">
        <v>198</v>
      </c>
      <c r="G252" s="244" t="s">
        <v>64</v>
      </c>
      <c r="H252" s="244">
        <v>0</v>
      </c>
      <c r="I252" s="244">
        <v>2</v>
      </c>
      <c r="J252" s="242">
        <f>Table47[[#This Row],[ทดแทนจำนวน]]+Table47[[#This Row],[เพิ่มประสิทธิภาพจำนวน]]</f>
        <v>2</v>
      </c>
      <c r="K252" s="245">
        <v>22000</v>
      </c>
      <c r="L252" s="248" t="s">
        <v>1941</v>
      </c>
    </row>
    <row r="253" spans="1:12">
      <c r="A253" s="246" t="s">
        <v>1563</v>
      </c>
      <c r="B253" s="244">
        <v>2570</v>
      </c>
      <c r="C253" s="241" t="s">
        <v>447</v>
      </c>
      <c r="D253" s="241" t="s">
        <v>477</v>
      </c>
      <c r="E253" s="244" t="s">
        <v>1068</v>
      </c>
      <c r="F253" s="244" t="s">
        <v>198</v>
      </c>
      <c r="G253" s="244" t="s">
        <v>64</v>
      </c>
      <c r="H253" s="244">
        <v>0</v>
      </c>
      <c r="I253" s="244">
        <v>2</v>
      </c>
      <c r="J253" s="242">
        <f>Table47[[#This Row],[ทดแทนจำนวน]]+Table47[[#This Row],[เพิ่มประสิทธิภาพจำนวน]]</f>
        <v>2</v>
      </c>
      <c r="K253" s="245">
        <v>350000</v>
      </c>
      <c r="L253" s="248" t="s">
        <v>1941</v>
      </c>
    </row>
    <row r="254" spans="1:12">
      <c r="A254" s="246" t="s">
        <v>1564</v>
      </c>
      <c r="B254" s="244">
        <v>2570</v>
      </c>
      <c r="C254" s="241" t="s">
        <v>447</v>
      </c>
      <c r="D254" s="241" t="s">
        <v>477</v>
      </c>
      <c r="E254" s="244" t="s">
        <v>1066</v>
      </c>
      <c r="F254" s="244" t="s">
        <v>198</v>
      </c>
      <c r="G254" s="244" t="s">
        <v>64</v>
      </c>
      <c r="H254" s="244">
        <v>0</v>
      </c>
      <c r="I254" s="244">
        <v>2</v>
      </c>
      <c r="J254" s="242">
        <f>Table47[[#This Row],[ทดแทนจำนวน]]+Table47[[#This Row],[เพิ่มประสิทธิภาพจำนวน]]</f>
        <v>2</v>
      </c>
      <c r="K254" s="245">
        <v>148000</v>
      </c>
      <c r="L254" s="248" t="s">
        <v>1941</v>
      </c>
    </row>
    <row r="255" spans="1:12">
      <c r="A255" s="246" t="s">
        <v>1565</v>
      </c>
      <c r="B255" s="244">
        <v>2570</v>
      </c>
      <c r="C255" s="241" t="s">
        <v>447</v>
      </c>
      <c r="D255" s="241" t="s">
        <v>477</v>
      </c>
      <c r="E255" s="244" t="s">
        <v>1063</v>
      </c>
      <c r="F255" s="244" t="s">
        <v>198</v>
      </c>
      <c r="G255" s="244" t="s">
        <v>64</v>
      </c>
      <c r="H255" s="244">
        <v>0</v>
      </c>
      <c r="I255" s="244">
        <v>1</v>
      </c>
      <c r="J255" s="242">
        <f>Table47[[#This Row],[ทดแทนจำนวน]]+Table47[[#This Row],[เพิ่มประสิทธิภาพจำนวน]]</f>
        <v>1</v>
      </c>
      <c r="K255" s="245">
        <v>15000</v>
      </c>
      <c r="L255" s="248" t="s">
        <v>1941</v>
      </c>
    </row>
    <row r="256" spans="1:12">
      <c r="A256" s="246" t="s">
        <v>1566</v>
      </c>
      <c r="B256" s="244">
        <v>2570</v>
      </c>
      <c r="C256" s="241" t="s">
        <v>447</v>
      </c>
      <c r="D256" s="241" t="s">
        <v>555</v>
      </c>
      <c r="E256" s="244" t="s">
        <v>1061</v>
      </c>
      <c r="F256" s="244" t="s">
        <v>156</v>
      </c>
      <c r="G256" s="244" t="s">
        <v>154</v>
      </c>
      <c r="H256" s="244">
        <v>0</v>
      </c>
      <c r="I256" s="244">
        <v>1</v>
      </c>
      <c r="J256" s="242">
        <f>Table47[[#This Row],[ทดแทนจำนวน]]+Table47[[#This Row],[เพิ่มประสิทธิภาพจำนวน]]</f>
        <v>1</v>
      </c>
      <c r="K256" s="245">
        <v>180000</v>
      </c>
      <c r="L256" s="248" t="s">
        <v>1941</v>
      </c>
    </row>
    <row r="257" spans="1:12">
      <c r="A257" s="246" t="s">
        <v>1567</v>
      </c>
      <c r="B257" s="244">
        <v>2570</v>
      </c>
      <c r="C257" s="241" t="s">
        <v>447</v>
      </c>
      <c r="D257" s="241" t="s">
        <v>555</v>
      </c>
      <c r="E257" s="244" t="s">
        <v>1061</v>
      </c>
      <c r="F257" s="244" t="s">
        <v>451</v>
      </c>
      <c r="G257" s="244" t="s">
        <v>444</v>
      </c>
      <c r="H257" s="244">
        <v>0</v>
      </c>
      <c r="I257" s="244">
        <v>1</v>
      </c>
      <c r="J257" s="242">
        <f>Table47[[#This Row],[ทดแทนจำนวน]]+Table47[[#This Row],[เพิ่มประสิทธิภาพจำนวน]]</f>
        <v>1</v>
      </c>
      <c r="K257" s="245">
        <v>180000</v>
      </c>
      <c r="L257" s="248" t="s">
        <v>1941</v>
      </c>
    </row>
    <row r="258" spans="1:12">
      <c r="A258" s="246" t="s">
        <v>1568</v>
      </c>
      <c r="B258" s="244">
        <v>2570</v>
      </c>
      <c r="C258" s="241" t="s">
        <v>447</v>
      </c>
      <c r="D258" s="241" t="s">
        <v>555</v>
      </c>
      <c r="E258" s="244" t="s">
        <v>1057</v>
      </c>
      <c r="F258" s="244" t="s">
        <v>433</v>
      </c>
      <c r="G258" s="244" t="s">
        <v>428</v>
      </c>
      <c r="H258" s="244">
        <v>0</v>
      </c>
      <c r="I258" s="244">
        <v>1</v>
      </c>
      <c r="J258" s="242">
        <f>Table47[[#This Row],[ทดแทนจำนวน]]+Table47[[#This Row],[เพิ่มประสิทธิภาพจำนวน]]</f>
        <v>1</v>
      </c>
      <c r="K258" s="245">
        <v>200000</v>
      </c>
      <c r="L258" s="248" t="s">
        <v>1941</v>
      </c>
    </row>
    <row r="259" spans="1:12">
      <c r="A259" s="246" t="s">
        <v>1569</v>
      </c>
      <c r="B259" s="244">
        <v>2570</v>
      </c>
      <c r="C259" s="241" t="s">
        <v>447</v>
      </c>
      <c r="D259" s="241" t="s">
        <v>555</v>
      </c>
      <c r="E259" s="244" t="s">
        <v>1057</v>
      </c>
      <c r="F259" s="244" t="s">
        <v>343</v>
      </c>
      <c r="G259" s="244" t="s">
        <v>340</v>
      </c>
      <c r="H259" s="244">
        <v>1</v>
      </c>
      <c r="I259" s="244">
        <v>0</v>
      </c>
      <c r="J259" s="242">
        <f>Table47[[#This Row],[ทดแทนจำนวน]]+Table47[[#This Row],[เพิ่มประสิทธิภาพจำนวน]]</f>
        <v>1</v>
      </c>
      <c r="K259" s="245">
        <v>200000</v>
      </c>
      <c r="L259" s="248" t="s">
        <v>589</v>
      </c>
    </row>
    <row r="260" spans="1:12">
      <c r="A260" s="246" t="s">
        <v>1570</v>
      </c>
      <c r="B260" s="244">
        <v>2570</v>
      </c>
      <c r="C260" s="241" t="s">
        <v>447</v>
      </c>
      <c r="D260" s="241" t="s">
        <v>555</v>
      </c>
      <c r="E260" s="244" t="s">
        <v>1057</v>
      </c>
      <c r="F260" s="244" t="s">
        <v>356</v>
      </c>
      <c r="G260" s="244" t="s">
        <v>357</v>
      </c>
      <c r="H260" s="244">
        <v>0</v>
      </c>
      <c r="I260" s="244">
        <v>1</v>
      </c>
      <c r="J260" s="242">
        <f>Table47[[#This Row],[ทดแทนจำนวน]]+Table47[[#This Row],[เพิ่มประสิทธิภาพจำนวน]]</f>
        <v>1</v>
      </c>
      <c r="K260" s="245">
        <v>200000</v>
      </c>
      <c r="L260" s="248" t="s">
        <v>1941</v>
      </c>
    </row>
    <row r="261" spans="1:12">
      <c r="A261" s="246" t="s">
        <v>1571</v>
      </c>
      <c r="B261" s="244">
        <v>2570</v>
      </c>
      <c r="C261" s="241" t="s">
        <v>447</v>
      </c>
      <c r="D261" s="241" t="s">
        <v>555</v>
      </c>
      <c r="E261" s="244" t="s">
        <v>1055</v>
      </c>
      <c r="F261" s="244" t="s">
        <v>350</v>
      </c>
      <c r="G261" s="244" t="s">
        <v>103</v>
      </c>
      <c r="H261" s="244">
        <v>0</v>
      </c>
      <c r="I261" s="244">
        <v>1</v>
      </c>
      <c r="J261" s="242">
        <f>Table47[[#This Row],[ทดแทนจำนวน]]+Table47[[#This Row],[เพิ่มประสิทธิภาพจำนวน]]</f>
        <v>1</v>
      </c>
      <c r="K261" s="245">
        <v>250000</v>
      </c>
      <c r="L261" s="248" t="s">
        <v>1941</v>
      </c>
    </row>
    <row r="262" spans="1:12">
      <c r="A262" s="246" t="s">
        <v>1572</v>
      </c>
      <c r="B262" s="244">
        <v>2570</v>
      </c>
      <c r="C262" s="241" t="s">
        <v>447</v>
      </c>
      <c r="D262" s="241" t="s">
        <v>555</v>
      </c>
      <c r="E262" s="244" t="s">
        <v>1050</v>
      </c>
      <c r="F262" s="244" t="s">
        <v>145</v>
      </c>
      <c r="G262" s="244" t="s">
        <v>143</v>
      </c>
      <c r="H262" s="244">
        <v>1</v>
      </c>
      <c r="I262" s="244">
        <v>0</v>
      </c>
      <c r="J262" s="242">
        <f>Table47[[#This Row],[ทดแทนจำนวน]]+Table47[[#This Row],[เพิ่มประสิทธิภาพจำนวน]]</f>
        <v>1</v>
      </c>
      <c r="K262" s="245">
        <v>120000</v>
      </c>
      <c r="L262" s="248" t="s">
        <v>589</v>
      </c>
    </row>
    <row r="263" spans="1:12">
      <c r="A263" s="246" t="s">
        <v>1573</v>
      </c>
      <c r="B263" s="244">
        <v>2570</v>
      </c>
      <c r="C263" s="241" t="s">
        <v>447</v>
      </c>
      <c r="D263" s="241" t="s">
        <v>555</v>
      </c>
      <c r="E263" s="244" t="s">
        <v>1050</v>
      </c>
      <c r="F263" s="244" t="s">
        <v>148</v>
      </c>
      <c r="G263" s="244" t="s">
        <v>146</v>
      </c>
      <c r="H263" s="244">
        <v>1</v>
      </c>
      <c r="I263" s="244">
        <v>0</v>
      </c>
      <c r="J263" s="242">
        <f>Table47[[#This Row],[ทดแทนจำนวน]]+Table47[[#This Row],[เพิ่มประสิทธิภาพจำนวน]]</f>
        <v>1</v>
      </c>
      <c r="K263" s="245">
        <v>120000</v>
      </c>
      <c r="L263" s="248" t="s">
        <v>589</v>
      </c>
    </row>
    <row r="264" spans="1:12">
      <c r="A264" s="246" t="s">
        <v>1574</v>
      </c>
      <c r="B264" s="244">
        <v>2570</v>
      </c>
      <c r="C264" s="241" t="s">
        <v>447</v>
      </c>
      <c r="D264" s="241" t="s">
        <v>555</v>
      </c>
      <c r="E264" s="244" t="s">
        <v>1050</v>
      </c>
      <c r="F264" s="244" t="s">
        <v>53</v>
      </c>
      <c r="G264" s="244" t="s">
        <v>51</v>
      </c>
      <c r="H264" s="244">
        <v>0</v>
      </c>
      <c r="I264" s="244">
        <v>1</v>
      </c>
      <c r="J264" s="242">
        <f>Table47[[#This Row],[ทดแทนจำนวน]]+Table47[[#This Row],[เพิ่มประสิทธิภาพจำนวน]]</f>
        <v>1</v>
      </c>
      <c r="K264" s="245">
        <v>120000</v>
      </c>
      <c r="L264" s="248" t="s">
        <v>1941</v>
      </c>
    </row>
    <row r="265" spans="1:12">
      <c r="A265" s="246" t="s">
        <v>1575</v>
      </c>
      <c r="B265" s="244">
        <v>2570</v>
      </c>
      <c r="C265" s="241" t="s">
        <v>447</v>
      </c>
      <c r="D265" s="241" t="s">
        <v>555</v>
      </c>
      <c r="E265" s="244" t="s">
        <v>1049</v>
      </c>
      <c r="F265" s="244" t="s">
        <v>156</v>
      </c>
      <c r="G265" s="244" t="s">
        <v>154</v>
      </c>
      <c r="H265" s="244">
        <v>0</v>
      </c>
      <c r="I265" s="244">
        <v>1</v>
      </c>
      <c r="J265" s="242">
        <f>Table47[[#This Row],[ทดแทนจำนวน]]+Table47[[#This Row],[เพิ่มประสิทธิภาพจำนวน]]</f>
        <v>1</v>
      </c>
      <c r="K265" s="245">
        <v>180000</v>
      </c>
      <c r="L265" s="248" t="s">
        <v>1941</v>
      </c>
    </row>
    <row r="266" spans="1:12">
      <c r="A266" s="246" t="s">
        <v>1576</v>
      </c>
      <c r="B266" s="244">
        <v>2570</v>
      </c>
      <c r="C266" s="241" t="s">
        <v>447</v>
      </c>
      <c r="D266" s="241" t="s">
        <v>555</v>
      </c>
      <c r="E266" s="244" t="s">
        <v>1046</v>
      </c>
      <c r="F266" s="244" t="s">
        <v>458</v>
      </c>
      <c r="G266" s="244" t="s">
        <v>440</v>
      </c>
      <c r="H266" s="244">
        <v>0</v>
      </c>
      <c r="I266" s="244">
        <v>1</v>
      </c>
      <c r="J266" s="242">
        <f>Table47[[#This Row],[ทดแทนจำนวน]]+Table47[[#This Row],[เพิ่มประสิทธิภาพจำนวน]]</f>
        <v>1</v>
      </c>
      <c r="K266" s="245">
        <v>8600</v>
      </c>
      <c r="L266" s="248" t="s">
        <v>1941</v>
      </c>
    </row>
    <row r="267" spans="1:12">
      <c r="A267" s="246" t="s">
        <v>1577</v>
      </c>
      <c r="B267" s="244">
        <v>2570</v>
      </c>
      <c r="C267" s="241" t="s">
        <v>447</v>
      </c>
      <c r="D267" s="241" t="s">
        <v>555</v>
      </c>
      <c r="E267" s="244" t="s">
        <v>1046</v>
      </c>
      <c r="F267" s="244" t="s">
        <v>381</v>
      </c>
      <c r="G267" s="244" t="s">
        <v>379</v>
      </c>
      <c r="H267" s="244">
        <v>0</v>
      </c>
      <c r="I267" s="244">
        <v>1</v>
      </c>
      <c r="J267" s="242">
        <f>Table47[[#This Row],[ทดแทนจำนวน]]+Table47[[#This Row],[เพิ่มประสิทธิภาพจำนวน]]</f>
        <v>1</v>
      </c>
      <c r="K267" s="245">
        <v>8000</v>
      </c>
      <c r="L267" s="248" t="s">
        <v>1941</v>
      </c>
    </row>
    <row r="268" spans="1:12">
      <c r="A268" s="246" t="s">
        <v>1578</v>
      </c>
      <c r="B268" s="244">
        <v>2570</v>
      </c>
      <c r="C268" s="241" t="s">
        <v>447</v>
      </c>
      <c r="D268" s="241" t="s">
        <v>555</v>
      </c>
      <c r="E268" s="244" t="s">
        <v>1046</v>
      </c>
      <c r="F268" s="244" t="s">
        <v>164</v>
      </c>
      <c r="G268" s="244" t="s">
        <v>160</v>
      </c>
      <c r="H268" s="244">
        <v>0</v>
      </c>
      <c r="I268" s="244">
        <v>1</v>
      </c>
      <c r="J268" s="242">
        <f>Table47[[#This Row],[ทดแทนจำนวน]]+Table47[[#This Row],[เพิ่มประสิทธิภาพจำนวน]]</f>
        <v>1</v>
      </c>
      <c r="K268" s="245">
        <v>8600</v>
      </c>
      <c r="L268" s="248" t="s">
        <v>1941</v>
      </c>
    </row>
    <row r="269" spans="1:12">
      <c r="A269" s="246" t="s">
        <v>1579</v>
      </c>
      <c r="B269" s="244">
        <v>2570</v>
      </c>
      <c r="C269" s="241" t="s">
        <v>447</v>
      </c>
      <c r="D269" s="241" t="s">
        <v>555</v>
      </c>
      <c r="E269" s="244" t="s">
        <v>1046</v>
      </c>
      <c r="F269" s="244" t="s">
        <v>56</v>
      </c>
      <c r="G269" s="244" t="s">
        <v>54</v>
      </c>
      <c r="H269" s="244">
        <v>0</v>
      </c>
      <c r="I269" s="244">
        <v>1</v>
      </c>
      <c r="J269" s="242">
        <f>Table47[[#This Row],[ทดแทนจำนวน]]+Table47[[#This Row],[เพิ่มประสิทธิภาพจำนวน]]</f>
        <v>1</v>
      </c>
      <c r="K269" s="245">
        <v>8600</v>
      </c>
      <c r="L269" s="248" t="s">
        <v>1941</v>
      </c>
    </row>
    <row r="270" spans="1:12">
      <c r="A270" s="246" t="s">
        <v>1580</v>
      </c>
      <c r="B270" s="244">
        <v>2570</v>
      </c>
      <c r="C270" s="241" t="s">
        <v>447</v>
      </c>
      <c r="D270" s="241" t="s">
        <v>555</v>
      </c>
      <c r="E270" s="244" t="s">
        <v>1043</v>
      </c>
      <c r="F270" s="244" t="s">
        <v>24</v>
      </c>
      <c r="G270" s="244" t="s">
        <v>22</v>
      </c>
      <c r="H270" s="244">
        <v>0</v>
      </c>
      <c r="I270" s="244">
        <v>1</v>
      </c>
      <c r="J270" s="242">
        <f>Table47[[#This Row],[ทดแทนจำนวน]]+Table47[[#This Row],[เพิ่มประสิทธิภาพจำนวน]]</f>
        <v>1</v>
      </c>
      <c r="K270" s="245">
        <v>13700</v>
      </c>
      <c r="L270" s="248" t="s">
        <v>1941</v>
      </c>
    </row>
    <row r="271" spans="1:12">
      <c r="A271" s="246" t="s">
        <v>1581</v>
      </c>
      <c r="B271" s="244">
        <v>2570</v>
      </c>
      <c r="C271" s="241" t="s">
        <v>447</v>
      </c>
      <c r="D271" s="241" t="s">
        <v>555</v>
      </c>
      <c r="E271" s="244" t="s">
        <v>1043</v>
      </c>
      <c r="F271" s="244" t="s">
        <v>39</v>
      </c>
      <c r="G271" s="244" t="s">
        <v>34</v>
      </c>
      <c r="H271" s="244">
        <v>0</v>
      </c>
      <c r="I271" s="244">
        <v>1</v>
      </c>
      <c r="J271" s="242">
        <f>Table47[[#This Row],[ทดแทนจำนวน]]+Table47[[#This Row],[เพิ่มประสิทธิภาพจำนวน]]</f>
        <v>1</v>
      </c>
      <c r="K271" s="245">
        <v>13700</v>
      </c>
      <c r="L271" s="248" t="s">
        <v>1941</v>
      </c>
    </row>
    <row r="272" spans="1:12">
      <c r="A272" s="246" t="s">
        <v>1582</v>
      </c>
      <c r="B272" s="244">
        <v>2570</v>
      </c>
      <c r="C272" s="241" t="s">
        <v>447</v>
      </c>
      <c r="D272" s="241" t="s">
        <v>555</v>
      </c>
      <c r="E272" s="244" t="s">
        <v>1043</v>
      </c>
      <c r="F272" s="244" t="s">
        <v>232</v>
      </c>
      <c r="G272" s="244" t="s">
        <v>230</v>
      </c>
      <c r="H272" s="244">
        <v>0</v>
      </c>
      <c r="I272" s="244">
        <v>1</v>
      </c>
      <c r="J272" s="242">
        <f>Table47[[#This Row],[ทดแทนจำนวน]]+Table47[[#This Row],[เพิ่มประสิทธิภาพจำนวน]]</f>
        <v>1</v>
      </c>
      <c r="K272" s="245">
        <v>13700</v>
      </c>
      <c r="L272" s="248" t="s">
        <v>1941</v>
      </c>
    </row>
    <row r="273" spans="1:12">
      <c r="A273" s="246" t="s">
        <v>1583</v>
      </c>
      <c r="B273" s="244">
        <v>2570</v>
      </c>
      <c r="C273" s="241" t="s">
        <v>447</v>
      </c>
      <c r="D273" s="241" t="s">
        <v>555</v>
      </c>
      <c r="E273" s="244" t="s">
        <v>1043</v>
      </c>
      <c r="F273" s="244" t="s">
        <v>50</v>
      </c>
      <c r="G273" s="244" t="s">
        <v>46</v>
      </c>
      <c r="H273" s="244">
        <v>0</v>
      </c>
      <c r="I273" s="244">
        <v>1</v>
      </c>
      <c r="J273" s="242">
        <f>Table47[[#This Row],[ทดแทนจำนวน]]+Table47[[#This Row],[เพิ่มประสิทธิภาพจำนวน]]</f>
        <v>1</v>
      </c>
      <c r="K273" s="245">
        <v>13700</v>
      </c>
      <c r="L273" s="248" t="s">
        <v>1941</v>
      </c>
    </row>
    <row r="274" spans="1:12">
      <c r="A274" s="246" t="s">
        <v>1584</v>
      </c>
      <c r="B274" s="244">
        <v>2570</v>
      </c>
      <c r="C274" s="241" t="s">
        <v>447</v>
      </c>
      <c r="D274" s="241" t="s">
        <v>555</v>
      </c>
      <c r="E274" s="244" t="s">
        <v>1043</v>
      </c>
      <c r="F274" s="244" t="s">
        <v>451</v>
      </c>
      <c r="G274" s="244" t="s">
        <v>444</v>
      </c>
      <c r="H274" s="244">
        <v>0</v>
      </c>
      <c r="I274" s="244">
        <v>1</v>
      </c>
      <c r="J274" s="242">
        <f>Table47[[#This Row],[ทดแทนจำนวน]]+Table47[[#This Row],[เพิ่มประสิทธิภาพจำนวน]]</f>
        <v>1</v>
      </c>
      <c r="K274" s="245">
        <v>13800</v>
      </c>
      <c r="L274" s="248" t="s">
        <v>1941</v>
      </c>
    </row>
    <row r="275" spans="1:12">
      <c r="A275" s="246" t="s">
        <v>1585</v>
      </c>
      <c r="B275" s="244">
        <v>2570</v>
      </c>
      <c r="C275" s="241" t="s">
        <v>447</v>
      </c>
      <c r="D275" s="241" t="s">
        <v>555</v>
      </c>
      <c r="E275" s="244" t="s">
        <v>1043</v>
      </c>
      <c r="F275" s="244" t="s">
        <v>356</v>
      </c>
      <c r="G275" s="244" t="s">
        <v>357</v>
      </c>
      <c r="H275" s="244">
        <v>0</v>
      </c>
      <c r="I275" s="244">
        <v>1</v>
      </c>
      <c r="J275" s="242">
        <f>Table47[[#This Row],[ทดแทนจำนวน]]+Table47[[#This Row],[เพิ่มประสิทธิภาพจำนวน]]</f>
        <v>1</v>
      </c>
      <c r="K275" s="245">
        <v>13700</v>
      </c>
      <c r="L275" s="248" t="s">
        <v>1941</v>
      </c>
    </row>
    <row r="276" spans="1:12">
      <c r="A276" s="246" t="s">
        <v>1586</v>
      </c>
      <c r="B276" s="244">
        <v>2570</v>
      </c>
      <c r="C276" s="241" t="s">
        <v>447</v>
      </c>
      <c r="D276" s="241" t="s">
        <v>555</v>
      </c>
      <c r="E276" s="244" t="s">
        <v>1041</v>
      </c>
      <c r="F276" s="244" t="s">
        <v>56</v>
      </c>
      <c r="G276" s="244" t="s">
        <v>54</v>
      </c>
      <c r="H276" s="244">
        <v>0</v>
      </c>
      <c r="I276" s="244">
        <v>1</v>
      </c>
      <c r="J276" s="242">
        <f>Table47[[#This Row],[ทดแทนจำนวน]]+Table47[[#This Row],[เพิ่มประสิทธิภาพจำนวน]]</f>
        <v>1</v>
      </c>
      <c r="K276" s="245">
        <v>21000</v>
      </c>
      <c r="L276" s="248" t="s">
        <v>1941</v>
      </c>
    </row>
    <row r="277" spans="1:12">
      <c r="A277" s="246" t="s">
        <v>1587</v>
      </c>
      <c r="B277" s="244">
        <v>2570</v>
      </c>
      <c r="C277" s="241" t="s">
        <v>447</v>
      </c>
      <c r="D277" s="241" t="s">
        <v>555</v>
      </c>
      <c r="E277" s="244" t="s">
        <v>1038</v>
      </c>
      <c r="F277" s="244" t="s">
        <v>463</v>
      </c>
      <c r="G277" s="244" t="s">
        <v>438</v>
      </c>
      <c r="H277" s="244">
        <v>0</v>
      </c>
      <c r="I277" s="244">
        <v>1</v>
      </c>
      <c r="J277" s="242">
        <f>Table47[[#This Row],[ทดแทนจำนวน]]+Table47[[#This Row],[เพิ่มประสิทธิภาพจำนวน]]</f>
        <v>1</v>
      </c>
      <c r="K277" s="245">
        <v>67000</v>
      </c>
      <c r="L277" s="248" t="s">
        <v>1941</v>
      </c>
    </row>
    <row r="278" spans="1:12">
      <c r="A278" s="246" t="s">
        <v>1588</v>
      </c>
      <c r="B278" s="244">
        <v>2570</v>
      </c>
      <c r="C278" s="241" t="s">
        <v>447</v>
      </c>
      <c r="D278" s="241" t="s">
        <v>555</v>
      </c>
      <c r="E278" s="244" t="s">
        <v>1038</v>
      </c>
      <c r="F278" s="244" t="s">
        <v>109</v>
      </c>
      <c r="G278" s="244" t="s">
        <v>107</v>
      </c>
      <c r="H278" s="244">
        <v>1</v>
      </c>
      <c r="I278" s="244">
        <v>0</v>
      </c>
      <c r="J278" s="242">
        <f>Table47[[#This Row],[ทดแทนจำนวน]]+Table47[[#This Row],[เพิ่มประสิทธิภาพจำนวน]]</f>
        <v>1</v>
      </c>
      <c r="K278" s="245">
        <v>67000</v>
      </c>
      <c r="L278" s="248" t="s">
        <v>589</v>
      </c>
    </row>
    <row r="279" spans="1:12">
      <c r="A279" s="246" t="s">
        <v>1589</v>
      </c>
      <c r="B279" s="244">
        <v>2570</v>
      </c>
      <c r="C279" s="241" t="s">
        <v>447</v>
      </c>
      <c r="D279" s="241" t="s">
        <v>555</v>
      </c>
      <c r="E279" s="244" t="s">
        <v>1038</v>
      </c>
      <c r="F279" s="244" t="s">
        <v>365</v>
      </c>
      <c r="G279" s="244" t="s">
        <v>110</v>
      </c>
      <c r="H279" s="244">
        <v>1</v>
      </c>
      <c r="I279" s="244">
        <v>0</v>
      </c>
      <c r="J279" s="242">
        <f>Table47[[#This Row],[ทดแทนจำนวน]]+Table47[[#This Row],[เพิ่มประสิทธิภาพจำนวน]]</f>
        <v>1</v>
      </c>
      <c r="K279" s="245">
        <v>67000</v>
      </c>
      <c r="L279" s="248" t="s">
        <v>589</v>
      </c>
    </row>
    <row r="280" spans="1:12">
      <c r="A280" s="246" t="s">
        <v>1590</v>
      </c>
      <c r="B280" s="244">
        <v>2570</v>
      </c>
      <c r="C280" s="241" t="s">
        <v>447</v>
      </c>
      <c r="D280" s="241" t="s">
        <v>555</v>
      </c>
      <c r="E280" s="244" t="s">
        <v>1038</v>
      </c>
      <c r="F280" s="244" t="s">
        <v>39</v>
      </c>
      <c r="G280" s="244" t="s">
        <v>34</v>
      </c>
      <c r="H280" s="244">
        <v>0</v>
      </c>
      <c r="I280" s="244">
        <v>1</v>
      </c>
      <c r="J280" s="242">
        <f>Table47[[#This Row],[ทดแทนจำนวน]]+Table47[[#This Row],[เพิ่มประสิทธิภาพจำนวน]]</f>
        <v>1</v>
      </c>
      <c r="K280" s="245">
        <v>67000</v>
      </c>
      <c r="L280" s="248" t="s">
        <v>1941</v>
      </c>
    </row>
    <row r="281" spans="1:12">
      <c r="A281" s="246" t="s">
        <v>1591</v>
      </c>
      <c r="B281" s="244">
        <v>2570</v>
      </c>
      <c r="C281" s="241" t="s">
        <v>447</v>
      </c>
      <c r="D281" s="241" t="s">
        <v>555</v>
      </c>
      <c r="E281" s="244" t="s">
        <v>1038</v>
      </c>
      <c r="F281" s="244" t="s">
        <v>204</v>
      </c>
      <c r="G281" s="244" t="s">
        <v>202</v>
      </c>
      <c r="H281" s="244">
        <v>0</v>
      </c>
      <c r="I281" s="244">
        <v>2</v>
      </c>
      <c r="J281" s="242">
        <f>Table47[[#This Row],[ทดแทนจำนวน]]+Table47[[#This Row],[เพิ่มประสิทธิภาพจำนวน]]</f>
        <v>2</v>
      </c>
      <c r="K281" s="245">
        <v>126000</v>
      </c>
      <c r="L281" s="248" t="s">
        <v>1941</v>
      </c>
    </row>
    <row r="282" spans="1:12">
      <c r="A282" s="246" t="s">
        <v>1592</v>
      </c>
      <c r="B282" s="244">
        <v>2570</v>
      </c>
      <c r="C282" s="241" t="s">
        <v>447</v>
      </c>
      <c r="D282" s="241" t="s">
        <v>555</v>
      </c>
      <c r="E282" s="244" t="s">
        <v>1038</v>
      </c>
      <c r="F282" s="244" t="s">
        <v>243</v>
      </c>
      <c r="G282" s="244" t="s">
        <v>241</v>
      </c>
      <c r="H282" s="244">
        <v>0</v>
      </c>
      <c r="I282" s="244">
        <v>1</v>
      </c>
      <c r="J282" s="242">
        <f>Table47[[#This Row],[ทดแทนจำนวน]]+Table47[[#This Row],[เพิ่มประสิทธิภาพจำนวน]]</f>
        <v>1</v>
      </c>
      <c r="K282" s="245">
        <v>67000</v>
      </c>
      <c r="L282" s="248" t="s">
        <v>1941</v>
      </c>
    </row>
    <row r="283" spans="1:12">
      <c r="A283" s="246" t="s">
        <v>1593</v>
      </c>
      <c r="B283" s="244">
        <v>2570</v>
      </c>
      <c r="C283" s="241" t="s">
        <v>447</v>
      </c>
      <c r="D283" s="241" t="s">
        <v>555</v>
      </c>
      <c r="E283" s="244" t="s">
        <v>1038</v>
      </c>
      <c r="F283" s="244" t="s">
        <v>50</v>
      </c>
      <c r="G283" s="244" t="s">
        <v>46</v>
      </c>
      <c r="H283" s="244">
        <v>0</v>
      </c>
      <c r="I283" s="244">
        <v>1</v>
      </c>
      <c r="J283" s="242">
        <f>Table47[[#This Row],[ทดแทนจำนวน]]+Table47[[#This Row],[เพิ่มประสิทธิภาพจำนวน]]</f>
        <v>1</v>
      </c>
      <c r="K283" s="245">
        <v>67000</v>
      </c>
      <c r="L283" s="248" t="s">
        <v>1941</v>
      </c>
    </row>
    <row r="284" spans="1:12">
      <c r="A284" s="246" t="s">
        <v>1594</v>
      </c>
      <c r="B284" s="244">
        <v>2570</v>
      </c>
      <c r="C284" s="241" t="s">
        <v>447</v>
      </c>
      <c r="D284" s="241" t="s">
        <v>555</v>
      </c>
      <c r="E284" s="244" t="s">
        <v>1038</v>
      </c>
      <c r="F284" s="244" t="s">
        <v>159</v>
      </c>
      <c r="G284" s="244" t="s">
        <v>157</v>
      </c>
      <c r="H284" s="244">
        <v>0</v>
      </c>
      <c r="I284" s="244">
        <v>1</v>
      </c>
      <c r="J284" s="242">
        <f>Table47[[#This Row],[ทดแทนจำนวน]]+Table47[[#This Row],[เพิ่มประสิทธิภาพจำนวน]]</f>
        <v>1</v>
      </c>
      <c r="K284" s="245">
        <v>67000</v>
      </c>
      <c r="L284" s="248" t="s">
        <v>1941</v>
      </c>
    </row>
    <row r="285" spans="1:12">
      <c r="A285" s="246" t="s">
        <v>1595</v>
      </c>
      <c r="B285" s="244">
        <v>2570</v>
      </c>
      <c r="C285" s="241" t="s">
        <v>447</v>
      </c>
      <c r="D285" s="241" t="s">
        <v>555</v>
      </c>
      <c r="E285" s="244" t="s">
        <v>1038</v>
      </c>
      <c r="F285" s="244" t="s">
        <v>171</v>
      </c>
      <c r="G285" s="244" t="s">
        <v>169</v>
      </c>
      <c r="H285" s="244">
        <v>0</v>
      </c>
      <c r="I285" s="244">
        <v>1</v>
      </c>
      <c r="J285" s="242">
        <f>Table47[[#This Row],[ทดแทนจำนวน]]+Table47[[#This Row],[เพิ่มประสิทธิภาพจำนวน]]</f>
        <v>1</v>
      </c>
      <c r="K285" s="245">
        <v>67000</v>
      </c>
      <c r="L285" s="248" t="s">
        <v>1941</v>
      </c>
    </row>
    <row r="286" spans="1:12">
      <c r="A286" s="246" t="s">
        <v>1596</v>
      </c>
      <c r="B286" s="244">
        <v>2570</v>
      </c>
      <c r="C286" s="241" t="s">
        <v>447</v>
      </c>
      <c r="D286" s="241" t="s">
        <v>555</v>
      </c>
      <c r="E286" s="244" t="s">
        <v>1038</v>
      </c>
      <c r="F286" s="244" t="s">
        <v>451</v>
      </c>
      <c r="G286" s="244" t="s">
        <v>444</v>
      </c>
      <c r="H286" s="244">
        <v>0</v>
      </c>
      <c r="I286" s="244">
        <v>1</v>
      </c>
      <c r="J286" s="242">
        <f>Table47[[#This Row],[ทดแทนจำนวน]]+Table47[[#This Row],[เพิ่มประสิทธิภาพจำนวน]]</f>
        <v>1</v>
      </c>
      <c r="K286" s="245">
        <v>67000</v>
      </c>
      <c r="L286" s="248" t="s">
        <v>1941</v>
      </c>
    </row>
    <row r="287" spans="1:12">
      <c r="A287" s="246" t="s">
        <v>1597</v>
      </c>
      <c r="B287" s="244">
        <v>2570</v>
      </c>
      <c r="C287" s="241" t="s">
        <v>447</v>
      </c>
      <c r="D287" s="241" t="s">
        <v>555</v>
      </c>
      <c r="E287" s="244" t="s">
        <v>1038</v>
      </c>
      <c r="F287" s="244" t="s">
        <v>223</v>
      </c>
      <c r="G287" s="244" t="s">
        <v>221</v>
      </c>
      <c r="H287" s="244">
        <v>0</v>
      </c>
      <c r="I287" s="244">
        <v>1</v>
      </c>
      <c r="J287" s="242">
        <f>Table47[[#This Row],[ทดแทนจำนวน]]+Table47[[#This Row],[เพิ่มประสิทธิภาพจำนวน]]</f>
        <v>1</v>
      </c>
      <c r="K287" s="245">
        <v>67000</v>
      </c>
      <c r="L287" s="248" t="s">
        <v>1941</v>
      </c>
    </row>
    <row r="288" spans="1:12">
      <c r="A288" s="246" t="s">
        <v>1598</v>
      </c>
      <c r="B288" s="244">
        <v>2570</v>
      </c>
      <c r="C288" s="241" t="s">
        <v>447</v>
      </c>
      <c r="D288" s="241" t="s">
        <v>555</v>
      </c>
      <c r="E288" s="244" t="s">
        <v>1038</v>
      </c>
      <c r="F288" s="244" t="s">
        <v>456</v>
      </c>
      <c r="G288" s="244" t="s">
        <v>442</v>
      </c>
      <c r="H288" s="244">
        <v>0</v>
      </c>
      <c r="I288" s="244">
        <v>1</v>
      </c>
      <c r="J288" s="242">
        <f>Table47[[#This Row],[ทดแทนจำนวน]]+Table47[[#This Row],[เพิ่มประสิทธิภาพจำนวน]]</f>
        <v>1</v>
      </c>
      <c r="K288" s="245">
        <v>67000</v>
      </c>
      <c r="L288" s="248" t="s">
        <v>1941</v>
      </c>
    </row>
    <row r="289" spans="1:12">
      <c r="A289" s="246" t="s">
        <v>1599</v>
      </c>
      <c r="B289" s="244">
        <v>2570</v>
      </c>
      <c r="C289" s="241" t="s">
        <v>447</v>
      </c>
      <c r="D289" s="241" t="s">
        <v>555</v>
      </c>
      <c r="E289" s="244" t="s">
        <v>1036</v>
      </c>
      <c r="F289" s="244" t="s">
        <v>53</v>
      </c>
      <c r="G289" s="244" t="s">
        <v>51</v>
      </c>
      <c r="H289" s="244">
        <v>0</v>
      </c>
      <c r="I289" s="244">
        <v>1</v>
      </c>
      <c r="J289" s="242">
        <f>Table47[[#This Row],[ทดแทนจำนวน]]+Table47[[#This Row],[เพิ่มประสิทธิภาพจำนวน]]</f>
        <v>1</v>
      </c>
      <c r="K289" s="245">
        <v>42600</v>
      </c>
      <c r="L289" s="248" t="s">
        <v>1941</v>
      </c>
    </row>
    <row r="290" spans="1:12">
      <c r="A290" s="246" t="s">
        <v>1600</v>
      </c>
      <c r="B290" s="244">
        <v>2570</v>
      </c>
      <c r="C290" s="241" t="s">
        <v>447</v>
      </c>
      <c r="D290" s="241" t="s">
        <v>555</v>
      </c>
      <c r="E290" s="244" t="s">
        <v>1036</v>
      </c>
      <c r="F290" s="244" t="s">
        <v>262</v>
      </c>
      <c r="G290" s="244" t="s">
        <v>260</v>
      </c>
      <c r="H290" s="244">
        <v>0</v>
      </c>
      <c r="I290" s="244">
        <v>1</v>
      </c>
      <c r="J290" s="242">
        <f>Table47[[#This Row],[ทดแทนจำนวน]]+Table47[[#This Row],[เพิ่มประสิทธิภาพจำนวน]]</f>
        <v>1</v>
      </c>
      <c r="K290" s="245">
        <v>42600</v>
      </c>
      <c r="L290" s="248" t="s">
        <v>1941</v>
      </c>
    </row>
    <row r="291" spans="1:12">
      <c r="A291" s="246" t="s">
        <v>1601</v>
      </c>
      <c r="B291" s="244">
        <v>2570</v>
      </c>
      <c r="C291" s="241" t="s">
        <v>447</v>
      </c>
      <c r="D291" s="241" t="s">
        <v>555</v>
      </c>
      <c r="E291" s="244" t="s">
        <v>1036</v>
      </c>
      <c r="F291" s="244" t="s">
        <v>465</v>
      </c>
      <c r="G291" s="244" t="s">
        <v>436</v>
      </c>
      <c r="H291" s="244">
        <v>0</v>
      </c>
      <c r="I291" s="244">
        <v>1</v>
      </c>
      <c r="J291" s="242">
        <f>Table47[[#This Row],[ทดแทนจำนวน]]+Table47[[#This Row],[เพิ่มประสิทธิภาพจำนวน]]</f>
        <v>1</v>
      </c>
      <c r="K291" s="245">
        <v>42600</v>
      </c>
      <c r="L291" s="248" t="s">
        <v>1941</v>
      </c>
    </row>
    <row r="292" spans="1:12">
      <c r="A292" s="246" t="s">
        <v>1602</v>
      </c>
      <c r="B292" s="244">
        <v>2570</v>
      </c>
      <c r="C292" s="241" t="s">
        <v>447</v>
      </c>
      <c r="D292" s="241" t="s">
        <v>555</v>
      </c>
      <c r="E292" s="244" t="s">
        <v>1036</v>
      </c>
      <c r="F292" s="244" t="s">
        <v>145</v>
      </c>
      <c r="G292" s="244" t="s">
        <v>143</v>
      </c>
      <c r="H292" s="244">
        <v>0</v>
      </c>
      <c r="I292" s="244">
        <v>1</v>
      </c>
      <c r="J292" s="242">
        <f>Table47[[#This Row],[ทดแทนจำนวน]]+Table47[[#This Row],[เพิ่มประสิทธิภาพจำนวน]]</f>
        <v>1</v>
      </c>
      <c r="K292" s="245">
        <v>42600</v>
      </c>
      <c r="L292" s="248" t="s">
        <v>1941</v>
      </c>
    </row>
    <row r="293" spans="1:12">
      <c r="A293" s="246" t="s">
        <v>1603</v>
      </c>
      <c r="B293" s="244">
        <v>2570</v>
      </c>
      <c r="C293" s="241" t="s">
        <v>447</v>
      </c>
      <c r="D293" s="241" t="s">
        <v>555</v>
      </c>
      <c r="E293" s="244" t="s">
        <v>1036</v>
      </c>
      <c r="F293" s="244" t="s">
        <v>59</v>
      </c>
      <c r="G293" s="244" t="s">
        <v>57</v>
      </c>
      <c r="H293" s="244">
        <v>0</v>
      </c>
      <c r="I293" s="244">
        <v>1</v>
      </c>
      <c r="J293" s="242">
        <f>Table47[[#This Row],[ทดแทนจำนวน]]+Table47[[#This Row],[เพิ่มประสิทธิภาพจำนวน]]</f>
        <v>1</v>
      </c>
      <c r="K293" s="245">
        <v>42600</v>
      </c>
      <c r="L293" s="248" t="s">
        <v>1941</v>
      </c>
    </row>
    <row r="294" spans="1:12">
      <c r="A294" s="246" t="s">
        <v>1604</v>
      </c>
      <c r="B294" s="244">
        <v>2570</v>
      </c>
      <c r="C294" s="241" t="s">
        <v>447</v>
      </c>
      <c r="D294" s="241" t="s">
        <v>555</v>
      </c>
      <c r="E294" s="244" t="s">
        <v>1032</v>
      </c>
      <c r="F294" s="244" t="s">
        <v>50</v>
      </c>
      <c r="G294" s="244" t="s">
        <v>46</v>
      </c>
      <c r="H294" s="244">
        <v>0</v>
      </c>
      <c r="I294" s="244">
        <v>2</v>
      </c>
      <c r="J294" s="242">
        <f>Table47[[#This Row],[ทดแทนจำนวน]]+Table47[[#This Row],[เพิ่มประสิทธิภาพจำนวน]]</f>
        <v>2</v>
      </c>
      <c r="K294" s="245">
        <v>59400</v>
      </c>
      <c r="L294" s="248" t="s">
        <v>1941</v>
      </c>
    </row>
    <row r="295" spans="1:12">
      <c r="A295" s="246" t="s">
        <v>1605</v>
      </c>
      <c r="B295" s="244">
        <v>2570</v>
      </c>
      <c r="C295" s="241" t="s">
        <v>447</v>
      </c>
      <c r="D295" s="241" t="s">
        <v>555</v>
      </c>
      <c r="E295" s="244" t="s">
        <v>1032</v>
      </c>
      <c r="F295" s="244" t="s">
        <v>363</v>
      </c>
      <c r="G295" s="244" t="s">
        <v>205</v>
      </c>
      <c r="H295" s="244">
        <v>1</v>
      </c>
      <c r="I295" s="244">
        <v>0</v>
      </c>
      <c r="J295" s="242">
        <f>Table47[[#This Row],[ทดแทนจำนวน]]+Table47[[#This Row],[เพิ่มประสิทธิภาพจำนวน]]</f>
        <v>1</v>
      </c>
      <c r="K295" s="245">
        <v>29700</v>
      </c>
      <c r="L295" s="248" t="s">
        <v>589</v>
      </c>
    </row>
    <row r="296" spans="1:12">
      <c r="A296" s="246" t="s">
        <v>1606</v>
      </c>
      <c r="B296" s="244">
        <v>2570</v>
      </c>
      <c r="C296" s="241" t="s">
        <v>447</v>
      </c>
      <c r="D296" s="241" t="s">
        <v>555</v>
      </c>
      <c r="E296" s="244" t="s">
        <v>1032</v>
      </c>
      <c r="F296" s="244" t="s">
        <v>141</v>
      </c>
      <c r="G296" s="244" t="s">
        <v>139</v>
      </c>
      <c r="H296" s="244">
        <v>0</v>
      </c>
      <c r="I296" s="244">
        <v>1</v>
      </c>
      <c r="J296" s="242">
        <f>Table47[[#This Row],[ทดแทนจำนวน]]+Table47[[#This Row],[เพิ่มประสิทธิภาพจำนวน]]</f>
        <v>1</v>
      </c>
      <c r="K296" s="245">
        <v>29700</v>
      </c>
      <c r="L296" s="248" t="s">
        <v>1941</v>
      </c>
    </row>
    <row r="297" spans="1:12">
      <c r="A297" s="246" t="s">
        <v>1607</v>
      </c>
      <c r="B297" s="244">
        <v>2570</v>
      </c>
      <c r="C297" s="241" t="s">
        <v>447</v>
      </c>
      <c r="D297" s="241" t="s">
        <v>555</v>
      </c>
      <c r="E297" s="244" t="s">
        <v>1032</v>
      </c>
      <c r="F297" s="244" t="s">
        <v>53</v>
      </c>
      <c r="G297" s="244" t="s">
        <v>51</v>
      </c>
      <c r="H297" s="244">
        <v>0</v>
      </c>
      <c r="I297" s="244">
        <v>1</v>
      </c>
      <c r="J297" s="242">
        <f>Table47[[#This Row],[ทดแทนจำนวน]]+Table47[[#This Row],[เพิ่มประสิทธิภาพจำนวน]]</f>
        <v>1</v>
      </c>
      <c r="K297" s="245">
        <v>29700</v>
      </c>
      <c r="L297" s="248" t="s">
        <v>1941</v>
      </c>
    </row>
    <row r="298" spans="1:12">
      <c r="A298" s="246" t="s">
        <v>1608</v>
      </c>
      <c r="B298" s="244">
        <v>2570</v>
      </c>
      <c r="C298" s="241" t="s">
        <v>447</v>
      </c>
      <c r="D298" s="241" t="s">
        <v>555</v>
      </c>
      <c r="E298" s="244" t="s">
        <v>1032</v>
      </c>
      <c r="F298" s="244" t="s">
        <v>426</v>
      </c>
      <c r="G298" s="244" t="s">
        <v>424</v>
      </c>
      <c r="H298" s="244">
        <v>0</v>
      </c>
      <c r="I298" s="244">
        <v>1</v>
      </c>
      <c r="J298" s="242">
        <f>Table47[[#This Row],[ทดแทนจำนวน]]+Table47[[#This Row],[เพิ่มประสิทธิภาพจำนวน]]</f>
        <v>1</v>
      </c>
      <c r="K298" s="245">
        <v>29700</v>
      </c>
      <c r="L298" s="248" t="s">
        <v>1941</v>
      </c>
    </row>
    <row r="299" spans="1:12">
      <c r="A299" s="246" t="s">
        <v>1609</v>
      </c>
      <c r="B299" s="244">
        <v>2570</v>
      </c>
      <c r="C299" s="241" t="s">
        <v>447</v>
      </c>
      <c r="D299" s="241" t="s">
        <v>555</v>
      </c>
      <c r="E299" s="244" t="s">
        <v>1030</v>
      </c>
      <c r="F299" s="244" t="s">
        <v>343</v>
      </c>
      <c r="G299" s="244" t="s">
        <v>340</v>
      </c>
      <c r="H299" s="244">
        <v>0</v>
      </c>
      <c r="I299" s="244">
        <v>1</v>
      </c>
      <c r="J299" s="242">
        <f>Table47[[#This Row],[ทดแทนจำนวน]]+Table47[[#This Row],[เพิ่มประสิทธิภาพจำนวน]]</f>
        <v>1</v>
      </c>
      <c r="K299" s="245">
        <v>63000</v>
      </c>
      <c r="L299" s="248" t="s">
        <v>1941</v>
      </c>
    </row>
    <row r="300" spans="1:12">
      <c r="A300" s="246" t="s">
        <v>1610</v>
      </c>
      <c r="B300" s="244">
        <v>2570</v>
      </c>
      <c r="C300" s="241" t="s">
        <v>447</v>
      </c>
      <c r="D300" s="241" t="s">
        <v>555</v>
      </c>
      <c r="E300" s="244" t="s">
        <v>1030</v>
      </c>
      <c r="F300" s="244" t="s">
        <v>426</v>
      </c>
      <c r="G300" s="244" t="s">
        <v>424</v>
      </c>
      <c r="H300" s="244">
        <v>0</v>
      </c>
      <c r="I300" s="244">
        <v>1</v>
      </c>
      <c r="J300" s="242">
        <f>Table47[[#This Row],[ทดแทนจำนวน]]+Table47[[#This Row],[เพิ่มประสิทธิภาพจำนวน]]</f>
        <v>1</v>
      </c>
      <c r="K300" s="245">
        <v>63000</v>
      </c>
      <c r="L300" s="248" t="s">
        <v>1941</v>
      </c>
    </row>
    <row r="301" spans="1:12">
      <c r="A301" s="246" t="s">
        <v>1611</v>
      </c>
      <c r="B301" s="244">
        <v>2570</v>
      </c>
      <c r="C301" s="241" t="s">
        <v>447</v>
      </c>
      <c r="D301" s="241" t="s">
        <v>555</v>
      </c>
      <c r="E301" s="244" t="s">
        <v>1028</v>
      </c>
      <c r="F301" s="244" t="s">
        <v>53</v>
      </c>
      <c r="G301" s="244" t="s">
        <v>51</v>
      </c>
      <c r="H301" s="244">
        <v>1</v>
      </c>
      <c r="I301" s="244">
        <v>0</v>
      </c>
      <c r="J301" s="242">
        <f>Table47[[#This Row],[ทดแทนจำนวน]]+Table47[[#This Row],[เพิ่มประสิทธิภาพจำนวน]]</f>
        <v>1</v>
      </c>
      <c r="K301" s="245">
        <v>18200</v>
      </c>
      <c r="L301" s="248" t="s">
        <v>589</v>
      </c>
    </row>
    <row r="302" spans="1:12">
      <c r="A302" s="246" t="s">
        <v>1612</v>
      </c>
      <c r="B302" s="244">
        <v>2570</v>
      </c>
      <c r="C302" s="241" t="s">
        <v>447</v>
      </c>
      <c r="D302" s="241" t="s">
        <v>555</v>
      </c>
      <c r="E302" s="244" t="s">
        <v>1027</v>
      </c>
      <c r="F302" s="244" t="s">
        <v>56</v>
      </c>
      <c r="G302" s="244" t="s">
        <v>54</v>
      </c>
      <c r="H302" s="244">
        <v>0</v>
      </c>
      <c r="I302" s="244">
        <v>1</v>
      </c>
      <c r="J302" s="242">
        <f>Table47[[#This Row],[ทดแทนจำนวน]]+Table47[[#This Row],[เพิ่มประสิทธิภาพจำนวน]]</f>
        <v>1</v>
      </c>
      <c r="K302" s="245">
        <v>18200</v>
      </c>
      <c r="L302" s="248" t="s">
        <v>1941</v>
      </c>
    </row>
    <row r="303" spans="1:12">
      <c r="A303" s="246" t="s">
        <v>1613</v>
      </c>
      <c r="B303" s="244">
        <v>2570</v>
      </c>
      <c r="C303" s="241" t="s">
        <v>447</v>
      </c>
      <c r="D303" s="241" t="s">
        <v>555</v>
      </c>
      <c r="E303" s="244" t="s">
        <v>1025</v>
      </c>
      <c r="F303" s="244" t="s">
        <v>365</v>
      </c>
      <c r="G303" s="244" t="s">
        <v>110</v>
      </c>
      <c r="H303" s="244">
        <v>8</v>
      </c>
      <c r="I303" s="244">
        <v>0</v>
      </c>
      <c r="J303" s="242">
        <f>Table47[[#This Row],[ทดแทนจำนวน]]+Table47[[#This Row],[เพิ่มประสิทธิภาพจำนวน]]</f>
        <v>8</v>
      </c>
      <c r="K303" s="245">
        <v>52800</v>
      </c>
      <c r="L303" s="248" t="s">
        <v>589</v>
      </c>
    </row>
    <row r="304" spans="1:12">
      <c r="A304" s="246" t="s">
        <v>1614</v>
      </c>
      <c r="B304" s="244">
        <v>2570</v>
      </c>
      <c r="C304" s="241" t="s">
        <v>447</v>
      </c>
      <c r="D304" s="241" t="s">
        <v>555</v>
      </c>
      <c r="E304" s="244" t="s">
        <v>1025</v>
      </c>
      <c r="F304" s="244" t="s">
        <v>109</v>
      </c>
      <c r="G304" s="244" t="s">
        <v>107</v>
      </c>
      <c r="H304" s="244">
        <v>6</v>
      </c>
      <c r="I304" s="244">
        <v>0</v>
      </c>
      <c r="J304" s="242">
        <f>Table47[[#This Row],[ทดแทนจำนวน]]+Table47[[#This Row],[เพิ่มประสิทธิภาพจำนวน]]</f>
        <v>6</v>
      </c>
      <c r="K304" s="245">
        <v>39600</v>
      </c>
      <c r="L304" s="248" t="s">
        <v>589</v>
      </c>
    </row>
    <row r="305" spans="1:12">
      <c r="A305" s="246" t="s">
        <v>1615</v>
      </c>
      <c r="B305" s="244">
        <v>2570</v>
      </c>
      <c r="C305" s="241" t="s">
        <v>447</v>
      </c>
      <c r="D305" s="241" t="s">
        <v>555</v>
      </c>
      <c r="E305" s="244" t="s">
        <v>1025</v>
      </c>
      <c r="F305" s="244" t="s">
        <v>243</v>
      </c>
      <c r="G305" s="244" t="s">
        <v>241</v>
      </c>
      <c r="H305" s="244">
        <v>0</v>
      </c>
      <c r="I305" s="244">
        <v>10</v>
      </c>
      <c r="J305" s="242">
        <f>Table47[[#This Row],[ทดแทนจำนวน]]+Table47[[#This Row],[เพิ่มประสิทธิภาพจำนวน]]</f>
        <v>10</v>
      </c>
      <c r="K305" s="245">
        <v>66000</v>
      </c>
      <c r="L305" s="248" t="s">
        <v>1941</v>
      </c>
    </row>
    <row r="306" spans="1:12">
      <c r="A306" s="246" t="s">
        <v>1616</v>
      </c>
      <c r="B306" s="244">
        <v>2570</v>
      </c>
      <c r="C306" s="241" t="s">
        <v>447</v>
      </c>
      <c r="D306" s="241" t="s">
        <v>555</v>
      </c>
      <c r="E306" s="244" t="s">
        <v>1025</v>
      </c>
      <c r="F306" s="244" t="s">
        <v>350</v>
      </c>
      <c r="G306" s="244" t="s">
        <v>103</v>
      </c>
      <c r="H306" s="244">
        <v>0</v>
      </c>
      <c r="I306" s="244">
        <v>5</v>
      </c>
      <c r="J306" s="242">
        <f>Table47[[#This Row],[ทดแทนจำนวน]]+Table47[[#This Row],[เพิ่มประสิทธิภาพจำนวน]]</f>
        <v>5</v>
      </c>
      <c r="K306" s="245">
        <v>33000</v>
      </c>
      <c r="L306" s="248" t="s">
        <v>1941</v>
      </c>
    </row>
    <row r="307" spans="1:12">
      <c r="A307" s="246" t="s">
        <v>1617</v>
      </c>
      <c r="B307" s="244">
        <v>2570</v>
      </c>
      <c r="C307" s="241" t="s">
        <v>447</v>
      </c>
      <c r="D307" s="241" t="s">
        <v>555</v>
      </c>
      <c r="E307" s="244" t="s">
        <v>1025</v>
      </c>
      <c r="F307" s="244" t="s">
        <v>59</v>
      </c>
      <c r="G307" s="244" t="s">
        <v>57</v>
      </c>
      <c r="H307" s="244">
        <v>0</v>
      </c>
      <c r="I307" s="244">
        <v>5</v>
      </c>
      <c r="J307" s="242">
        <f>Table47[[#This Row],[ทดแทนจำนวน]]+Table47[[#This Row],[เพิ่มประสิทธิภาพจำนวน]]</f>
        <v>5</v>
      </c>
      <c r="K307" s="245">
        <v>33000</v>
      </c>
      <c r="L307" s="248" t="s">
        <v>1941</v>
      </c>
    </row>
    <row r="308" spans="1:12">
      <c r="A308" s="246" t="s">
        <v>1618</v>
      </c>
      <c r="B308" s="244">
        <v>2570</v>
      </c>
      <c r="C308" s="241" t="s">
        <v>447</v>
      </c>
      <c r="D308" s="241" t="s">
        <v>555</v>
      </c>
      <c r="E308" s="244" t="s">
        <v>1025</v>
      </c>
      <c r="F308" s="244" t="s">
        <v>243</v>
      </c>
      <c r="G308" s="244" t="s">
        <v>241</v>
      </c>
      <c r="H308" s="244">
        <v>0</v>
      </c>
      <c r="I308" s="244">
        <v>10</v>
      </c>
      <c r="J308" s="242">
        <f>Table47[[#This Row],[ทดแทนจำนวน]]+Table47[[#This Row],[เพิ่มประสิทธิภาพจำนวน]]</f>
        <v>10</v>
      </c>
      <c r="K308" s="245">
        <v>66000</v>
      </c>
      <c r="L308" s="248" t="s">
        <v>1941</v>
      </c>
    </row>
    <row r="309" spans="1:12">
      <c r="A309" s="246" t="s">
        <v>1619</v>
      </c>
      <c r="B309" s="244">
        <v>2570</v>
      </c>
      <c r="C309" s="241" t="s">
        <v>447</v>
      </c>
      <c r="D309" s="241" t="s">
        <v>555</v>
      </c>
      <c r="E309" s="244" t="s">
        <v>1025</v>
      </c>
      <c r="F309" s="244" t="s">
        <v>56</v>
      </c>
      <c r="G309" s="244" t="s">
        <v>54</v>
      </c>
      <c r="H309" s="244">
        <v>0</v>
      </c>
      <c r="I309" s="244">
        <v>2</v>
      </c>
      <c r="J309" s="242">
        <f>Table47[[#This Row],[ทดแทนจำนวน]]+Table47[[#This Row],[เพิ่มประสิทธิภาพจำนวน]]</f>
        <v>2</v>
      </c>
      <c r="K309" s="245">
        <v>13200</v>
      </c>
      <c r="L309" s="248" t="s">
        <v>1941</v>
      </c>
    </row>
    <row r="310" spans="1:12">
      <c r="A310" s="246" t="s">
        <v>1620</v>
      </c>
      <c r="B310" s="244">
        <v>2570</v>
      </c>
      <c r="C310" s="241" t="s">
        <v>447</v>
      </c>
      <c r="D310" s="241" t="s">
        <v>555</v>
      </c>
      <c r="E310" s="244" t="s">
        <v>1023</v>
      </c>
      <c r="F310" s="244" t="s">
        <v>243</v>
      </c>
      <c r="G310" s="244" t="s">
        <v>241</v>
      </c>
      <c r="H310" s="244">
        <v>0</v>
      </c>
      <c r="I310" s="244">
        <v>10</v>
      </c>
      <c r="J310" s="242">
        <f>Table47[[#This Row],[ทดแทนจำนวน]]+Table47[[#This Row],[เพิ่มประสิทธิภาพจำนวน]]</f>
        <v>10</v>
      </c>
      <c r="K310" s="245">
        <v>72000</v>
      </c>
      <c r="L310" s="248" t="s">
        <v>1941</v>
      </c>
    </row>
    <row r="311" spans="1:12">
      <c r="A311" s="246" t="s">
        <v>1621</v>
      </c>
      <c r="B311" s="244">
        <v>2570</v>
      </c>
      <c r="C311" s="241" t="s">
        <v>447</v>
      </c>
      <c r="D311" s="241" t="s">
        <v>555</v>
      </c>
      <c r="E311" s="244" t="s">
        <v>1023</v>
      </c>
      <c r="F311" s="244" t="s">
        <v>45</v>
      </c>
      <c r="G311" s="244" t="s">
        <v>41</v>
      </c>
      <c r="H311" s="244">
        <v>0</v>
      </c>
      <c r="I311" s="244">
        <v>2</v>
      </c>
      <c r="J311" s="242">
        <f>Table47[[#This Row],[ทดแทนจำนวน]]+Table47[[#This Row],[เพิ่มประสิทธิภาพจำนวน]]</f>
        <v>2</v>
      </c>
      <c r="K311" s="245">
        <v>14400</v>
      </c>
      <c r="L311" s="248" t="s">
        <v>1941</v>
      </c>
    </row>
    <row r="312" spans="1:12">
      <c r="A312" s="246" t="s">
        <v>1622</v>
      </c>
      <c r="B312" s="244">
        <v>2570</v>
      </c>
      <c r="C312" s="241" t="s">
        <v>447</v>
      </c>
      <c r="D312" s="241" t="s">
        <v>555</v>
      </c>
      <c r="E312" s="244" t="s">
        <v>1023</v>
      </c>
      <c r="F312" s="244" t="s">
        <v>59</v>
      </c>
      <c r="G312" s="244" t="s">
        <v>57</v>
      </c>
      <c r="H312" s="244">
        <v>0</v>
      </c>
      <c r="I312" s="244">
        <v>5</v>
      </c>
      <c r="J312" s="242">
        <f>Table47[[#This Row],[ทดแทนจำนวน]]+Table47[[#This Row],[เพิ่มประสิทธิภาพจำนวน]]</f>
        <v>5</v>
      </c>
      <c r="K312" s="245">
        <v>36000</v>
      </c>
      <c r="L312" s="248" t="s">
        <v>1941</v>
      </c>
    </row>
    <row r="313" spans="1:12">
      <c r="A313" s="246" t="s">
        <v>1623</v>
      </c>
      <c r="B313" s="244">
        <v>2570</v>
      </c>
      <c r="C313" s="241" t="s">
        <v>447</v>
      </c>
      <c r="D313" s="241" t="s">
        <v>555</v>
      </c>
      <c r="E313" s="244" t="s">
        <v>1020</v>
      </c>
      <c r="F313" s="244" t="s">
        <v>255</v>
      </c>
      <c r="G313" s="244" t="s">
        <v>253</v>
      </c>
      <c r="H313" s="244">
        <v>0</v>
      </c>
      <c r="I313" s="244">
        <v>10</v>
      </c>
      <c r="J313" s="242">
        <f>Table47[[#This Row],[ทดแทนจำนวน]]+Table47[[#This Row],[เพิ่มประสิทธิภาพจำนวน]]</f>
        <v>10</v>
      </c>
      <c r="K313" s="245">
        <v>62900</v>
      </c>
      <c r="L313" s="248" t="s">
        <v>1941</v>
      </c>
    </row>
    <row r="314" spans="1:12">
      <c r="A314" s="246" t="s">
        <v>1624</v>
      </c>
      <c r="B314" s="244">
        <v>2570</v>
      </c>
      <c r="C314" s="241" t="s">
        <v>447</v>
      </c>
      <c r="D314" s="241" t="s">
        <v>555</v>
      </c>
      <c r="E314" s="244" t="s">
        <v>1020</v>
      </c>
      <c r="F314" s="244" t="s">
        <v>363</v>
      </c>
      <c r="G314" s="244" t="s">
        <v>205</v>
      </c>
      <c r="H314" s="244">
        <v>0</v>
      </c>
      <c r="I314" s="244">
        <v>25</v>
      </c>
      <c r="J314" s="242">
        <f>Table47[[#This Row],[ทดแทนจำนวน]]+Table47[[#This Row],[เพิ่มประสิทธิภาพจำนวน]]</f>
        <v>25</v>
      </c>
      <c r="K314" s="245">
        <v>150000</v>
      </c>
      <c r="L314" s="248" t="s">
        <v>1941</v>
      </c>
    </row>
    <row r="315" spans="1:12">
      <c r="A315" s="246" t="s">
        <v>1625</v>
      </c>
      <c r="B315" s="244">
        <v>2570</v>
      </c>
      <c r="C315" s="241" t="s">
        <v>447</v>
      </c>
      <c r="D315" s="241" t="s">
        <v>555</v>
      </c>
      <c r="E315" s="244" t="s">
        <v>1020</v>
      </c>
      <c r="F315" s="244" t="s">
        <v>156</v>
      </c>
      <c r="G315" s="244" t="s">
        <v>154</v>
      </c>
      <c r="H315" s="244">
        <v>0</v>
      </c>
      <c r="I315" s="244">
        <v>20</v>
      </c>
      <c r="J315" s="242">
        <f>Table47[[#This Row],[ทดแทนจำนวน]]+Table47[[#This Row],[เพิ่มประสิทธิภาพจำนวน]]</f>
        <v>20</v>
      </c>
      <c r="K315" s="245">
        <v>89880</v>
      </c>
      <c r="L315" s="248" t="s">
        <v>1941</v>
      </c>
    </row>
    <row r="316" spans="1:12">
      <c r="A316" s="246" t="s">
        <v>1626</v>
      </c>
      <c r="B316" s="244">
        <v>2570</v>
      </c>
      <c r="C316" s="241" t="s">
        <v>447</v>
      </c>
      <c r="D316" s="241" t="s">
        <v>555</v>
      </c>
      <c r="E316" s="244" t="s">
        <v>1020</v>
      </c>
      <c r="F316" s="244" t="s">
        <v>458</v>
      </c>
      <c r="G316" s="244" t="s">
        <v>440</v>
      </c>
      <c r="H316" s="244">
        <v>18</v>
      </c>
      <c r="I316" s="244">
        <v>0</v>
      </c>
      <c r="J316" s="242">
        <f>Table47[[#This Row],[ทดแทนจำนวน]]+Table47[[#This Row],[เพิ่มประสิทธิภาพจำนวน]]</f>
        <v>18</v>
      </c>
      <c r="K316" s="245">
        <v>140400</v>
      </c>
      <c r="L316" s="248" t="s">
        <v>589</v>
      </c>
    </row>
    <row r="317" spans="1:12">
      <c r="A317" s="246" t="s">
        <v>1627</v>
      </c>
      <c r="B317" s="244">
        <v>2570</v>
      </c>
      <c r="C317" s="241" t="s">
        <v>447</v>
      </c>
      <c r="D317" s="241" t="s">
        <v>555</v>
      </c>
      <c r="E317" s="244" t="s">
        <v>1020</v>
      </c>
      <c r="F317" s="244" t="s">
        <v>50</v>
      </c>
      <c r="G317" s="244" t="s">
        <v>46</v>
      </c>
      <c r="H317" s="244">
        <v>9</v>
      </c>
      <c r="I317" s="244">
        <v>21</v>
      </c>
      <c r="J317" s="242">
        <f>Table47[[#This Row],[ทดแทนจำนวน]]+Table47[[#This Row],[เพิ่มประสิทธิภาพจำนวน]]</f>
        <v>30</v>
      </c>
      <c r="K317" s="245">
        <v>165000</v>
      </c>
      <c r="L317" s="248" t="s">
        <v>1942</v>
      </c>
    </row>
    <row r="318" spans="1:12">
      <c r="A318" s="246" t="s">
        <v>1628</v>
      </c>
      <c r="B318" s="244">
        <v>2570</v>
      </c>
      <c r="C318" s="241" t="s">
        <v>447</v>
      </c>
      <c r="D318" s="241" t="s">
        <v>555</v>
      </c>
      <c r="E318" s="244" t="s">
        <v>1011</v>
      </c>
      <c r="F318" s="244" t="s">
        <v>365</v>
      </c>
      <c r="G318" s="244" t="s">
        <v>110</v>
      </c>
      <c r="H318" s="244">
        <v>33</v>
      </c>
      <c r="I318" s="244">
        <v>0</v>
      </c>
      <c r="J318" s="242">
        <f>Table47[[#This Row],[ทดแทนจำนวน]]+Table47[[#This Row],[เพิ่มประสิทธิภาพจำนวน]]</f>
        <v>33</v>
      </c>
      <c r="K318" s="245">
        <v>247500</v>
      </c>
      <c r="L318" s="248" t="s">
        <v>589</v>
      </c>
    </row>
    <row r="319" spans="1:12">
      <c r="A319" s="246" t="s">
        <v>1629</v>
      </c>
      <c r="B319" s="244">
        <v>2570</v>
      </c>
      <c r="C319" s="241" t="s">
        <v>447</v>
      </c>
      <c r="D319" s="241" t="s">
        <v>555</v>
      </c>
      <c r="E319" s="244" t="s">
        <v>1011</v>
      </c>
      <c r="F319" s="244" t="s">
        <v>458</v>
      </c>
      <c r="G319" s="244" t="s">
        <v>440</v>
      </c>
      <c r="H319" s="244">
        <v>9</v>
      </c>
      <c r="I319" s="244">
        <v>0</v>
      </c>
      <c r="J319" s="242">
        <f>Table47[[#This Row],[ทดแทนจำนวน]]+Table47[[#This Row],[เพิ่มประสิทธิภาพจำนวน]]</f>
        <v>9</v>
      </c>
      <c r="K319" s="245">
        <v>35100</v>
      </c>
      <c r="L319" s="248" t="s">
        <v>589</v>
      </c>
    </row>
    <row r="320" spans="1:12">
      <c r="A320" s="246" t="s">
        <v>1630</v>
      </c>
      <c r="B320" s="244">
        <v>2570</v>
      </c>
      <c r="C320" s="241" t="s">
        <v>447</v>
      </c>
      <c r="D320" s="241" t="s">
        <v>555</v>
      </c>
      <c r="E320" s="244" t="s">
        <v>1011</v>
      </c>
      <c r="F320" s="244" t="s">
        <v>232</v>
      </c>
      <c r="G320" s="244" t="s">
        <v>230</v>
      </c>
      <c r="H320" s="244">
        <v>1</v>
      </c>
      <c r="I320" s="244">
        <v>0</v>
      </c>
      <c r="J320" s="242">
        <f>Table47[[#This Row],[ทดแทนจำนวน]]+Table47[[#This Row],[เพิ่มประสิทธิภาพจำนวน]]</f>
        <v>1</v>
      </c>
      <c r="K320" s="245">
        <v>3500</v>
      </c>
      <c r="L320" s="248" t="s">
        <v>589</v>
      </c>
    </row>
    <row r="321" spans="1:12">
      <c r="A321" s="246" t="s">
        <v>1631</v>
      </c>
      <c r="B321" s="244">
        <v>2570</v>
      </c>
      <c r="C321" s="241" t="s">
        <v>447</v>
      </c>
      <c r="D321" s="241" t="s">
        <v>555</v>
      </c>
      <c r="E321" s="244" t="s">
        <v>1011</v>
      </c>
      <c r="F321" s="244" t="s">
        <v>350</v>
      </c>
      <c r="G321" s="244" t="s">
        <v>103</v>
      </c>
      <c r="H321" s="244">
        <v>0</v>
      </c>
      <c r="I321" s="244">
        <v>24</v>
      </c>
      <c r="J321" s="242">
        <f>Table47[[#This Row],[ทดแทนจำนวน]]+Table47[[#This Row],[เพิ่มประสิทธิภาพจำนวน]]</f>
        <v>24</v>
      </c>
      <c r="K321" s="245">
        <v>132000</v>
      </c>
      <c r="L321" s="248" t="s">
        <v>1941</v>
      </c>
    </row>
    <row r="322" spans="1:12">
      <c r="A322" s="246" t="s">
        <v>1632</v>
      </c>
      <c r="B322" s="244">
        <v>2570</v>
      </c>
      <c r="C322" s="241" t="s">
        <v>447</v>
      </c>
      <c r="D322" s="241" t="s">
        <v>555</v>
      </c>
      <c r="E322" s="244" t="s">
        <v>1011</v>
      </c>
      <c r="F322" s="244" t="s">
        <v>464</v>
      </c>
      <c r="G322" s="244" t="s">
        <v>437</v>
      </c>
      <c r="H322" s="244">
        <v>4</v>
      </c>
      <c r="I322" s="244">
        <v>7</v>
      </c>
      <c r="J322" s="242">
        <f>Table47[[#This Row],[ทดแทนจำนวน]]+Table47[[#This Row],[เพิ่มประสิทธิภาพจำนวน]]</f>
        <v>11</v>
      </c>
      <c r="K322" s="245">
        <v>74030</v>
      </c>
      <c r="L322" s="248" t="s">
        <v>1942</v>
      </c>
    </row>
    <row r="323" spans="1:12">
      <c r="A323" s="246" t="s">
        <v>1633</v>
      </c>
      <c r="B323" s="244">
        <v>2570</v>
      </c>
      <c r="C323" s="241" t="s">
        <v>447</v>
      </c>
      <c r="D323" s="241" t="s">
        <v>555</v>
      </c>
      <c r="E323" s="244" t="s">
        <v>1011</v>
      </c>
      <c r="F323" s="244" t="s">
        <v>265</v>
      </c>
      <c r="G323" s="244" t="s">
        <v>263</v>
      </c>
      <c r="H323" s="244">
        <v>0</v>
      </c>
      <c r="I323" s="244">
        <v>10</v>
      </c>
      <c r="J323" s="242">
        <f>Table47[[#This Row],[ทดแทนจำนวน]]+Table47[[#This Row],[เพิ่มประสิทธิภาพจำนวน]]</f>
        <v>10</v>
      </c>
      <c r="K323" s="245">
        <v>79500</v>
      </c>
      <c r="L323" s="248" t="s">
        <v>1941</v>
      </c>
    </row>
    <row r="324" spans="1:12">
      <c r="A324" s="246" t="s">
        <v>1634</v>
      </c>
      <c r="B324" s="244">
        <v>2570</v>
      </c>
      <c r="C324" s="241" t="s">
        <v>447</v>
      </c>
      <c r="D324" s="241" t="s">
        <v>555</v>
      </c>
      <c r="E324" s="244" t="s">
        <v>1011</v>
      </c>
      <c r="F324" s="244" t="s">
        <v>148</v>
      </c>
      <c r="G324" s="244" t="s">
        <v>146</v>
      </c>
      <c r="H324" s="244">
        <v>10</v>
      </c>
      <c r="I324" s="244">
        <v>0</v>
      </c>
      <c r="J324" s="242">
        <f>Table47[[#This Row],[ทดแทนจำนวน]]+Table47[[#This Row],[เพิ่มประสิทธิภาพจำนวน]]</f>
        <v>10</v>
      </c>
      <c r="K324" s="245">
        <v>38000</v>
      </c>
      <c r="L324" s="248" t="s">
        <v>589</v>
      </c>
    </row>
    <row r="325" spans="1:12">
      <c r="A325" s="246" t="s">
        <v>1635</v>
      </c>
      <c r="B325" s="244">
        <v>2570</v>
      </c>
      <c r="C325" s="241" t="s">
        <v>447</v>
      </c>
      <c r="D325" s="241" t="s">
        <v>555</v>
      </c>
      <c r="E325" s="244" t="s">
        <v>1011</v>
      </c>
      <c r="F325" s="244" t="s">
        <v>18</v>
      </c>
      <c r="G325" s="244" t="s">
        <v>14</v>
      </c>
      <c r="H325" s="244">
        <v>0</v>
      </c>
      <c r="I325" s="244">
        <v>10</v>
      </c>
      <c r="J325" s="242">
        <f>Table47[[#This Row],[ทดแทนจำนวน]]+Table47[[#This Row],[เพิ่มประสิทธิภาพจำนวน]]</f>
        <v>10</v>
      </c>
      <c r="K325" s="245">
        <v>50000</v>
      </c>
      <c r="L325" s="248" t="s">
        <v>1941</v>
      </c>
    </row>
    <row r="326" spans="1:12">
      <c r="A326" s="246" t="s">
        <v>1636</v>
      </c>
      <c r="B326" s="244">
        <v>2570</v>
      </c>
      <c r="C326" s="241" t="s">
        <v>447</v>
      </c>
      <c r="D326" s="241" t="s">
        <v>555</v>
      </c>
      <c r="E326" s="244" t="s">
        <v>1010</v>
      </c>
      <c r="F326" s="244" t="s">
        <v>464</v>
      </c>
      <c r="G326" s="244" t="s">
        <v>437</v>
      </c>
      <c r="H326" s="244">
        <v>1</v>
      </c>
      <c r="I326" s="244">
        <v>0</v>
      </c>
      <c r="J326" s="242">
        <f>Table47[[#This Row],[ทดแทนจำนวน]]+Table47[[#This Row],[เพิ่มประสิทธิภาพจำนวน]]</f>
        <v>1</v>
      </c>
      <c r="K326" s="245">
        <v>110570</v>
      </c>
      <c r="L326" s="248" t="s">
        <v>589</v>
      </c>
    </row>
    <row r="327" spans="1:12">
      <c r="A327" s="246" t="s">
        <v>1637</v>
      </c>
      <c r="B327" s="244">
        <v>2570</v>
      </c>
      <c r="C327" s="241" t="s">
        <v>447</v>
      </c>
      <c r="D327" s="241" t="s">
        <v>555</v>
      </c>
      <c r="E327" s="244" t="s">
        <v>1006</v>
      </c>
      <c r="F327" s="244" t="s">
        <v>255</v>
      </c>
      <c r="G327" s="244" t="s">
        <v>253</v>
      </c>
      <c r="H327" s="244">
        <v>0</v>
      </c>
      <c r="I327" s="244">
        <v>2</v>
      </c>
      <c r="J327" s="242">
        <f>Table47[[#This Row],[ทดแทนจำนวน]]+Table47[[#This Row],[เพิ่มประสิทธิภาพจำนวน]]</f>
        <v>2</v>
      </c>
      <c r="K327" s="245">
        <v>13980</v>
      </c>
      <c r="L327" s="248" t="s">
        <v>1941</v>
      </c>
    </row>
    <row r="328" spans="1:12">
      <c r="A328" s="246" t="s">
        <v>1638</v>
      </c>
      <c r="B328" s="244">
        <v>2570</v>
      </c>
      <c r="C328" s="241" t="s">
        <v>447</v>
      </c>
      <c r="D328" s="241" t="s">
        <v>555</v>
      </c>
      <c r="E328" s="244" t="s">
        <v>1006</v>
      </c>
      <c r="F328" s="244" t="s">
        <v>385</v>
      </c>
      <c r="G328" s="244" t="s">
        <v>383</v>
      </c>
      <c r="H328" s="244">
        <v>0</v>
      </c>
      <c r="I328" s="244">
        <v>2</v>
      </c>
      <c r="J328" s="242">
        <f>Table47[[#This Row],[ทดแทนจำนวน]]+Table47[[#This Row],[เพิ่มประสิทธิภาพจำนวน]]</f>
        <v>2</v>
      </c>
      <c r="K328" s="245">
        <v>9800</v>
      </c>
      <c r="L328" s="248" t="s">
        <v>1941</v>
      </c>
    </row>
    <row r="329" spans="1:12">
      <c r="A329" s="246" t="s">
        <v>1639</v>
      </c>
      <c r="B329" s="244">
        <v>2570</v>
      </c>
      <c r="C329" s="241" t="s">
        <v>447</v>
      </c>
      <c r="D329" s="241" t="s">
        <v>555</v>
      </c>
      <c r="E329" s="244" t="s">
        <v>1006</v>
      </c>
      <c r="F329" s="244" t="s">
        <v>456</v>
      </c>
      <c r="G329" s="244" t="s">
        <v>442</v>
      </c>
      <c r="H329" s="244">
        <v>0</v>
      </c>
      <c r="I329" s="244">
        <v>8</v>
      </c>
      <c r="J329" s="242">
        <f>Table47[[#This Row],[ทดแทนจำนวน]]+Table47[[#This Row],[เพิ่มประสิทธิภาพจำนวน]]</f>
        <v>8</v>
      </c>
      <c r="K329" s="245">
        <v>22400</v>
      </c>
      <c r="L329" s="248" t="s">
        <v>1941</v>
      </c>
    </row>
    <row r="330" spans="1:12">
      <c r="A330" s="246" t="s">
        <v>1640</v>
      </c>
      <c r="B330" s="244">
        <v>2570</v>
      </c>
      <c r="C330" s="241" t="s">
        <v>447</v>
      </c>
      <c r="D330" s="241" t="s">
        <v>555</v>
      </c>
      <c r="E330" s="244" t="s">
        <v>1005</v>
      </c>
      <c r="F330" s="244" t="s">
        <v>456</v>
      </c>
      <c r="G330" s="244" t="s">
        <v>442</v>
      </c>
      <c r="H330" s="244">
        <v>0</v>
      </c>
      <c r="I330" s="244">
        <v>1</v>
      </c>
      <c r="J330" s="242">
        <f>Table47[[#This Row],[ทดแทนจำนวน]]+Table47[[#This Row],[เพิ่มประสิทธิภาพจำนวน]]</f>
        <v>1</v>
      </c>
      <c r="K330" s="245">
        <v>2200</v>
      </c>
      <c r="L330" s="248" t="s">
        <v>1941</v>
      </c>
    </row>
    <row r="331" spans="1:12">
      <c r="A331" s="246" t="s">
        <v>1641</v>
      </c>
      <c r="B331" s="244">
        <v>2570</v>
      </c>
      <c r="C331" s="241" t="s">
        <v>447</v>
      </c>
      <c r="D331" s="241" t="s">
        <v>555</v>
      </c>
      <c r="E331" s="244" t="s">
        <v>1003</v>
      </c>
      <c r="F331" s="244" t="s">
        <v>195</v>
      </c>
      <c r="G331" s="244" t="s">
        <v>193</v>
      </c>
      <c r="H331" s="244">
        <v>5</v>
      </c>
      <c r="I331" s="244">
        <v>5</v>
      </c>
      <c r="J331" s="242">
        <f>Table47[[#This Row],[ทดแทนจำนวน]]+Table47[[#This Row],[เพิ่มประสิทธิภาพจำนวน]]</f>
        <v>10</v>
      </c>
      <c r="K331" s="245">
        <v>18000</v>
      </c>
      <c r="L331" s="248" t="s">
        <v>1942</v>
      </c>
    </row>
    <row r="332" spans="1:12">
      <c r="A332" s="246" t="s">
        <v>1642</v>
      </c>
      <c r="B332" s="244">
        <v>2570</v>
      </c>
      <c r="C332" s="241" t="s">
        <v>447</v>
      </c>
      <c r="D332" s="241" t="s">
        <v>555</v>
      </c>
      <c r="E332" s="244" t="s">
        <v>1001</v>
      </c>
      <c r="F332" s="244" t="s">
        <v>216</v>
      </c>
      <c r="G332" s="244" t="s">
        <v>214</v>
      </c>
      <c r="H332" s="244">
        <v>1</v>
      </c>
      <c r="I332" s="244">
        <v>0</v>
      </c>
      <c r="J332" s="242">
        <f>Table47[[#This Row],[ทดแทนจำนวน]]+Table47[[#This Row],[เพิ่มประสิทธิภาพจำนวน]]</f>
        <v>1</v>
      </c>
      <c r="K332" s="245">
        <v>13900</v>
      </c>
      <c r="L332" s="248" t="s">
        <v>589</v>
      </c>
    </row>
    <row r="333" spans="1:12">
      <c r="A333" s="246" t="s">
        <v>1643</v>
      </c>
      <c r="B333" s="244">
        <v>2570</v>
      </c>
      <c r="C333" s="241" t="s">
        <v>447</v>
      </c>
      <c r="D333" s="241" t="s">
        <v>555</v>
      </c>
      <c r="E333" s="244" t="s">
        <v>995</v>
      </c>
      <c r="F333" s="244" t="s">
        <v>255</v>
      </c>
      <c r="G333" s="244" t="s">
        <v>253</v>
      </c>
      <c r="H333" s="244">
        <v>0</v>
      </c>
      <c r="I333" s="244">
        <v>15</v>
      </c>
      <c r="J333" s="242">
        <f>Table47[[#This Row],[ทดแทนจำนวน]]+Table47[[#This Row],[เพิ่มประสิทธิภาพจำนวน]]</f>
        <v>15</v>
      </c>
      <c r="K333" s="245">
        <v>52350</v>
      </c>
      <c r="L333" s="248" t="s">
        <v>1941</v>
      </c>
    </row>
    <row r="334" spans="1:12">
      <c r="A334" s="246" t="s">
        <v>1644</v>
      </c>
      <c r="B334" s="244">
        <v>2570</v>
      </c>
      <c r="C334" s="241" t="s">
        <v>447</v>
      </c>
      <c r="D334" s="241" t="s">
        <v>555</v>
      </c>
      <c r="E334" s="244" t="s">
        <v>995</v>
      </c>
      <c r="F334" s="244" t="s">
        <v>426</v>
      </c>
      <c r="G334" s="244" t="s">
        <v>424</v>
      </c>
      <c r="H334" s="244">
        <v>12</v>
      </c>
      <c r="I334" s="244">
        <v>0</v>
      </c>
      <c r="J334" s="242">
        <f>Table47[[#This Row],[ทดแทนจำนวน]]+Table47[[#This Row],[เพิ่มประสิทธิภาพจำนวน]]</f>
        <v>12</v>
      </c>
      <c r="K334" s="245">
        <v>42000</v>
      </c>
      <c r="L334" s="248" t="s">
        <v>589</v>
      </c>
    </row>
    <row r="335" spans="1:12">
      <c r="A335" s="246" t="s">
        <v>1645</v>
      </c>
      <c r="B335" s="244">
        <v>2570</v>
      </c>
      <c r="C335" s="241" t="s">
        <v>447</v>
      </c>
      <c r="D335" s="241" t="s">
        <v>555</v>
      </c>
      <c r="E335" s="244" t="s">
        <v>995</v>
      </c>
      <c r="F335" s="244" t="s">
        <v>62</v>
      </c>
      <c r="G335" s="244" t="s">
        <v>60</v>
      </c>
      <c r="H335" s="244">
        <v>40</v>
      </c>
      <c r="I335" s="244">
        <v>0</v>
      </c>
      <c r="J335" s="242">
        <f>Table47[[#This Row],[ทดแทนจำนวน]]+Table47[[#This Row],[เพิ่มประสิทธิภาพจำนวน]]</f>
        <v>40</v>
      </c>
      <c r="K335" s="245">
        <v>116000</v>
      </c>
      <c r="L335" s="248" t="s">
        <v>589</v>
      </c>
    </row>
    <row r="336" spans="1:12">
      <c r="A336" s="246" t="s">
        <v>1646</v>
      </c>
      <c r="B336" s="244">
        <v>2570</v>
      </c>
      <c r="C336" s="241" t="s">
        <v>447</v>
      </c>
      <c r="D336" s="241" t="s">
        <v>555</v>
      </c>
      <c r="E336" s="244" t="s">
        <v>995</v>
      </c>
      <c r="F336" s="244" t="s">
        <v>232</v>
      </c>
      <c r="G336" s="244" t="s">
        <v>230</v>
      </c>
      <c r="H336" s="244">
        <v>10</v>
      </c>
      <c r="I336" s="244">
        <v>0</v>
      </c>
      <c r="J336" s="242">
        <f>Table47[[#This Row],[ทดแทนจำนวน]]+Table47[[#This Row],[เพิ่มประสิทธิภาพจำนวน]]</f>
        <v>10</v>
      </c>
      <c r="K336" s="245">
        <v>14900</v>
      </c>
      <c r="L336" s="248" t="s">
        <v>589</v>
      </c>
    </row>
    <row r="337" spans="1:12">
      <c r="A337" s="246" t="s">
        <v>1647</v>
      </c>
      <c r="B337" s="244">
        <v>2570</v>
      </c>
      <c r="C337" s="241" t="s">
        <v>447</v>
      </c>
      <c r="D337" s="241" t="s">
        <v>555</v>
      </c>
      <c r="E337" s="244" t="s">
        <v>995</v>
      </c>
      <c r="F337" s="244" t="s">
        <v>156</v>
      </c>
      <c r="G337" s="244" t="s">
        <v>154</v>
      </c>
      <c r="H337" s="244">
        <v>0</v>
      </c>
      <c r="I337" s="244">
        <v>20</v>
      </c>
      <c r="J337" s="242">
        <f>Table47[[#This Row],[ทดแทนจำนวน]]+Table47[[#This Row],[เพิ่มประสิทธิภาพจำนวน]]</f>
        <v>20</v>
      </c>
      <c r="K337" s="245">
        <v>85600</v>
      </c>
      <c r="L337" s="248" t="s">
        <v>1941</v>
      </c>
    </row>
    <row r="338" spans="1:12">
      <c r="A338" s="246" t="s">
        <v>1648</v>
      </c>
      <c r="B338" s="244">
        <v>2570</v>
      </c>
      <c r="C338" s="241" t="s">
        <v>447</v>
      </c>
      <c r="D338" s="241" t="s">
        <v>555</v>
      </c>
      <c r="E338" s="244" t="s">
        <v>995</v>
      </c>
      <c r="F338" s="244" t="s">
        <v>45</v>
      </c>
      <c r="G338" s="244" t="s">
        <v>41</v>
      </c>
      <c r="H338" s="244">
        <v>28</v>
      </c>
      <c r="I338" s="244">
        <v>0</v>
      </c>
      <c r="J338" s="242">
        <f>Table47[[#This Row],[ทดแทนจำนวน]]+Table47[[#This Row],[เพิ่มประสิทธิภาพจำนวน]]</f>
        <v>28</v>
      </c>
      <c r="K338" s="245">
        <v>126000</v>
      </c>
      <c r="L338" s="248" t="s">
        <v>589</v>
      </c>
    </row>
    <row r="339" spans="1:12">
      <c r="A339" s="246" t="s">
        <v>1649</v>
      </c>
      <c r="B339" s="244">
        <v>2570</v>
      </c>
      <c r="C339" s="241" t="s">
        <v>447</v>
      </c>
      <c r="D339" s="241" t="s">
        <v>555</v>
      </c>
      <c r="E339" s="244" t="s">
        <v>995</v>
      </c>
      <c r="F339" s="244" t="s">
        <v>265</v>
      </c>
      <c r="G339" s="244" t="s">
        <v>263</v>
      </c>
      <c r="H339" s="244">
        <v>2</v>
      </c>
      <c r="I339" s="244">
        <v>0</v>
      </c>
      <c r="J339" s="242">
        <f>Table47[[#This Row],[ทดแทนจำนวน]]+Table47[[#This Row],[เพิ่มประสิทธิภาพจำนวน]]</f>
        <v>2</v>
      </c>
      <c r="K339" s="245">
        <v>10000</v>
      </c>
      <c r="L339" s="248" t="s">
        <v>589</v>
      </c>
    </row>
    <row r="340" spans="1:12">
      <c r="A340" s="246" t="s">
        <v>1650</v>
      </c>
      <c r="B340" s="244">
        <v>2570</v>
      </c>
      <c r="C340" s="241" t="s">
        <v>447</v>
      </c>
      <c r="D340" s="241" t="s">
        <v>555</v>
      </c>
      <c r="E340" s="244" t="s">
        <v>995</v>
      </c>
      <c r="F340" s="244" t="s">
        <v>464</v>
      </c>
      <c r="G340" s="244" t="s">
        <v>437</v>
      </c>
      <c r="H340" s="244">
        <v>6</v>
      </c>
      <c r="I340" s="244">
        <v>3</v>
      </c>
      <c r="J340" s="242">
        <f>Table47[[#This Row],[ทดแทนจำนวน]]+Table47[[#This Row],[เพิ่มประสิทธิภาพจำนวน]]</f>
        <v>9</v>
      </c>
      <c r="K340" s="245">
        <v>45810</v>
      </c>
      <c r="L340" s="248" t="s">
        <v>1942</v>
      </c>
    </row>
    <row r="341" spans="1:12">
      <c r="A341" s="246" t="s">
        <v>1651</v>
      </c>
      <c r="B341" s="244">
        <v>2570</v>
      </c>
      <c r="C341" s="241" t="s">
        <v>447</v>
      </c>
      <c r="D341" s="241" t="s">
        <v>555</v>
      </c>
      <c r="E341" s="244" t="s">
        <v>995</v>
      </c>
      <c r="F341" s="244" t="s">
        <v>18</v>
      </c>
      <c r="G341" s="244" t="s">
        <v>14</v>
      </c>
      <c r="H341" s="244">
        <v>0</v>
      </c>
      <c r="I341" s="244">
        <v>20</v>
      </c>
      <c r="J341" s="242">
        <f>Table47[[#This Row],[ทดแทนจำนวน]]+Table47[[#This Row],[เพิ่มประสิทธิภาพจำนวน]]</f>
        <v>20</v>
      </c>
      <c r="K341" s="245">
        <v>60000</v>
      </c>
      <c r="L341" s="248" t="s">
        <v>1941</v>
      </c>
    </row>
    <row r="342" spans="1:12">
      <c r="A342" s="246" t="s">
        <v>1652</v>
      </c>
      <c r="B342" s="244">
        <v>2570</v>
      </c>
      <c r="C342" s="241" t="s">
        <v>447</v>
      </c>
      <c r="D342" s="241" t="s">
        <v>555</v>
      </c>
      <c r="E342" s="244" t="s">
        <v>993</v>
      </c>
      <c r="F342" s="244" t="s">
        <v>265</v>
      </c>
      <c r="G342" s="244" t="s">
        <v>263</v>
      </c>
      <c r="H342" s="244">
        <v>0</v>
      </c>
      <c r="I342" s="244">
        <v>30</v>
      </c>
      <c r="J342" s="242">
        <f>Table47[[#This Row],[ทดแทนจำนวน]]+Table47[[#This Row],[เพิ่มประสิทธิภาพจำนวน]]</f>
        <v>30</v>
      </c>
      <c r="K342" s="245">
        <v>22500</v>
      </c>
      <c r="L342" s="248" t="s">
        <v>1941</v>
      </c>
    </row>
    <row r="343" spans="1:12">
      <c r="A343" s="246" t="s">
        <v>1653</v>
      </c>
      <c r="B343" s="244">
        <v>2570</v>
      </c>
      <c r="C343" s="241" t="s">
        <v>447</v>
      </c>
      <c r="D343" s="241" t="s">
        <v>555</v>
      </c>
      <c r="E343" s="244" t="s">
        <v>993</v>
      </c>
      <c r="F343" s="244" t="s">
        <v>216</v>
      </c>
      <c r="G343" s="244" t="s">
        <v>214</v>
      </c>
      <c r="H343" s="244">
        <v>0</v>
      </c>
      <c r="I343" s="244">
        <v>4</v>
      </c>
      <c r="J343" s="242">
        <f>Table47[[#This Row],[ทดแทนจำนวน]]+Table47[[#This Row],[เพิ่มประสิทธิภาพจำนวน]]</f>
        <v>4</v>
      </c>
      <c r="K343" s="245">
        <v>3400</v>
      </c>
      <c r="L343" s="248" t="s">
        <v>1941</v>
      </c>
    </row>
    <row r="344" spans="1:12">
      <c r="A344" s="246" t="s">
        <v>1654</v>
      </c>
      <c r="B344" s="244">
        <v>2570</v>
      </c>
      <c r="C344" s="241" t="s">
        <v>447</v>
      </c>
      <c r="D344" s="241" t="s">
        <v>555</v>
      </c>
      <c r="E344" s="244" t="s">
        <v>993</v>
      </c>
      <c r="F344" s="244" t="s">
        <v>946</v>
      </c>
      <c r="G344" s="244" t="s">
        <v>945</v>
      </c>
      <c r="H344" s="244">
        <v>0</v>
      </c>
      <c r="I344" s="244">
        <v>20</v>
      </c>
      <c r="J344" s="242">
        <f>Table47[[#This Row],[ทดแทนจำนวน]]+Table47[[#This Row],[เพิ่มประสิทธิภาพจำนวน]]</f>
        <v>20</v>
      </c>
      <c r="K344" s="245">
        <v>13800</v>
      </c>
      <c r="L344" s="248" t="s">
        <v>1941</v>
      </c>
    </row>
    <row r="345" spans="1:12">
      <c r="A345" s="246" t="s">
        <v>1655</v>
      </c>
      <c r="B345" s="244">
        <v>2570</v>
      </c>
      <c r="C345" s="241" t="s">
        <v>447</v>
      </c>
      <c r="D345" s="241" t="s">
        <v>555</v>
      </c>
      <c r="E345" s="244" t="s">
        <v>605</v>
      </c>
      <c r="F345" s="244" t="s">
        <v>255</v>
      </c>
      <c r="G345" s="244" t="s">
        <v>253</v>
      </c>
      <c r="H345" s="244">
        <v>0</v>
      </c>
      <c r="I345" s="244">
        <v>11</v>
      </c>
      <c r="J345" s="242">
        <f>Table47[[#This Row],[ทดแทนจำนวน]]+Table47[[#This Row],[เพิ่มประสิทธิภาพจำนวน]]</f>
        <v>11</v>
      </c>
      <c r="K345" s="245">
        <v>32890</v>
      </c>
      <c r="L345" s="248" t="s">
        <v>1941</v>
      </c>
    </row>
    <row r="346" spans="1:12">
      <c r="A346" s="246" t="s">
        <v>1656</v>
      </c>
      <c r="B346" s="244">
        <v>2570</v>
      </c>
      <c r="C346" s="241" t="s">
        <v>447</v>
      </c>
      <c r="D346" s="241" t="s">
        <v>555</v>
      </c>
      <c r="E346" s="244" t="s">
        <v>605</v>
      </c>
      <c r="F346" s="244" t="s">
        <v>385</v>
      </c>
      <c r="G346" s="244" t="s">
        <v>383</v>
      </c>
      <c r="H346" s="244">
        <v>0</v>
      </c>
      <c r="I346" s="244">
        <v>12</v>
      </c>
      <c r="J346" s="242">
        <f>Table47[[#This Row],[ทดแทนจำนวน]]+Table47[[#This Row],[เพิ่มประสิทธิภาพจำนวน]]</f>
        <v>12</v>
      </c>
      <c r="K346" s="245">
        <v>66000</v>
      </c>
      <c r="L346" s="248" t="s">
        <v>1941</v>
      </c>
    </row>
    <row r="347" spans="1:12">
      <c r="A347" s="246" t="s">
        <v>1657</v>
      </c>
      <c r="B347" s="244">
        <v>2570</v>
      </c>
      <c r="C347" s="241" t="s">
        <v>447</v>
      </c>
      <c r="D347" s="241" t="s">
        <v>555</v>
      </c>
      <c r="E347" s="244" t="s">
        <v>605</v>
      </c>
      <c r="F347" s="244" t="s">
        <v>156</v>
      </c>
      <c r="G347" s="244" t="s">
        <v>154</v>
      </c>
      <c r="H347" s="244">
        <v>0</v>
      </c>
      <c r="I347" s="244">
        <v>20</v>
      </c>
      <c r="J347" s="242">
        <f>Table47[[#This Row],[ทดแทนจำนวน]]+Table47[[#This Row],[เพิ่มประสิทธิภาพจำนวน]]</f>
        <v>20</v>
      </c>
      <c r="K347" s="245">
        <v>85600</v>
      </c>
      <c r="L347" s="248" t="s">
        <v>1941</v>
      </c>
    </row>
    <row r="348" spans="1:12">
      <c r="A348" s="246" t="s">
        <v>1658</v>
      </c>
      <c r="B348" s="244">
        <v>2570</v>
      </c>
      <c r="C348" s="241" t="s">
        <v>447</v>
      </c>
      <c r="D348" s="241" t="s">
        <v>555</v>
      </c>
      <c r="E348" s="244" t="s">
        <v>605</v>
      </c>
      <c r="F348" s="244" t="s">
        <v>456</v>
      </c>
      <c r="G348" s="244" t="s">
        <v>442</v>
      </c>
      <c r="H348" s="244">
        <v>0</v>
      </c>
      <c r="I348" s="244">
        <v>40</v>
      </c>
      <c r="J348" s="242">
        <f>Table47[[#This Row],[ทดแทนจำนวน]]+Table47[[#This Row],[เพิ่มประสิทธิภาพจำนวน]]</f>
        <v>40</v>
      </c>
      <c r="K348" s="245">
        <v>24000</v>
      </c>
      <c r="L348" s="248" t="s">
        <v>1941</v>
      </c>
    </row>
    <row r="349" spans="1:12">
      <c r="A349" s="246" t="s">
        <v>1659</v>
      </c>
      <c r="B349" s="244">
        <v>2570</v>
      </c>
      <c r="C349" s="241" t="s">
        <v>447</v>
      </c>
      <c r="D349" s="241" t="s">
        <v>555</v>
      </c>
      <c r="E349" s="244" t="s">
        <v>987</v>
      </c>
      <c r="F349" s="244" t="s">
        <v>216</v>
      </c>
      <c r="G349" s="244" t="s">
        <v>214</v>
      </c>
      <c r="H349" s="244">
        <v>0</v>
      </c>
      <c r="I349" s="244">
        <v>1</v>
      </c>
      <c r="J349" s="242">
        <f>Table47[[#This Row],[ทดแทนจำนวน]]+Table47[[#This Row],[เพิ่มประสิทธิภาพจำนวน]]</f>
        <v>1</v>
      </c>
      <c r="K349" s="245">
        <v>22500</v>
      </c>
      <c r="L349" s="248" t="s">
        <v>1941</v>
      </c>
    </row>
    <row r="350" spans="1:12">
      <c r="A350" s="246" t="s">
        <v>1660</v>
      </c>
      <c r="B350" s="244">
        <v>2570</v>
      </c>
      <c r="C350" s="241" t="s">
        <v>447</v>
      </c>
      <c r="D350" s="241" t="s">
        <v>555</v>
      </c>
      <c r="E350" s="244" t="s">
        <v>985</v>
      </c>
      <c r="F350" s="244" t="s">
        <v>463</v>
      </c>
      <c r="G350" s="244" t="s">
        <v>438</v>
      </c>
      <c r="H350" s="244">
        <v>1</v>
      </c>
      <c r="I350" s="244">
        <v>0</v>
      </c>
      <c r="J350" s="242">
        <f>Table47[[#This Row],[ทดแทนจำนวน]]+Table47[[#This Row],[เพิ่มประสิทธิภาพจำนวน]]</f>
        <v>1</v>
      </c>
      <c r="K350" s="245">
        <v>33500</v>
      </c>
      <c r="L350" s="248" t="s">
        <v>589</v>
      </c>
    </row>
    <row r="351" spans="1:12">
      <c r="A351" s="246" t="s">
        <v>1661</v>
      </c>
      <c r="B351" s="244">
        <v>2570</v>
      </c>
      <c r="C351" s="241" t="s">
        <v>447</v>
      </c>
      <c r="D351" s="241" t="s">
        <v>555</v>
      </c>
      <c r="E351" s="244" t="s">
        <v>984</v>
      </c>
      <c r="F351" s="244" t="s">
        <v>363</v>
      </c>
      <c r="G351" s="244" t="s">
        <v>205</v>
      </c>
      <c r="H351" s="244">
        <v>7</v>
      </c>
      <c r="I351" s="244">
        <v>0</v>
      </c>
      <c r="J351" s="242">
        <f>Table47[[#This Row],[ทดแทนจำนวน]]+Table47[[#This Row],[เพิ่มประสิทธิภาพจำนวน]]</f>
        <v>7</v>
      </c>
      <c r="K351" s="245">
        <v>195300</v>
      </c>
      <c r="L351" s="248" t="s">
        <v>589</v>
      </c>
    </row>
    <row r="352" spans="1:12">
      <c r="A352" s="246" t="s">
        <v>1662</v>
      </c>
      <c r="B352" s="244">
        <v>2570</v>
      </c>
      <c r="C352" s="241" t="s">
        <v>447</v>
      </c>
      <c r="D352" s="241" t="s">
        <v>555</v>
      </c>
      <c r="E352" s="244" t="s">
        <v>981</v>
      </c>
      <c r="F352" s="244" t="s">
        <v>255</v>
      </c>
      <c r="G352" s="244" t="s">
        <v>253</v>
      </c>
      <c r="H352" s="244">
        <v>0</v>
      </c>
      <c r="I352" s="244">
        <v>1</v>
      </c>
      <c r="J352" s="242">
        <f>Table47[[#This Row],[ทดแทนจำนวน]]+Table47[[#This Row],[เพิ่มประสิทธิภาพจำนวน]]</f>
        <v>1</v>
      </c>
      <c r="K352" s="245">
        <v>28600</v>
      </c>
      <c r="L352" s="248" t="s">
        <v>1941</v>
      </c>
    </row>
    <row r="353" spans="1:12">
      <c r="A353" s="246" t="s">
        <v>1663</v>
      </c>
      <c r="B353" s="244">
        <v>2570</v>
      </c>
      <c r="C353" s="241" t="s">
        <v>447</v>
      </c>
      <c r="D353" s="241" t="s">
        <v>555</v>
      </c>
      <c r="E353" s="244" t="s">
        <v>979</v>
      </c>
      <c r="F353" s="244" t="s">
        <v>389</v>
      </c>
      <c r="G353" s="244" t="s">
        <v>387</v>
      </c>
      <c r="H353" s="244">
        <v>0</v>
      </c>
      <c r="I353" s="244">
        <v>2</v>
      </c>
      <c r="J353" s="242">
        <f>Table47[[#This Row],[ทดแทนจำนวน]]+Table47[[#This Row],[เพิ่มประสิทธิภาพจำนวน]]</f>
        <v>2</v>
      </c>
      <c r="K353" s="245">
        <v>61800</v>
      </c>
      <c r="L353" s="248" t="s">
        <v>1941</v>
      </c>
    </row>
    <row r="354" spans="1:12">
      <c r="A354" s="246" t="s">
        <v>1664</v>
      </c>
      <c r="B354" s="244">
        <v>2570</v>
      </c>
      <c r="C354" s="241" t="s">
        <v>447</v>
      </c>
      <c r="D354" s="241" t="s">
        <v>555</v>
      </c>
      <c r="E354" s="244" t="s">
        <v>979</v>
      </c>
      <c r="F354" s="244" t="s">
        <v>148</v>
      </c>
      <c r="G354" s="244" t="s">
        <v>146</v>
      </c>
      <c r="H354" s="244">
        <v>1</v>
      </c>
      <c r="I354" s="244">
        <v>0</v>
      </c>
      <c r="J354" s="242">
        <f>Table47[[#This Row],[ทดแทนจำนวน]]+Table47[[#This Row],[เพิ่มประสิทธิภาพจำนวน]]</f>
        <v>1</v>
      </c>
      <c r="K354" s="245">
        <v>30900</v>
      </c>
      <c r="L354" s="248" t="s">
        <v>589</v>
      </c>
    </row>
    <row r="355" spans="1:12">
      <c r="A355" s="246" t="s">
        <v>1665</v>
      </c>
      <c r="B355" s="244">
        <v>2570</v>
      </c>
      <c r="C355" s="241" t="s">
        <v>447</v>
      </c>
      <c r="D355" s="241" t="s">
        <v>555</v>
      </c>
      <c r="E355" s="244" t="s">
        <v>977</v>
      </c>
      <c r="F355" s="244" t="s">
        <v>350</v>
      </c>
      <c r="G355" s="244" t="s">
        <v>103</v>
      </c>
      <c r="H355" s="244">
        <v>3</v>
      </c>
      <c r="I355" s="244">
        <v>3</v>
      </c>
      <c r="J355" s="242">
        <f>Table47[[#This Row],[ทดแทนจำนวน]]+Table47[[#This Row],[เพิ่มประสิทธิภาพจำนวน]]</f>
        <v>6</v>
      </c>
      <c r="K355" s="245">
        <v>227400</v>
      </c>
      <c r="L355" s="248" t="s">
        <v>1942</v>
      </c>
    </row>
    <row r="356" spans="1:12">
      <c r="A356" s="246" t="s">
        <v>1666</v>
      </c>
      <c r="B356" s="244">
        <v>2570</v>
      </c>
      <c r="C356" s="241" t="s">
        <v>447</v>
      </c>
      <c r="D356" s="241" t="s">
        <v>555</v>
      </c>
      <c r="E356" s="244" t="s">
        <v>974</v>
      </c>
      <c r="F356" s="244" t="s">
        <v>141</v>
      </c>
      <c r="G356" s="244" t="s">
        <v>139</v>
      </c>
      <c r="H356" s="244">
        <v>1</v>
      </c>
      <c r="I356" s="244">
        <v>0</v>
      </c>
      <c r="J356" s="242">
        <f>Table47[[#This Row],[ทดแทนจำนวน]]+Table47[[#This Row],[เพิ่มประสิทธิภาพจำนวน]]</f>
        <v>1</v>
      </c>
      <c r="K356" s="245">
        <v>37900</v>
      </c>
      <c r="L356" s="248" t="s">
        <v>589</v>
      </c>
    </row>
    <row r="357" spans="1:12">
      <c r="A357" s="246" t="s">
        <v>1667</v>
      </c>
      <c r="B357" s="244">
        <v>2570</v>
      </c>
      <c r="C357" s="241" t="s">
        <v>447</v>
      </c>
      <c r="D357" s="241" t="s">
        <v>555</v>
      </c>
      <c r="E357" s="244" t="s">
        <v>968</v>
      </c>
      <c r="F357" s="244" t="s">
        <v>62</v>
      </c>
      <c r="G357" s="244" t="s">
        <v>60</v>
      </c>
      <c r="H357" s="244">
        <v>5</v>
      </c>
      <c r="I357" s="244">
        <v>0</v>
      </c>
      <c r="J357" s="242">
        <f>Table47[[#This Row],[ทดแทนจำนวน]]+Table47[[#This Row],[เพิ่มประสิทธิภาพจำนวน]]</f>
        <v>5</v>
      </c>
      <c r="K357" s="245">
        <v>204500</v>
      </c>
      <c r="L357" s="248" t="s">
        <v>589</v>
      </c>
    </row>
    <row r="358" spans="1:12">
      <c r="A358" s="246" t="s">
        <v>1668</v>
      </c>
      <c r="B358" s="244">
        <v>2570</v>
      </c>
      <c r="C358" s="241" t="s">
        <v>447</v>
      </c>
      <c r="D358" s="241" t="s">
        <v>555</v>
      </c>
      <c r="E358" s="244" t="s">
        <v>968</v>
      </c>
      <c r="F358" s="244" t="s">
        <v>18</v>
      </c>
      <c r="G358" s="244" t="s">
        <v>14</v>
      </c>
      <c r="H358" s="244">
        <v>0</v>
      </c>
      <c r="I358" s="244">
        <v>2</v>
      </c>
      <c r="J358" s="242">
        <f>Table47[[#This Row],[ทดแทนจำนวน]]+Table47[[#This Row],[เพิ่มประสิทธิภาพจำนวน]]</f>
        <v>2</v>
      </c>
      <c r="K358" s="245">
        <v>81800</v>
      </c>
      <c r="L358" s="248" t="s">
        <v>1941</v>
      </c>
    </row>
    <row r="359" spans="1:12">
      <c r="A359" s="246" t="s">
        <v>1669</v>
      </c>
      <c r="B359" s="244">
        <v>2570</v>
      </c>
      <c r="C359" s="241" t="s">
        <v>447</v>
      </c>
      <c r="D359" s="241" t="s">
        <v>555</v>
      </c>
      <c r="E359" s="244" t="s">
        <v>968</v>
      </c>
      <c r="F359" s="244" t="s">
        <v>53</v>
      </c>
      <c r="G359" s="244" t="s">
        <v>51</v>
      </c>
      <c r="H359" s="244">
        <v>0</v>
      </c>
      <c r="I359" s="244">
        <v>4</v>
      </c>
      <c r="J359" s="242">
        <f>Table47[[#This Row],[ทดแทนจำนวน]]+Table47[[#This Row],[เพิ่มประสิทธิภาพจำนวน]]</f>
        <v>4</v>
      </c>
      <c r="K359" s="245">
        <v>163600</v>
      </c>
      <c r="L359" s="248" t="s">
        <v>1941</v>
      </c>
    </row>
    <row r="360" spans="1:12">
      <c r="A360" s="246" t="s">
        <v>1670</v>
      </c>
      <c r="B360" s="244">
        <v>2570</v>
      </c>
      <c r="C360" s="241" t="s">
        <v>447</v>
      </c>
      <c r="D360" s="241" t="s">
        <v>555</v>
      </c>
      <c r="E360" s="244" t="s">
        <v>967</v>
      </c>
      <c r="F360" s="244" t="s">
        <v>365</v>
      </c>
      <c r="G360" s="244" t="s">
        <v>110</v>
      </c>
      <c r="H360" s="244">
        <v>8</v>
      </c>
      <c r="I360" s="244">
        <v>0</v>
      </c>
      <c r="J360" s="242">
        <f>Table47[[#This Row],[ทดแทนจำนวน]]+Table47[[#This Row],[เพิ่มประสิทธิภาพจำนวน]]</f>
        <v>8</v>
      </c>
      <c r="K360" s="245">
        <v>290400</v>
      </c>
      <c r="L360" s="248" t="s">
        <v>589</v>
      </c>
    </row>
    <row r="361" spans="1:12">
      <c r="A361" s="246" t="s">
        <v>1671</v>
      </c>
      <c r="B361" s="244">
        <v>2570</v>
      </c>
      <c r="C361" s="241" t="s">
        <v>447</v>
      </c>
      <c r="D361" s="241" t="s">
        <v>555</v>
      </c>
      <c r="E361" s="244" t="s">
        <v>966</v>
      </c>
      <c r="F361" s="244" t="s">
        <v>45</v>
      </c>
      <c r="G361" s="244" t="s">
        <v>41</v>
      </c>
      <c r="H361" s="244">
        <v>10</v>
      </c>
      <c r="I361" s="244">
        <v>0</v>
      </c>
      <c r="J361" s="242">
        <f>Table47[[#This Row],[ทดแทนจำนวน]]+Table47[[#This Row],[เพิ่มประสิทธิภาพจำนวน]]</f>
        <v>10</v>
      </c>
      <c r="K361" s="245">
        <v>435000</v>
      </c>
      <c r="L361" s="248" t="s">
        <v>589</v>
      </c>
    </row>
    <row r="362" spans="1:12">
      <c r="A362" s="246" t="s">
        <v>1672</v>
      </c>
      <c r="B362" s="244">
        <v>2570</v>
      </c>
      <c r="C362" s="241" t="s">
        <v>447</v>
      </c>
      <c r="D362" s="241" t="s">
        <v>555</v>
      </c>
      <c r="E362" s="244" t="s">
        <v>963</v>
      </c>
      <c r="F362" s="244" t="s">
        <v>265</v>
      </c>
      <c r="G362" s="244" t="s">
        <v>263</v>
      </c>
      <c r="H362" s="244">
        <v>0</v>
      </c>
      <c r="I362" s="244">
        <v>8</v>
      </c>
      <c r="J362" s="242">
        <f>Table47[[#This Row],[ทดแทนจำนวน]]+Table47[[#This Row],[เพิ่มประสิทธิภาพจำนวน]]</f>
        <v>8</v>
      </c>
      <c r="K362" s="245">
        <v>428800</v>
      </c>
      <c r="L362" s="248" t="s">
        <v>1941</v>
      </c>
    </row>
    <row r="363" spans="1:12">
      <c r="A363" s="246" t="s">
        <v>1673</v>
      </c>
      <c r="B363" s="244">
        <v>2570</v>
      </c>
      <c r="C363" s="241" t="s">
        <v>447</v>
      </c>
      <c r="D363" s="241" t="s">
        <v>555</v>
      </c>
      <c r="E363" s="244" t="s">
        <v>963</v>
      </c>
      <c r="F363" s="244" t="s">
        <v>171</v>
      </c>
      <c r="G363" s="244" t="s">
        <v>169</v>
      </c>
      <c r="H363" s="244">
        <v>1</v>
      </c>
      <c r="I363" s="244">
        <v>0</v>
      </c>
      <c r="J363" s="242">
        <f>Table47[[#This Row],[ทดแทนจำนวน]]+Table47[[#This Row],[เพิ่มประสิทธิภาพจำนวน]]</f>
        <v>1</v>
      </c>
      <c r="K363" s="245">
        <v>53600</v>
      </c>
      <c r="L363" s="248" t="s">
        <v>589</v>
      </c>
    </row>
    <row r="364" spans="1:12">
      <c r="A364" s="246" t="s">
        <v>1674</v>
      </c>
      <c r="B364" s="244">
        <v>2570</v>
      </c>
      <c r="C364" s="241" t="s">
        <v>447</v>
      </c>
      <c r="D364" s="241" t="s">
        <v>555</v>
      </c>
      <c r="E364" s="244" t="s">
        <v>960</v>
      </c>
      <c r="F364" s="244" t="s">
        <v>50</v>
      </c>
      <c r="G364" s="244" t="s">
        <v>46</v>
      </c>
      <c r="H364" s="244">
        <v>0</v>
      </c>
      <c r="I364" s="244">
        <v>3</v>
      </c>
      <c r="J364" s="242">
        <f>Table47[[#This Row],[ทดแทนจำนวน]]+Table47[[#This Row],[เพิ่มประสิทธิภาพจำนวน]]</f>
        <v>3</v>
      </c>
      <c r="K364" s="245">
        <v>165000</v>
      </c>
      <c r="L364" s="248" t="s">
        <v>1941</v>
      </c>
    </row>
    <row r="365" spans="1:12">
      <c r="A365" s="246" t="s">
        <v>1675</v>
      </c>
      <c r="B365" s="244">
        <v>2570</v>
      </c>
      <c r="C365" s="241" t="s">
        <v>447</v>
      </c>
      <c r="D365" s="241" t="s">
        <v>555</v>
      </c>
      <c r="E365" s="244" t="s">
        <v>960</v>
      </c>
      <c r="F365" s="244" t="s">
        <v>259</v>
      </c>
      <c r="G365" s="244" t="s">
        <v>257</v>
      </c>
      <c r="H365" s="244">
        <v>0</v>
      </c>
      <c r="I365" s="244">
        <v>3</v>
      </c>
      <c r="J365" s="242">
        <f>Table47[[#This Row],[ทดแทนจำนวน]]+Table47[[#This Row],[เพิ่มประสิทธิภาพจำนวน]]</f>
        <v>3</v>
      </c>
      <c r="K365" s="245">
        <v>163200</v>
      </c>
      <c r="L365" s="248" t="s">
        <v>1941</v>
      </c>
    </row>
    <row r="366" spans="1:12">
      <c r="A366" s="246" t="s">
        <v>1676</v>
      </c>
      <c r="B366" s="244">
        <v>2570</v>
      </c>
      <c r="C366" s="241" t="s">
        <v>447</v>
      </c>
      <c r="D366" s="241" t="s">
        <v>555</v>
      </c>
      <c r="E366" s="244" t="s">
        <v>958</v>
      </c>
      <c r="F366" s="244" t="s">
        <v>24</v>
      </c>
      <c r="G366" s="244" t="s">
        <v>22</v>
      </c>
      <c r="H366" s="244">
        <v>0</v>
      </c>
      <c r="I366" s="244">
        <v>4</v>
      </c>
      <c r="J366" s="242">
        <f>Table47[[#This Row],[ทดแทนจำนวน]]+Table47[[#This Row],[เพิ่มประสิทธิภาพจำนวน]]</f>
        <v>4</v>
      </c>
      <c r="K366" s="245">
        <v>217600</v>
      </c>
      <c r="L366" s="248" t="s">
        <v>1941</v>
      </c>
    </row>
    <row r="367" spans="1:12">
      <c r="A367" s="246" t="s">
        <v>1677</v>
      </c>
      <c r="B367" s="244">
        <v>2570</v>
      </c>
      <c r="C367" s="241" t="s">
        <v>447</v>
      </c>
      <c r="D367" s="241" t="s">
        <v>555</v>
      </c>
      <c r="E367" s="244" t="s">
        <v>947</v>
      </c>
      <c r="F367" s="244" t="s">
        <v>457</v>
      </c>
      <c r="G367" s="244" t="s">
        <v>441</v>
      </c>
      <c r="H367" s="244">
        <v>1</v>
      </c>
      <c r="I367" s="244">
        <v>0</v>
      </c>
      <c r="J367" s="242">
        <f>Table47[[#This Row],[ทดแทนจำนวน]]+Table47[[#This Row],[เพิ่มประสิทธิภาพจำนวน]]</f>
        <v>1</v>
      </c>
      <c r="K367" s="245">
        <v>8000</v>
      </c>
      <c r="L367" s="248" t="s">
        <v>589</v>
      </c>
    </row>
    <row r="368" spans="1:12">
      <c r="A368" s="246" t="s">
        <v>1678</v>
      </c>
      <c r="B368" s="244">
        <v>2570</v>
      </c>
      <c r="C368" s="241" t="s">
        <v>447</v>
      </c>
      <c r="D368" s="241" t="s">
        <v>555</v>
      </c>
      <c r="E368" s="244" t="s">
        <v>956</v>
      </c>
      <c r="F368" s="244" t="s">
        <v>946</v>
      </c>
      <c r="G368" s="244" t="s">
        <v>945</v>
      </c>
      <c r="H368" s="244">
        <v>0</v>
      </c>
      <c r="I368" s="244">
        <v>1</v>
      </c>
      <c r="J368" s="242">
        <f>Table47[[#This Row],[ทดแทนจำนวน]]+Table47[[#This Row],[เพิ่มประสิทธิภาพจำนวน]]</f>
        <v>1</v>
      </c>
      <c r="K368" s="245">
        <v>9400</v>
      </c>
      <c r="L368" s="248" t="s">
        <v>1941</v>
      </c>
    </row>
    <row r="369" spans="1:12">
      <c r="A369" s="246" t="s">
        <v>1679</v>
      </c>
      <c r="B369" s="244">
        <v>2570</v>
      </c>
      <c r="C369" s="241" t="s">
        <v>447</v>
      </c>
      <c r="D369" s="241" t="s">
        <v>555</v>
      </c>
      <c r="E369" s="244" t="s">
        <v>956</v>
      </c>
      <c r="F369" s="244" t="s">
        <v>18</v>
      </c>
      <c r="G369" s="244" t="s">
        <v>14</v>
      </c>
      <c r="H369" s="244">
        <v>0</v>
      </c>
      <c r="I369" s="244">
        <v>1</v>
      </c>
      <c r="J369" s="242">
        <f>Table47[[#This Row],[ทดแทนจำนวน]]+Table47[[#This Row],[เพิ่มประสิทธิภาพจำนวน]]</f>
        <v>1</v>
      </c>
      <c r="K369" s="245">
        <v>9400</v>
      </c>
      <c r="L369" s="248" t="s">
        <v>1941</v>
      </c>
    </row>
    <row r="370" spans="1:12">
      <c r="A370" s="246" t="s">
        <v>1680</v>
      </c>
      <c r="B370" s="244">
        <v>2570</v>
      </c>
      <c r="C370" s="241" t="s">
        <v>447</v>
      </c>
      <c r="D370" s="241" t="s">
        <v>555</v>
      </c>
      <c r="E370" s="244" t="s">
        <v>952</v>
      </c>
      <c r="F370" s="244" t="s">
        <v>50</v>
      </c>
      <c r="G370" s="244" t="s">
        <v>46</v>
      </c>
      <c r="H370" s="244">
        <v>1</v>
      </c>
      <c r="I370" s="244">
        <v>0</v>
      </c>
      <c r="J370" s="242">
        <f>Table47[[#This Row],[ทดแทนจำนวน]]+Table47[[#This Row],[เพิ่มประสิทธิภาพจำนวน]]</f>
        <v>1</v>
      </c>
      <c r="K370" s="245">
        <v>40000</v>
      </c>
      <c r="L370" s="248" t="s">
        <v>589</v>
      </c>
    </row>
    <row r="371" spans="1:12">
      <c r="A371" s="246" t="s">
        <v>1681</v>
      </c>
      <c r="B371" s="244">
        <v>2570</v>
      </c>
      <c r="C371" s="241" t="s">
        <v>447</v>
      </c>
      <c r="D371" s="241" t="s">
        <v>555</v>
      </c>
      <c r="E371" s="244" t="s">
        <v>952</v>
      </c>
      <c r="F371" s="244" t="s">
        <v>300</v>
      </c>
      <c r="G371" s="244" t="s">
        <v>298</v>
      </c>
      <c r="H371" s="244">
        <v>0</v>
      </c>
      <c r="I371" s="244">
        <v>1</v>
      </c>
      <c r="J371" s="242">
        <f>Table47[[#This Row],[ทดแทนจำนวน]]+Table47[[#This Row],[เพิ่มประสิทธิภาพจำนวน]]</f>
        <v>1</v>
      </c>
      <c r="K371" s="245">
        <v>39150</v>
      </c>
      <c r="L371" s="248" t="s">
        <v>1941</v>
      </c>
    </row>
    <row r="372" spans="1:12">
      <c r="A372" s="246" t="s">
        <v>1682</v>
      </c>
      <c r="B372" s="244">
        <v>2570</v>
      </c>
      <c r="C372" s="241" t="s">
        <v>447</v>
      </c>
      <c r="D372" s="241" t="s">
        <v>555</v>
      </c>
      <c r="E372" s="244" t="s">
        <v>951</v>
      </c>
      <c r="F372" s="244" t="s">
        <v>45</v>
      </c>
      <c r="G372" s="244" t="s">
        <v>41</v>
      </c>
      <c r="H372" s="244">
        <v>0</v>
      </c>
      <c r="I372" s="244">
        <v>10</v>
      </c>
      <c r="J372" s="242">
        <f>Table47[[#This Row],[ทดแทนจำนวน]]+Table47[[#This Row],[เพิ่มประสิทธิภาพจำนวน]]</f>
        <v>10</v>
      </c>
      <c r="K372" s="245">
        <v>18000</v>
      </c>
      <c r="L372" s="248" t="s">
        <v>1941</v>
      </c>
    </row>
    <row r="373" spans="1:12">
      <c r="A373" s="246" t="s">
        <v>1683</v>
      </c>
      <c r="B373" s="244">
        <v>2570</v>
      </c>
      <c r="C373" s="241" t="s">
        <v>447</v>
      </c>
      <c r="D373" s="241" t="s">
        <v>555</v>
      </c>
      <c r="E373" s="244" t="s">
        <v>951</v>
      </c>
      <c r="F373" s="244" t="s">
        <v>456</v>
      </c>
      <c r="G373" s="244" t="s">
        <v>442</v>
      </c>
      <c r="H373" s="244">
        <v>0</v>
      </c>
      <c r="I373" s="244">
        <v>10</v>
      </c>
      <c r="J373" s="242">
        <f>Table47[[#This Row],[ทดแทนจำนวน]]+Table47[[#This Row],[เพิ่มประสิทธิภาพจำนวน]]</f>
        <v>10</v>
      </c>
      <c r="K373" s="245">
        <v>12980</v>
      </c>
      <c r="L373" s="248" t="s">
        <v>1941</v>
      </c>
    </row>
    <row r="374" spans="1:12">
      <c r="A374" s="246" t="s">
        <v>1684</v>
      </c>
      <c r="B374" s="244">
        <v>2570</v>
      </c>
      <c r="C374" s="241" t="s">
        <v>447</v>
      </c>
      <c r="D374" s="241" t="s">
        <v>555</v>
      </c>
      <c r="E374" s="244" t="s">
        <v>950</v>
      </c>
      <c r="F374" s="244" t="s">
        <v>204</v>
      </c>
      <c r="G374" s="244" t="s">
        <v>202</v>
      </c>
      <c r="H374" s="244">
        <v>0</v>
      </c>
      <c r="I374" s="244">
        <v>2</v>
      </c>
      <c r="J374" s="242">
        <f>Table47[[#This Row],[ทดแทนจำนวน]]+Table47[[#This Row],[เพิ่มประสิทธิภาพจำนวน]]</f>
        <v>2</v>
      </c>
      <c r="K374" s="245">
        <v>3000</v>
      </c>
      <c r="L374" s="248" t="s">
        <v>1941</v>
      </c>
    </row>
    <row r="375" spans="1:12">
      <c r="A375" s="246" t="s">
        <v>1685</v>
      </c>
      <c r="B375" s="244">
        <v>2570</v>
      </c>
      <c r="C375" s="241" t="s">
        <v>447</v>
      </c>
      <c r="D375" s="241" t="s">
        <v>555</v>
      </c>
      <c r="E375" s="244" t="s">
        <v>947</v>
      </c>
      <c r="F375" s="244" t="s">
        <v>381</v>
      </c>
      <c r="G375" s="244" t="s">
        <v>379</v>
      </c>
      <c r="H375" s="244">
        <v>0</v>
      </c>
      <c r="I375" s="244">
        <v>1</v>
      </c>
      <c r="J375" s="242">
        <f>Table47[[#This Row],[ทดแทนจำนวน]]+Table47[[#This Row],[เพิ่มประสิทธิภาพจำนวน]]</f>
        <v>1</v>
      </c>
      <c r="K375" s="245">
        <v>8600</v>
      </c>
      <c r="L375" s="248" t="s">
        <v>1941</v>
      </c>
    </row>
    <row r="376" spans="1:12">
      <c r="A376" s="246" t="s">
        <v>1686</v>
      </c>
      <c r="B376" s="244">
        <v>2570</v>
      </c>
      <c r="C376" s="241" t="s">
        <v>447</v>
      </c>
      <c r="D376" s="241" t="s">
        <v>555</v>
      </c>
      <c r="E376" s="244" t="s">
        <v>947</v>
      </c>
      <c r="F376" s="244" t="s">
        <v>946</v>
      </c>
      <c r="G376" s="244" t="s">
        <v>945</v>
      </c>
      <c r="H376" s="244">
        <v>0</v>
      </c>
      <c r="I376" s="244">
        <v>1</v>
      </c>
      <c r="J376" s="242">
        <f>Table47[[#This Row],[ทดแทนจำนวน]]+Table47[[#This Row],[เพิ่มประสิทธิภาพจำนวน]]</f>
        <v>1</v>
      </c>
      <c r="K376" s="245">
        <v>8600</v>
      </c>
      <c r="L376" s="248" t="s">
        <v>1941</v>
      </c>
    </row>
    <row r="377" spans="1:12">
      <c r="A377" s="246" t="s">
        <v>1687</v>
      </c>
      <c r="B377" s="244">
        <v>2570</v>
      </c>
      <c r="C377" s="241" t="s">
        <v>447</v>
      </c>
      <c r="D377" s="241" t="s">
        <v>555</v>
      </c>
      <c r="E377" s="244" t="s">
        <v>942</v>
      </c>
      <c r="F377" s="244" t="s">
        <v>365</v>
      </c>
      <c r="G377" s="244" t="s">
        <v>110</v>
      </c>
      <c r="H377" s="244">
        <v>0</v>
      </c>
      <c r="I377" s="244">
        <v>2</v>
      </c>
      <c r="J377" s="242">
        <f>Table47[[#This Row],[ทดแทนจำนวน]]+Table47[[#This Row],[เพิ่มประสิทธิภาพจำนวน]]</f>
        <v>2</v>
      </c>
      <c r="K377" s="245">
        <v>54000</v>
      </c>
      <c r="L377" s="248" t="s">
        <v>1941</v>
      </c>
    </row>
    <row r="378" spans="1:12">
      <c r="A378" s="246" t="s">
        <v>1688</v>
      </c>
      <c r="B378" s="244">
        <v>2570</v>
      </c>
      <c r="C378" s="241" t="s">
        <v>447</v>
      </c>
      <c r="D378" s="241" t="s">
        <v>555</v>
      </c>
      <c r="E378" s="244" t="s">
        <v>942</v>
      </c>
      <c r="F378" s="244" t="s">
        <v>365</v>
      </c>
      <c r="G378" s="244" t="s">
        <v>110</v>
      </c>
      <c r="H378" s="244">
        <v>0</v>
      </c>
      <c r="I378" s="244">
        <v>2</v>
      </c>
      <c r="J378" s="242">
        <f>Table47[[#This Row],[ทดแทนจำนวน]]+Table47[[#This Row],[เพิ่มประสิทธิภาพจำนวน]]</f>
        <v>2</v>
      </c>
      <c r="K378" s="245">
        <v>54000</v>
      </c>
      <c r="L378" s="248" t="s">
        <v>1941</v>
      </c>
    </row>
    <row r="379" spans="1:12">
      <c r="A379" s="246" t="s">
        <v>1689</v>
      </c>
      <c r="B379" s="244">
        <v>2570</v>
      </c>
      <c r="C379" s="241" t="s">
        <v>447</v>
      </c>
      <c r="D379" s="241" t="s">
        <v>555</v>
      </c>
      <c r="E379" s="244" t="s">
        <v>942</v>
      </c>
      <c r="F379" s="244" t="s">
        <v>270</v>
      </c>
      <c r="G379" s="244" t="s">
        <v>172</v>
      </c>
      <c r="H379" s="244">
        <v>1</v>
      </c>
      <c r="I379" s="244">
        <v>0</v>
      </c>
      <c r="J379" s="242">
        <f>Table47[[#This Row],[ทดแทนจำนวน]]+Table47[[#This Row],[เพิ่มประสิทธิภาพจำนวน]]</f>
        <v>1</v>
      </c>
      <c r="K379" s="245">
        <v>9900</v>
      </c>
      <c r="L379" s="248" t="s">
        <v>589</v>
      </c>
    </row>
    <row r="380" spans="1:12">
      <c r="A380" s="246" t="s">
        <v>1690</v>
      </c>
      <c r="B380" s="244">
        <v>2570</v>
      </c>
      <c r="C380" s="241" t="s">
        <v>447</v>
      </c>
      <c r="D380" s="241" t="s">
        <v>555</v>
      </c>
      <c r="E380" s="244" t="s">
        <v>939</v>
      </c>
      <c r="F380" s="244" t="s">
        <v>450</v>
      </c>
      <c r="G380" s="244" t="s">
        <v>445</v>
      </c>
      <c r="H380" s="244">
        <v>1</v>
      </c>
      <c r="I380" s="244">
        <v>0</v>
      </c>
      <c r="J380" s="242">
        <f>Table47[[#This Row],[ทดแทนจำนวน]]+Table47[[#This Row],[เพิ่มประสิทธิภาพจำนวน]]</f>
        <v>1</v>
      </c>
      <c r="K380" s="245">
        <v>12840</v>
      </c>
      <c r="L380" s="248" t="s">
        <v>589</v>
      </c>
    </row>
    <row r="381" spans="1:12">
      <c r="A381" s="246" t="s">
        <v>1691</v>
      </c>
      <c r="B381" s="244">
        <v>2570</v>
      </c>
      <c r="C381" s="241" t="s">
        <v>447</v>
      </c>
      <c r="D381" s="241" t="s">
        <v>555</v>
      </c>
      <c r="E381" s="244" t="s">
        <v>939</v>
      </c>
      <c r="F381" s="244" t="s">
        <v>450</v>
      </c>
      <c r="G381" s="244" t="s">
        <v>445</v>
      </c>
      <c r="H381" s="244">
        <v>1</v>
      </c>
      <c r="I381" s="244">
        <v>0</v>
      </c>
      <c r="J381" s="242">
        <f>Table47[[#This Row],[ทดแทนจำนวน]]+Table47[[#This Row],[เพิ่มประสิทธิภาพจำนวน]]</f>
        <v>1</v>
      </c>
      <c r="K381" s="245">
        <v>3628</v>
      </c>
      <c r="L381" s="248" t="s">
        <v>589</v>
      </c>
    </row>
    <row r="382" spans="1:12">
      <c r="A382" s="246" t="s">
        <v>1692</v>
      </c>
      <c r="B382" s="244">
        <v>2570</v>
      </c>
      <c r="C382" s="241" t="s">
        <v>447</v>
      </c>
      <c r="D382" s="241" t="s">
        <v>555</v>
      </c>
      <c r="E382" s="244" t="s">
        <v>935</v>
      </c>
      <c r="F382" s="244" t="s">
        <v>270</v>
      </c>
      <c r="G382" s="244" t="s">
        <v>172</v>
      </c>
      <c r="H382" s="244">
        <v>0</v>
      </c>
      <c r="I382" s="244">
        <v>3</v>
      </c>
      <c r="J382" s="242">
        <f>Table47[[#This Row],[ทดแทนจำนวน]]+Table47[[#This Row],[เพิ่มประสิทธิภาพจำนวน]]</f>
        <v>3</v>
      </c>
      <c r="K382" s="245">
        <v>3600</v>
      </c>
      <c r="L382" s="248" t="s">
        <v>1941</v>
      </c>
    </row>
    <row r="383" spans="1:12">
      <c r="A383" s="246" t="s">
        <v>1693</v>
      </c>
      <c r="B383" s="244">
        <v>2570</v>
      </c>
      <c r="C383" s="241" t="s">
        <v>447</v>
      </c>
      <c r="D383" s="241" t="s">
        <v>555</v>
      </c>
      <c r="E383" s="244" t="s">
        <v>935</v>
      </c>
      <c r="F383" s="244" t="s">
        <v>29</v>
      </c>
      <c r="G383" s="244" t="s">
        <v>27</v>
      </c>
      <c r="H383" s="244">
        <v>0</v>
      </c>
      <c r="I383" s="244">
        <v>4</v>
      </c>
      <c r="J383" s="242">
        <f>Table47[[#This Row],[ทดแทนจำนวน]]+Table47[[#This Row],[เพิ่มประสิทธิภาพจำนวน]]</f>
        <v>4</v>
      </c>
      <c r="K383" s="245">
        <v>4400</v>
      </c>
      <c r="L383" s="248" t="s">
        <v>1941</v>
      </c>
    </row>
    <row r="384" spans="1:12">
      <c r="A384" s="246" t="s">
        <v>1694</v>
      </c>
      <c r="B384" s="244">
        <v>2570</v>
      </c>
      <c r="C384" s="241" t="s">
        <v>447</v>
      </c>
      <c r="D384" s="241" t="s">
        <v>555</v>
      </c>
      <c r="E384" s="244" t="s">
        <v>932</v>
      </c>
      <c r="F384" s="244" t="s">
        <v>461</v>
      </c>
      <c r="G384" s="244" t="s">
        <v>439</v>
      </c>
      <c r="H384" s="244">
        <v>0</v>
      </c>
      <c r="I384" s="244">
        <v>5</v>
      </c>
      <c r="J384" s="242">
        <f>Table47[[#This Row],[ทดแทนจำนวน]]+Table47[[#This Row],[เพิ่มประสิทธิภาพจำนวน]]</f>
        <v>5</v>
      </c>
      <c r="K384" s="245">
        <v>5950</v>
      </c>
      <c r="L384" s="248" t="s">
        <v>1941</v>
      </c>
    </row>
    <row r="385" spans="1:12">
      <c r="A385" s="246" t="s">
        <v>1695</v>
      </c>
      <c r="B385" s="244">
        <v>2570</v>
      </c>
      <c r="C385" s="241" t="s">
        <v>447</v>
      </c>
      <c r="D385" s="241" t="s">
        <v>555</v>
      </c>
      <c r="E385" s="244" t="s">
        <v>932</v>
      </c>
      <c r="F385" s="244" t="s">
        <v>204</v>
      </c>
      <c r="G385" s="244" t="s">
        <v>202</v>
      </c>
      <c r="H385" s="244">
        <v>0</v>
      </c>
      <c r="I385" s="244">
        <v>4</v>
      </c>
      <c r="J385" s="242">
        <f>Table47[[#This Row],[ทดแทนจำนวน]]+Table47[[#This Row],[เพิ่มประสิทธิภาพจำนวน]]</f>
        <v>4</v>
      </c>
      <c r="K385" s="245">
        <v>8800</v>
      </c>
      <c r="L385" s="248" t="s">
        <v>1941</v>
      </c>
    </row>
    <row r="386" spans="1:12">
      <c r="A386" s="246" t="s">
        <v>1696</v>
      </c>
      <c r="B386" s="244">
        <v>2570</v>
      </c>
      <c r="C386" s="241" t="s">
        <v>447</v>
      </c>
      <c r="D386" s="241" t="s">
        <v>555</v>
      </c>
      <c r="E386" s="244" t="s">
        <v>932</v>
      </c>
      <c r="F386" s="244" t="s">
        <v>171</v>
      </c>
      <c r="G386" s="244" t="s">
        <v>169</v>
      </c>
      <c r="H386" s="244">
        <v>2</v>
      </c>
      <c r="I386" s="244">
        <v>0</v>
      </c>
      <c r="J386" s="242">
        <f>Table47[[#This Row],[ทดแทนจำนวน]]+Table47[[#This Row],[เพิ่มประสิทธิภาพจำนวน]]</f>
        <v>2</v>
      </c>
      <c r="K386" s="245">
        <v>5200</v>
      </c>
      <c r="L386" s="248" t="s">
        <v>589</v>
      </c>
    </row>
    <row r="387" spans="1:12">
      <c r="A387" s="246" t="s">
        <v>1697</v>
      </c>
      <c r="B387" s="244">
        <v>2570</v>
      </c>
      <c r="C387" s="241" t="s">
        <v>447</v>
      </c>
      <c r="D387" s="241" t="s">
        <v>477</v>
      </c>
      <c r="E387" s="244" t="s">
        <v>930</v>
      </c>
      <c r="F387" s="244" t="s">
        <v>463</v>
      </c>
      <c r="G387" s="244" t="s">
        <v>438</v>
      </c>
      <c r="H387" s="244">
        <v>0</v>
      </c>
      <c r="I387" s="244">
        <v>1</v>
      </c>
      <c r="J387" s="242">
        <f>Table47[[#This Row],[ทดแทนจำนวน]]+Table47[[#This Row],[เพิ่มประสิทธิภาพจำนวน]]</f>
        <v>1</v>
      </c>
      <c r="K387" s="245">
        <v>93400</v>
      </c>
      <c r="L387" s="248" t="s">
        <v>1941</v>
      </c>
    </row>
    <row r="388" spans="1:12">
      <c r="A388" s="246" t="s">
        <v>1698</v>
      </c>
      <c r="B388" s="244">
        <v>2570</v>
      </c>
      <c r="C388" s="241" t="s">
        <v>447</v>
      </c>
      <c r="D388" s="241" t="s">
        <v>477</v>
      </c>
      <c r="E388" s="244" t="s">
        <v>929</v>
      </c>
      <c r="F388" s="244" t="s">
        <v>426</v>
      </c>
      <c r="G388" s="244" t="s">
        <v>424</v>
      </c>
      <c r="H388" s="244">
        <v>1</v>
      </c>
      <c r="I388" s="244">
        <v>0</v>
      </c>
      <c r="J388" s="242">
        <f>Table47[[#This Row],[ทดแทนจำนวน]]+Table47[[#This Row],[เพิ่มประสิทธิภาพจำนวน]]</f>
        <v>1</v>
      </c>
      <c r="K388" s="245">
        <v>72890</v>
      </c>
      <c r="L388" s="248" t="s">
        <v>589</v>
      </c>
    </row>
    <row r="389" spans="1:12">
      <c r="A389" s="246" t="s">
        <v>1699</v>
      </c>
      <c r="B389" s="244">
        <v>2570</v>
      </c>
      <c r="C389" s="241" t="s">
        <v>447</v>
      </c>
      <c r="D389" s="241" t="s">
        <v>477</v>
      </c>
      <c r="E389" s="244" t="s">
        <v>925</v>
      </c>
      <c r="F389" s="244" t="s">
        <v>280</v>
      </c>
      <c r="G389" s="244" t="s">
        <v>278</v>
      </c>
      <c r="H389" s="244">
        <v>1</v>
      </c>
      <c r="I389" s="244">
        <v>0</v>
      </c>
      <c r="J389" s="242">
        <f>Table47[[#This Row],[ทดแทนจำนวน]]+Table47[[#This Row],[เพิ่มประสิทธิภาพจำนวน]]</f>
        <v>1</v>
      </c>
      <c r="K389" s="245">
        <v>92390</v>
      </c>
      <c r="L389" s="248" t="s">
        <v>589</v>
      </c>
    </row>
    <row r="390" spans="1:12">
      <c r="A390" s="246" t="s">
        <v>1700</v>
      </c>
      <c r="B390" s="244">
        <v>2570</v>
      </c>
      <c r="C390" s="241" t="s">
        <v>447</v>
      </c>
      <c r="D390" s="241" t="s">
        <v>477</v>
      </c>
      <c r="E390" s="244" t="s">
        <v>925</v>
      </c>
      <c r="F390" s="244" t="s">
        <v>223</v>
      </c>
      <c r="G390" s="244" t="s">
        <v>221</v>
      </c>
      <c r="H390" s="244">
        <v>1</v>
      </c>
      <c r="I390" s="244">
        <v>0</v>
      </c>
      <c r="J390" s="242">
        <f>Table47[[#This Row],[ทดแทนจำนวน]]+Table47[[#This Row],[เพิ่มประสิทธิภาพจำนวน]]</f>
        <v>1</v>
      </c>
      <c r="K390" s="245">
        <v>100000</v>
      </c>
      <c r="L390" s="248" t="s">
        <v>589</v>
      </c>
    </row>
    <row r="391" spans="1:12">
      <c r="A391" s="246" t="s">
        <v>1701</v>
      </c>
      <c r="B391" s="244">
        <v>2570</v>
      </c>
      <c r="C391" s="241" t="s">
        <v>447</v>
      </c>
      <c r="D391" s="241" t="s">
        <v>477</v>
      </c>
      <c r="E391" s="244" t="s">
        <v>919</v>
      </c>
      <c r="F391" s="244" t="s">
        <v>53</v>
      </c>
      <c r="G391" s="244" t="s">
        <v>51</v>
      </c>
      <c r="H391" s="244">
        <v>1</v>
      </c>
      <c r="I391" s="244">
        <v>0</v>
      </c>
      <c r="J391" s="242">
        <f>Table47[[#This Row],[ทดแทนจำนวน]]+Table47[[#This Row],[เพิ่มประสิทธิภาพจำนวน]]</f>
        <v>1</v>
      </c>
      <c r="K391" s="245">
        <v>150000</v>
      </c>
      <c r="L391" s="248" t="s">
        <v>589</v>
      </c>
    </row>
    <row r="392" spans="1:12">
      <c r="A392" s="246" t="s">
        <v>1702</v>
      </c>
      <c r="B392" s="244">
        <v>2570</v>
      </c>
      <c r="C392" s="241" t="s">
        <v>447</v>
      </c>
      <c r="D392" s="241" t="s">
        <v>477</v>
      </c>
      <c r="E392" s="244" t="s">
        <v>919</v>
      </c>
      <c r="F392" s="244" t="s">
        <v>300</v>
      </c>
      <c r="G392" s="244" t="s">
        <v>298</v>
      </c>
      <c r="H392" s="244">
        <v>1</v>
      </c>
      <c r="I392" s="244">
        <v>0</v>
      </c>
      <c r="J392" s="242">
        <f>Table47[[#This Row],[ทดแทนจำนวน]]+Table47[[#This Row],[เพิ่มประสิทธิภาพจำนวน]]</f>
        <v>1</v>
      </c>
      <c r="K392" s="245">
        <v>65000</v>
      </c>
      <c r="L392" s="248" t="s">
        <v>589</v>
      </c>
    </row>
    <row r="393" spans="1:12">
      <c r="A393" s="246" t="s">
        <v>1703</v>
      </c>
      <c r="B393" s="244">
        <v>2570</v>
      </c>
      <c r="C393" s="241" t="s">
        <v>447</v>
      </c>
      <c r="D393" s="241" t="s">
        <v>477</v>
      </c>
      <c r="E393" s="244" t="s">
        <v>919</v>
      </c>
      <c r="F393" s="244" t="s">
        <v>450</v>
      </c>
      <c r="G393" s="244" t="s">
        <v>445</v>
      </c>
      <c r="H393" s="244">
        <v>1</v>
      </c>
      <c r="I393" s="244">
        <v>0</v>
      </c>
      <c r="J393" s="242">
        <f>Table47[[#This Row],[ทดแทนจำนวน]]+Table47[[#This Row],[เพิ่มประสิทธิภาพจำนวน]]</f>
        <v>1</v>
      </c>
      <c r="K393" s="245">
        <v>11000</v>
      </c>
      <c r="L393" s="248" t="s">
        <v>589</v>
      </c>
    </row>
    <row r="394" spans="1:12">
      <c r="A394" s="246" t="s">
        <v>1704</v>
      </c>
      <c r="B394" s="244">
        <v>2570</v>
      </c>
      <c r="C394" s="241" t="s">
        <v>447</v>
      </c>
      <c r="D394" s="241" t="s">
        <v>477</v>
      </c>
      <c r="E394" s="244" t="s">
        <v>913</v>
      </c>
      <c r="F394" s="244" t="s">
        <v>204</v>
      </c>
      <c r="G394" s="244" t="s">
        <v>202</v>
      </c>
      <c r="H394" s="244">
        <v>1</v>
      </c>
      <c r="I394" s="244">
        <v>0</v>
      </c>
      <c r="J394" s="242">
        <f>Table47[[#This Row],[ทดแทนจำนวน]]+Table47[[#This Row],[เพิ่มประสิทธิภาพจำนวน]]</f>
        <v>1</v>
      </c>
      <c r="K394" s="245">
        <v>69790</v>
      </c>
      <c r="L394" s="248" t="s">
        <v>589</v>
      </c>
    </row>
    <row r="395" spans="1:12">
      <c r="A395" s="246" t="s">
        <v>1705</v>
      </c>
      <c r="B395" s="244">
        <v>2570</v>
      </c>
      <c r="C395" s="241" t="s">
        <v>447</v>
      </c>
      <c r="D395" s="241" t="s">
        <v>477</v>
      </c>
      <c r="E395" s="244" t="s">
        <v>913</v>
      </c>
      <c r="F395" s="244" t="s">
        <v>204</v>
      </c>
      <c r="G395" s="244" t="s">
        <v>202</v>
      </c>
      <c r="H395" s="244">
        <v>1</v>
      </c>
      <c r="I395" s="244">
        <v>0</v>
      </c>
      <c r="J395" s="242">
        <f>Table47[[#This Row],[ทดแทนจำนวน]]+Table47[[#This Row],[เพิ่มประสิทธิภาพจำนวน]]</f>
        <v>1</v>
      </c>
      <c r="K395" s="245">
        <v>69790</v>
      </c>
      <c r="L395" s="248" t="s">
        <v>589</v>
      </c>
    </row>
    <row r="396" spans="1:12">
      <c r="A396" s="246" t="s">
        <v>1706</v>
      </c>
      <c r="B396" s="244">
        <v>2570</v>
      </c>
      <c r="C396" s="241" t="s">
        <v>447</v>
      </c>
      <c r="D396" s="241" t="s">
        <v>477</v>
      </c>
      <c r="E396" s="244" t="s">
        <v>913</v>
      </c>
      <c r="F396" s="244" t="s">
        <v>135</v>
      </c>
      <c r="G396" s="244" t="s">
        <v>133</v>
      </c>
      <c r="H396" s="244">
        <v>1</v>
      </c>
      <c r="I396" s="244">
        <v>0</v>
      </c>
      <c r="J396" s="242">
        <f>Table47[[#This Row],[ทดแทนจำนวน]]+Table47[[#This Row],[เพิ่มประสิทธิภาพจำนวน]]</f>
        <v>1</v>
      </c>
      <c r="K396" s="245">
        <v>39266</v>
      </c>
      <c r="L396" s="248" t="s">
        <v>589</v>
      </c>
    </row>
    <row r="397" spans="1:12">
      <c r="A397" s="246" t="s">
        <v>1707</v>
      </c>
      <c r="B397" s="244">
        <v>2570</v>
      </c>
      <c r="C397" s="241" t="s">
        <v>447</v>
      </c>
      <c r="D397" s="241" t="s">
        <v>477</v>
      </c>
      <c r="E397" s="244" t="s">
        <v>911</v>
      </c>
      <c r="F397" s="244" t="s">
        <v>265</v>
      </c>
      <c r="G397" s="244" t="s">
        <v>263</v>
      </c>
      <c r="H397" s="244">
        <v>1</v>
      </c>
      <c r="I397" s="244">
        <v>0</v>
      </c>
      <c r="J397" s="242">
        <f>Table47[[#This Row],[ทดแทนจำนวน]]+Table47[[#This Row],[เพิ่มประสิทธิภาพจำนวน]]</f>
        <v>1</v>
      </c>
      <c r="K397" s="245">
        <v>39900</v>
      </c>
      <c r="L397" s="248" t="s">
        <v>589</v>
      </c>
    </row>
    <row r="398" spans="1:12">
      <c r="A398" s="246" t="s">
        <v>1708</v>
      </c>
      <c r="B398" s="244">
        <v>2570</v>
      </c>
      <c r="C398" s="241" t="s">
        <v>447</v>
      </c>
      <c r="D398" s="241" t="s">
        <v>477</v>
      </c>
      <c r="E398" s="244" t="s">
        <v>908</v>
      </c>
      <c r="F398" s="244" t="s">
        <v>159</v>
      </c>
      <c r="G398" s="244" t="s">
        <v>157</v>
      </c>
      <c r="H398" s="244">
        <v>1</v>
      </c>
      <c r="I398" s="244">
        <v>0</v>
      </c>
      <c r="J398" s="242">
        <f>Table47[[#This Row],[ทดแทนจำนวน]]+Table47[[#This Row],[เพิ่มประสิทธิภาพจำนวน]]</f>
        <v>1</v>
      </c>
      <c r="K398" s="245">
        <v>22720</v>
      </c>
      <c r="L398" s="248" t="s">
        <v>589</v>
      </c>
    </row>
    <row r="399" spans="1:12">
      <c r="A399" s="246" t="s">
        <v>1709</v>
      </c>
      <c r="B399" s="244">
        <v>2570</v>
      </c>
      <c r="C399" s="241" t="s">
        <v>447</v>
      </c>
      <c r="D399" s="241" t="s">
        <v>477</v>
      </c>
      <c r="E399" s="244" t="s">
        <v>585</v>
      </c>
      <c r="F399" s="244" t="s">
        <v>905</v>
      </c>
      <c r="G399" s="244" t="s">
        <v>904</v>
      </c>
      <c r="H399" s="244">
        <v>0</v>
      </c>
      <c r="I399" s="244">
        <v>1</v>
      </c>
      <c r="J399" s="242">
        <f>Table47[[#This Row],[ทดแทนจำนวน]]+Table47[[#This Row],[เพิ่มประสิทธิภาพจำนวน]]</f>
        <v>1</v>
      </c>
      <c r="K399" s="245">
        <v>20000</v>
      </c>
      <c r="L399" s="248" t="s">
        <v>1941</v>
      </c>
    </row>
    <row r="400" spans="1:12">
      <c r="A400" s="246" t="s">
        <v>1710</v>
      </c>
      <c r="B400" s="244">
        <v>2570</v>
      </c>
      <c r="C400" s="241" t="s">
        <v>447</v>
      </c>
      <c r="D400" s="241" t="s">
        <v>477</v>
      </c>
      <c r="E400" s="244" t="s">
        <v>902</v>
      </c>
      <c r="F400" s="244" t="s">
        <v>232</v>
      </c>
      <c r="G400" s="244" t="s">
        <v>230</v>
      </c>
      <c r="H400" s="244">
        <v>0</v>
      </c>
      <c r="I400" s="244">
        <v>6</v>
      </c>
      <c r="J400" s="242">
        <f>Table47[[#This Row],[ทดแทนจำนวน]]+Table47[[#This Row],[เพิ่มประสิทธิภาพจำนวน]]</f>
        <v>6</v>
      </c>
      <c r="K400" s="245">
        <v>30000</v>
      </c>
      <c r="L400" s="248" t="s">
        <v>1941</v>
      </c>
    </row>
    <row r="401" spans="1:12">
      <c r="A401" s="246" t="s">
        <v>1711</v>
      </c>
      <c r="B401" s="244">
        <v>2570</v>
      </c>
      <c r="C401" s="241" t="s">
        <v>447</v>
      </c>
      <c r="D401" s="241" t="s">
        <v>477</v>
      </c>
      <c r="E401" s="244" t="s">
        <v>895</v>
      </c>
      <c r="F401" s="244" t="s">
        <v>232</v>
      </c>
      <c r="G401" s="244" t="s">
        <v>230</v>
      </c>
      <c r="H401" s="244">
        <v>1</v>
      </c>
      <c r="I401" s="244">
        <v>0</v>
      </c>
      <c r="J401" s="242">
        <f>Table47[[#This Row],[ทดแทนจำนวน]]+Table47[[#This Row],[เพิ่มประสิทธิภาพจำนวน]]</f>
        <v>1</v>
      </c>
      <c r="K401" s="245">
        <v>26500</v>
      </c>
      <c r="L401" s="248" t="s">
        <v>589</v>
      </c>
    </row>
    <row r="402" spans="1:12">
      <c r="A402" s="246" t="s">
        <v>1712</v>
      </c>
      <c r="B402" s="244">
        <v>2570</v>
      </c>
      <c r="C402" s="241" t="s">
        <v>447</v>
      </c>
      <c r="D402" s="241" t="s">
        <v>477</v>
      </c>
      <c r="E402" s="244" t="s">
        <v>895</v>
      </c>
      <c r="F402" s="244" t="s">
        <v>164</v>
      </c>
      <c r="G402" s="244" t="s">
        <v>160</v>
      </c>
      <c r="H402" s="244">
        <v>1</v>
      </c>
      <c r="I402" s="244">
        <v>0</v>
      </c>
      <c r="J402" s="242">
        <f>Table47[[#This Row],[ทดแทนจำนวน]]+Table47[[#This Row],[เพิ่มประสิทธิภาพจำนวน]]</f>
        <v>1</v>
      </c>
      <c r="K402" s="245">
        <v>29900</v>
      </c>
      <c r="L402" s="248" t="s">
        <v>589</v>
      </c>
    </row>
    <row r="403" spans="1:12">
      <c r="A403" s="246" t="s">
        <v>1713</v>
      </c>
      <c r="B403" s="244">
        <v>2570</v>
      </c>
      <c r="C403" s="241" t="s">
        <v>447</v>
      </c>
      <c r="D403" s="241" t="s">
        <v>477</v>
      </c>
      <c r="E403" s="244" t="s">
        <v>895</v>
      </c>
      <c r="F403" s="244" t="s">
        <v>262</v>
      </c>
      <c r="G403" s="244" t="s">
        <v>260</v>
      </c>
      <c r="H403" s="244">
        <v>1</v>
      </c>
      <c r="I403" s="244">
        <v>0</v>
      </c>
      <c r="J403" s="242">
        <f>Table47[[#This Row],[ทดแทนจำนวน]]+Table47[[#This Row],[เพิ่มประสิทธิภาพจำนวน]]</f>
        <v>1</v>
      </c>
      <c r="K403" s="245">
        <v>29900</v>
      </c>
      <c r="L403" s="248" t="s">
        <v>589</v>
      </c>
    </row>
    <row r="404" spans="1:12">
      <c r="A404" s="246" t="s">
        <v>1714</v>
      </c>
      <c r="B404" s="244">
        <v>2570</v>
      </c>
      <c r="C404" s="241" t="s">
        <v>447</v>
      </c>
      <c r="D404" s="241" t="s">
        <v>477</v>
      </c>
      <c r="E404" s="244" t="s">
        <v>895</v>
      </c>
      <c r="F404" s="244" t="s">
        <v>201</v>
      </c>
      <c r="G404" s="244" t="s">
        <v>199</v>
      </c>
      <c r="H404" s="244">
        <v>0</v>
      </c>
      <c r="I404" s="244">
        <v>1</v>
      </c>
      <c r="J404" s="242">
        <f>Table47[[#This Row],[ทดแทนจำนวน]]+Table47[[#This Row],[เพิ่มประสิทธิภาพจำนวน]]</f>
        <v>1</v>
      </c>
      <c r="K404" s="245">
        <v>29900</v>
      </c>
      <c r="L404" s="248" t="s">
        <v>1941</v>
      </c>
    </row>
    <row r="405" spans="1:12">
      <c r="A405" s="246" t="s">
        <v>1715</v>
      </c>
      <c r="B405" s="244">
        <v>2570</v>
      </c>
      <c r="C405" s="241" t="s">
        <v>447</v>
      </c>
      <c r="D405" s="241" t="s">
        <v>477</v>
      </c>
      <c r="E405" s="244" t="s">
        <v>895</v>
      </c>
      <c r="F405" s="244" t="s">
        <v>894</v>
      </c>
      <c r="G405" s="244" t="s">
        <v>320</v>
      </c>
      <c r="H405" s="244">
        <v>0</v>
      </c>
      <c r="I405" s="244">
        <v>1</v>
      </c>
      <c r="J405" s="242">
        <f>Table47[[#This Row],[ทดแทนจำนวน]]+Table47[[#This Row],[เพิ่มประสิทธิภาพจำนวน]]</f>
        <v>1</v>
      </c>
      <c r="K405" s="245">
        <v>29900</v>
      </c>
      <c r="L405" s="248" t="s">
        <v>1941</v>
      </c>
    </row>
    <row r="406" spans="1:12">
      <c r="A406" s="246" t="s">
        <v>1716</v>
      </c>
      <c r="B406" s="244">
        <v>2570</v>
      </c>
      <c r="C406" s="241" t="s">
        <v>447</v>
      </c>
      <c r="D406" s="241" t="s">
        <v>477</v>
      </c>
      <c r="E406" s="244" t="s">
        <v>888</v>
      </c>
      <c r="F406" s="244" t="s">
        <v>265</v>
      </c>
      <c r="G406" s="244" t="s">
        <v>263</v>
      </c>
      <c r="H406" s="244">
        <v>1</v>
      </c>
      <c r="I406" s="244">
        <v>0</v>
      </c>
      <c r="J406" s="242">
        <f>Table47[[#This Row],[ทดแทนจำนวน]]+Table47[[#This Row],[เพิ่มประสิทธิภาพจำนวน]]</f>
        <v>1</v>
      </c>
      <c r="K406" s="245">
        <v>43100</v>
      </c>
      <c r="L406" s="248" t="s">
        <v>589</v>
      </c>
    </row>
    <row r="407" spans="1:12">
      <c r="A407" s="246" t="s">
        <v>1717</v>
      </c>
      <c r="B407" s="244">
        <v>2570</v>
      </c>
      <c r="C407" s="241" t="s">
        <v>447</v>
      </c>
      <c r="D407" s="241" t="s">
        <v>477</v>
      </c>
      <c r="E407" s="244" t="s">
        <v>888</v>
      </c>
      <c r="F407" s="244" t="s">
        <v>195</v>
      </c>
      <c r="G407" s="244" t="s">
        <v>193</v>
      </c>
      <c r="H407" s="244">
        <v>1</v>
      </c>
      <c r="I407" s="244">
        <v>1</v>
      </c>
      <c r="J407" s="242">
        <f>Table47[[#This Row],[ทดแทนจำนวน]]+Table47[[#This Row],[เพิ่มประสิทธิภาพจำนวน]]</f>
        <v>2</v>
      </c>
      <c r="K407" s="245">
        <v>91800</v>
      </c>
      <c r="L407" s="248" t="s">
        <v>1942</v>
      </c>
    </row>
    <row r="408" spans="1:12">
      <c r="A408" s="246" t="s">
        <v>1718</v>
      </c>
      <c r="B408" s="244">
        <v>2570</v>
      </c>
      <c r="C408" s="241" t="s">
        <v>447</v>
      </c>
      <c r="D408" s="241" t="s">
        <v>477</v>
      </c>
      <c r="E408" s="244" t="s">
        <v>888</v>
      </c>
      <c r="F408" s="244" t="s">
        <v>62</v>
      </c>
      <c r="G408" s="244" t="s">
        <v>60</v>
      </c>
      <c r="H408" s="244">
        <v>1</v>
      </c>
      <c r="I408" s="244">
        <v>1</v>
      </c>
      <c r="J408" s="242">
        <f>Table47[[#This Row],[ทดแทนจำนวน]]+Table47[[#This Row],[เพิ่มประสิทธิภาพจำนวน]]</f>
        <v>2</v>
      </c>
      <c r="K408" s="245">
        <v>65800</v>
      </c>
      <c r="L408" s="248" t="s">
        <v>1942</v>
      </c>
    </row>
    <row r="409" spans="1:12">
      <c r="A409" s="246" t="s">
        <v>1719</v>
      </c>
      <c r="B409" s="244">
        <v>2570</v>
      </c>
      <c r="C409" s="241" t="s">
        <v>447</v>
      </c>
      <c r="D409" s="241" t="s">
        <v>477</v>
      </c>
      <c r="E409" s="244" t="s">
        <v>880</v>
      </c>
      <c r="F409" s="244" t="s">
        <v>50</v>
      </c>
      <c r="G409" s="244" t="s">
        <v>46</v>
      </c>
      <c r="H409" s="244">
        <v>1</v>
      </c>
      <c r="I409" s="244">
        <v>0</v>
      </c>
      <c r="J409" s="242">
        <f>Table47[[#This Row],[ทดแทนจำนวน]]+Table47[[#This Row],[เพิ่มประสิทธิภาพจำนวน]]</f>
        <v>1</v>
      </c>
      <c r="K409" s="245">
        <v>48600</v>
      </c>
      <c r="L409" s="248" t="s">
        <v>589</v>
      </c>
    </row>
    <row r="410" spans="1:12">
      <c r="A410" s="246" t="s">
        <v>1720</v>
      </c>
      <c r="B410" s="244">
        <v>2570</v>
      </c>
      <c r="C410" s="241" t="s">
        <v>447</v>
      </c>
      <c r="D410" s="241" t="s">
        <v>477</v>
      </c>
      <c r="E410" s="244" t="s">
        <v>880</v>
      </c>
      <c r="F410" s="244" t="s">
        <v>50</v>
      </c>
      <c r="G410" s="244" t="s">
        <v>46</v>
      </c>
      <c r="H410" s="244">
        <v>0</v>
      </c>
      <c r="I410" s="244">
        <v>1</v>
      </c>
      <c r="J410" s="242">
        <f>Table47[[#This Row],[ทดแทนจำนวน]]+Table47[[#This Row],[เพิ่มประสิทธิภาพจำนวน]]</f>
        <v>1</v>
      </c>
      <c r="K410" s="245">
        <v>14900</v>
      </c>
      <c r="L410" s="248" t="s">
        <v>1941</v>
      </c>
    </row>
    <row r="411" spans="1:12">
      <c r="A411" s="246" t="s">
        <v>1721</v>
      </c>
      <c r="B411" s="244">
        <v>2570</v>
      </c>
      <c r="C411" s="241" t="s">
        <v>447</v>
      </c>
      <c r="D411" s="241" t="s">
        <v>477</v>
      </c>
      <c r="E411" s="244" t="s">
        <v>880</v>
      </c>
      <c r="F411" s="244" t="s">
        <v>148</v>
      </c>
      <c r="G411" s="244" t="s">
        <v>146</v>
      </c>
      <c r="H411" s="244">
        <v>1</v>
      </c>
      <c r="I411" s="244">
        <v>0</v>
      </c>
      <c r="J411" s="242">
        <f>Table47[[#This Row],[ทดแทนจำนวน]]+Table47[[#This Row],[เพิ่มประสิทธิภาพจำนวน]]</f>
        <v>1</v>
      </c>
      <c r="K411" s="245">
        <v>48600</v>
      </c>
      <c r="L411" s="248" t="s">
        <v>589</v>
      </c>
    </row>
    <row r="412" spans="1:12">
      <c r="A412" s="246" t="s">
        <v>1722</v>
      </c>
      <c r="B412" s="244">
        <v>2570</v>
      </c>
      <c r="C412" s="241" t="s">
        <v>447</v>
      </c>
      <c r="D412" s="241" t="s">
        <v>477</v>
      </c>
      <c r="E412" s="244" t="s">
        <v>880</v>
      </c>
      <c r="F412" s="244" t="s">
        <v>121</v>
      </c>
      <c r="G412" s="244" t="s">
        <v>119</v>
      </c>
      <c r="H412" s="244">
        <v>1</v>
      </c>
      <c r="I412" s="244">
        <v>2</v>
      </c>
      <c r="J412" s="242">
        <f>Table47[[#This Row],[ทดแทนจำนวน]]+Table47[[#This Row],[เพิ่มประสิทธิภาพจำนวน]]</f>
        <v>3</v>
      </c>
      <c r="K412" s="245">
        <v>145800</v>
      </c>
      <c r="L412" s="248" t="s">
        <v>1942</v>
      </c>
    </row>
    <row r="413" spans="1:12">
      <c r="A413" s="246" t="s">
        <v>1723</v>
      </c>
      <c r="B413" s="244">
        <v>2570</v>
      </c>
      <c r="C413" s="241" t="s">
        <v>447</v>
      </c>
      <c r="D413" s="241" t="s">
        <v>477</v>
      </c>
      <c r="E413" s="244" t="s">
        <v>875</v>
      </c>
      <c r="F413" s="244" t="s">
        <v>377</v>
      </c>
      <c r="G413" s="244" t="s">
        <v>375</v>
      </c>
      <c r="H413" s="244">
        <v>1</v>
      </c>
      <c r="I413" s="244">
        <v>0</v>
      </c>
      <c r="J413" s="242">
        <f>Table47[[#This Row],[ทดแทนจำนวน]]+Table47[[#This Row],[เพิ่มประสิทธิภาพจำนวน]]</f>
        <v>1</v>
      </c>
      <c r="K413" s="245">
        <v>14900</v>
      </c>
      <c r="L413" s="248" t="s">
        <v>589</v>
      </c>
    </row>
    <row r="414" spans="1:12">
      <c r="A414" s="246" t="s">
        <v>1724</v>
      </c>
      <c r="B414" s="244">
        <v>2570</v>
      </c>
      <c r="C414" s="241" t="s">
        <v>447</v>
      </c>
      <c r="D414" s="241" t="s">
        <v>477</v>
      </c>
      <c r="E414" s="244" t="s">
        <v>875</v>
      </c>
      <c r="F414" s="244" t="s">
        <v>164</v>
      </c>
      <c r="G414" s="244" t="s">
        <v>160</v>
      </c>
      <c r="H414" s="244">
        <v>1</v>
      </c>
      <c r="I414" s="244">
        <v>0</v>
      </c>
      <c r="J414" s="242">
        <f>Table47[[#This Row],[ทดแทนจำนวน]]+Table47[[#This Row],[เพิ่มประสิทธิภาพจำนวน]]</f>
        <v>1</v>
      </c>
      <c r="K414" s="245">
        <v>14900</v>
      </c>
      <c r="L414" s="248" t="s">
        <v>589</v>
      </c>
    </row>
    <row r="415" spans="1:12">
      <c r="A415" s="246" t="s">
        <v>1725</v>
      </c>
      <c r="B415" s="244">
        <v>2570</v>
      </c>
      <c r="C415" s="241" t="s">
        <v>447</v>
      </c>
      <c r="D415" s="241" t="s">
        <v>477</v>
      </c>
      <c r="E415" s="244" t="s">
        <v>872</v>
      </c>
      <c r="F415" s="244" t="s">
        <v>201</v>
      </c>
      <c r="G415" s="244" t="s">
        <v>199</v>
      </c>
      <c r="H415" s="244">
        <v>0</v>
      </c>
      <c r="I415" s="244">
        <v>1</v>
      </c>
      <c r="J415" s="242">
        <f>Table47[[#This Row],[ทดแทนจำนวน]]+Table47[[#This Row],[เพิ่มประสิทธิภาพจำนวน]]</f>
        <v>1</v>
      </c>
      <c r="K415" s="245">
        <v>34900</v>
      </c>
      <c r="L415" s="248" t="s">
        <v>1941</v>
      </c>
    </row>
    <row r="416" spans="1:12">
      <c r="A416" s="246" t="s">
        <v>1726</v>
      </c>
      <c r="B416" s="244">
        <v>2570</v>
      </c>
      <c r="C416" s="241" t="s">
        <v>447</v>
      </c>
      <c r="D416" s="241" t="s">
        <v>477</v>
      </c>
      <c r="E416" s="244" t="s">
        <v>870</v>
      </c>
      <c r="F416" s="244" t="s">
        <v>195</v>
      </c>
      <c r="G416" s="244" t="s">
        <v>193</v>
      </c>
      <c r="H416" s="244">
        <v>0</v>
      </c>
      <c r="I416" s="244">
        <v>1</v>
      </c>
      <c r="J416" s="242">
        <f>Table47[[#This Row],[ทดแทนจำนวน]]+Table47[[#This Row],[เพิ่มประสิทธิภาพจำนวน]]</f>
        <v>1</v>
      </c>
      <c r="K416" s="245">
        <v>45000</v>
      </c>
      <c r="L416" s="248" t="s">
        <v>1941</v>
      </c>
    </row>
    <row r="417" spans="1:12">
      <c r="A417" s="246" t="s">
        <v>1727</v>
      </c>
      <c r="B417" s="244">
        <v>2570</v>
      </c>
      <c r="C417" s="241" t="s">
        <v>447</v>
      </c>
      <c r="D417" s="241" t="s">
        <v>477</v>
      </c>
      <c r="E417" s="244" t="s">
        <v>869</v>
      </c>
      <c r="F417" s="244" t="s">
        <v>463</v>
      </c>
      <c r="G417" s="244" t="s">
        <v>438</v>
      </c>
      <c r="H417" s="244">
        <v>0</v>
      </c>
      <c r="I417" s="244">
        <v>1</v>
      </c>
      <c r="J417" s="242">
        <f>Table47[[#This Row],[ทดแทนจำนวน]]+Table47[[#This Row],[เพิ่มประสิทธิภาพจำนวน]]</f>
        <v>1</v>
      </c>
      <c r="K417" s="245">
        <v>15000</v>
      </c>
      <c r="L417" s="248" t="s">
        <v>1941</v>
      </c>
    </row>
    <row r="418" spans="1:12">
      <c r="A418" s="246" t="s">
        <v>1728</v>
      </c>
      <c r="B418" s="244">
        <v>2570</v>
      </c>
      <c r="C418" s="241" t="s">
        <v>447</v>
      </c>
      <c r="D418" s="241" t="s">
        <v>477</v>
      </c>
      <c r="E418" s="244" t="s">
        <v>867</v>
      </c>
      <c r="F418" s="244" t="s">
        <v>45</v>
      </c>
      <c r="G418" s="244" t="s">
        <v>41</v>
      </c>
      <c r="H418" s="244">
        <v>0</v>
      </c>
      <c r="I418" s="244">
        <v>2</v>
      </c>
      <c r="J418" s="242">
        <f>Table47[[#This Row],[ทดแทนจำนวน]]+Table47[[#This Row],[เพิ่มประสิทธิภาพจำนวน]]</f>
        <v>2</v>
      </c>
      <c r="K418" s="245">
        <v>46000</v>
      </c>
      <c r="L418" s="248" t="s">
        <v>1941</v>
      </c>
    </row>
    <row r="419" spans="1:12">
      <c r="A419" s="246" t="s">
        <v>1729</v>
      </c>
      <c r="B419" s="244">
        <v>2570</v>
      </c>
      <c r="C419" s="241" t="s">
        <v>447</v>
      </c>
      <c r="D419" s="241" t="s">
        <v>477</v>
      </c>
      <c r="E419" s="244" t="s">
        <v>867</v>
      </c>
      <c r="F419" s="244" t="s">
        <v>148</v>
      </c>
      <c r="G419" s="244" t="s">
        <v>146</v>
      </c>
      <c r="H419" s="244">
        <v>1</v>
      </c>
      <c r="I419" s="244">
        <v>0</v>
      </c>
      <c r="J419" s="242">
        <f>Table47[[#This Row],[ทดแทนจำนวน]]+Table47[[#This Row],[เพิ่มประสิทธิภาพจำนวน]]</f>
        <v>1</v>
      </c>
      <c r="K419" s="245">
        <v>23000</v>
      </c>
      <c r="L419" s="248" t="s">
        <v>589</v>
      </c>
    </row>
    <row r="420" spans="1:12">
      <c r="A420" s="246" t="s">
        <v>1730</v>
      </c>
      <c r="B420" s="244">
        <v>2570</v>
      </c>
      <c r="C420" s="241" t="s">
        <v>447</v>
      </c>
      <c r="D420" s="241" t="s">
        <v>477</v>
      </c>
      <c r="E420" s="244" t="s">
        <v>864</v>
      </c>
      <c r="F420" s="244" t="s">
        <v>164</v>
      </c>
      <c r="G420" s="244" t="s">
        <v>160</v>
      </c>
      <c r="H420" s="244">
        <v>1</v>
      </c>
      <c r="I420" s="244">
        <v>0</v>
      </c>
      <c r="J420" s="242">
        <f>Table47[[#This Row],[ทดแทนจำนวน]]+Table47[[#This Row],[เพิ่มประสิทธิภาพจำนวน]]</f>
        <v>1</v>
      </c>
      <c r="K420" s="245">
        <v>19000</v>
      </c>
      <c r="L420" s="248" t="s">
        <v>589</v>
      </c>
    </row>
    <row r="421" spans="1:12">
      <c r="A421" s="246" t="s">
        <v>1731</v>
      </c>
      <c r="B421" s="244">
        <v>2570</v>
      </c>
      <c r="C421" s="241" t="s">
        <v>447</v>
      </c>
      <c r="D421" s="241" t="s">
        <v>477</v>
      </c>
      <c r="E421" s="244" t="s">
        <v>860</v>
      </c>
      <c r="F421" s="244" t="s">
        <v>109</v>
      </c>
      <c r="G421" s="244" t="s">
        <v>107</v>
      </c>
      <c r="H421" s="244">
        <v>0</v>
      </c>
      <c r="I421" s="244">
        <v>1</v>
      </c>
      <c r="J421" s="242">
        <f>Table47[[#This Row],[ทดแทนจำนวน]]+Table47[[#This Row],[เพิ่มประสิทธิภาพจำนวน]]</f>
        <v>1</v>
      </c>
      <c r="K421" s="245">
        <v>45000</v>
      </c>
      <c r="L421" s="248" t="s">
        <v>1941</v>
      </c>
    </row>
    <row r="422" spans="1:12">
      <c r="A422" s="246" t="s">
        <v>1732</v>
      </c>
      <c r="B422" s="244">
        <v>2570</v>
      </c>
      <c r="C422" s="241" t="s">
        <v>447</v>
      </c>
      <c r="D422" s="241" t="s">
        <v>477</v>
      </c>
      <c r="E422" s="244" t="s">
        <v>860</v>
      </c>
      <c r="F422" s="244" t="s">
        <v>451</v>
      </c>
      <c r="G422" s="244" t="s">
        <v>444</v>
      </c>
      <c r="H422" s="244">
        <v>0</v>
      </c>
      <c r="I422" s="244">
        <v>1</v>
      </c>
      <c r="J422" s="242">
        <f>Table47[[#This Row],[ทดแทนจำนวน]]+Table47[[#This Row],[เพิ่มประสิทธิภาพจำนวน]]</f>
        <v>1</v>
      </c>
      <c r="K422" s="245">
        <v>45000</v>
      </c>
      <c r="L422" s="248" t="s">
        <v>1941</v>
      </c>
    </row>
    <row r="423" spans="1:12">
      <c r="A423" s="246" t="s">
        <v>1733</v>
      </c>
      <c r="B423" s="244">
        <v>2570</v>
      </c>
      <c r="C423" s="241" t="s">
        <v>447</v>
      </c>
      <c r="D423" s="241" t="s">
        <v>477</v>
      </c>
      <c r="E423" s="244" t="s">
        <v>860</v>
      </c>
      <c r="F423" s="244" t="s">
        <v>216</v>
      </c>
      <c r="G423" s="244" t="s">
        <v>214</v>
      </c>
      <c r="H423" s="244">
        <v>0</v>
      </c>
      <c r="I423" s="244">
        <v>1</v>
      </c>
      <c r="J423" s="242">
        <f>Table47[[#This Row],[ทดแทนจำนวน]]+Table47[[#This Row],[เพิ่มประสิทธิภาพจำนวน]]</f>
        <v>1</v>
      </c>
      <c r="K423" s="245">
        <v>45000</v>
      </c>
      <c r="L423" s="248" t="s">
        <v>1941</v>
      </c>
    </row>
    <row r="424" spans="1:12">
      <c r="A424" s="246" t="s">
        <v>1734</v>
      </c>
      <c r="B424" s="244">
        <v>2570</v>
      </c>
      <c r="C424" s="241" t="s">
        <v>447</v>
      </c>
      <c r="D424" s="241" t="s">
        <v>477</v>
      </c>
      <c r="E424" s="244" t="s">
        <v>860</v>
      </c>
      <c r="F424" s="244" t="s">
        <v>195</v>
      </c>
      <c r="G424" s="244" t="s">
        <v>193</v>
      </c>
      <c r="H424" s="244">
        <v>0</v>
      </c>
      <c r="I424" s="244">
        <v>1</v>
      </c>
      <c r="J424" s="242">
        <f>Table47[[#This Row],[ทดแทนจำนวน]]+Table47[[#This Row],[เพิ่มประสิทธิภาพจำนวน]]</f>
        <v>1</v>
      </c>
      <c r="K424" s="245">
        <v>45000</v>
      </c>
      <c r="L424" s="248" t="s">
        <v>1941</v>
      </c>
    </row>
    <row r="425" spans="1:12">
      <c r="A425" s="246" t="s">
        <v>1735</v>
      </c>
      <c r="B425" s="244">
        <v>2570</v>
      </c>
      <c r="C425" s="241" t="s">
        <v>447</v>
      </c>
      <c r="D425" s="241" t="s">
        <v>477</v>
      </c>
      <c r="E425" s="244" t="s">
        <v>856</v>
      </c>
      <c r="F425" s="244" t="s">
        <v>39</v>
      </c>
      <c r="G425" s="244" t="s">
        <v>34</v>
      </c>
      <c r="H425" s="244">
        <v>1</v>
      </c>
      <c r="I425" s="244">
        <v>0</v>
      </c>
      <c r="J425" s="242">
        <f>Table47[[#This Row],[ทดแทนจำนวน]]+Table47[[#This Row],[เพิ่มประสิทธิภาพจำนวน]]</f>
        <v>1</v>
      </c>
      <c r="K425" s="245">
        <v>30000</v>
      </c>
      <c r="L425" s="248" t="s">
        <v>589</v>
      </c>
    </row>
    <row r="426" spans="1:12">
      <c r="A426" s="246" t="s">
        <v>1736</v>
      </c>
      <c r="B426" s="244">
        <v>2570</v>
      </c>
      <c r="C426" s="241" t="s">
        <v>447</v>
      </c>
      <c r="D426" s="241" t="s">
        <v>477</v>
      </c>
      <c r="E426" s="244" t="s">
        <v>856</v>
      </c>
      <c r="F426" s="244" t="s">
        <v>145</v>
      </c>
      <c r="G426" s="244" t="s">
        <v>143</v>
      </c>
      <c r="H426" s="244">
        <v>0</v>
      </c>
      <c r="I426" s="244">
        <v>2</v>
      </c>
      <c r="J426" s="242">
        <f>Table47[[#This Row],[ทดแทนจำนวน]]+Table47[[#This Row],[เพิ่มประสิทธิภาพจำนวน]]</f>
        <v>2</v>
      </c>
      <c r="K426" s="245">
        <v>60000</v>
      </c>
      <c r="L426" s="248" t="s">
        <v>1941</v>
      </c>
    </row>
    <row r="427" spans="1:12">
      <c r="A427" s="246" t="s">
        <v>1737</v>
      </c>
      <c r="B427" s="244">
        <v>2570</v>
      </c>
      <c r="C427" s="241" t="s">
        <v>447</v>
      </c>
      <c r="D427" s="241" t="s">
        <v>477</v>
      </c>
      <c r="E427" s="244" t="s">
        <v>854</v>
      </c>
      <c r="F427" s="244" t="s">
        <v>853</v>
      </c>
      <c r="G427" s="244" t="s">
        <v>852</v>
      </c>
      <c r="H427" s="244">
        <v>1</v>
      </c>
      <c r="I427" s="244">
        <v>0</v>
      </c>
      <c r="J427" s="242">
        <f>Table47[[#This Row],[ทดแทนจำนวน]]+Table47[[#This Row],[เพิ่มประสิทธิภาพจำนวน]]</f>
        <v>1</v>
      </c>
      <c r="K427" s="245">
        <v>30000</v>
      </c>
      <c r="L427" s="248" t="s">
        <v>589</v>
      </c>
    </row>
    <row r="428" spans="1:12">
      <c r="A428" s="246" t="s">
        <v>1738</v>
      </c>
      <c r="B428" s="244">
        <v>2570</v>
      </c>
      <c r="C428" s="241" t="s">
        <v>447</v>
      </c>
      <c r="D428" s="241" t="s">
        <v>538</v>
      </c>
      <c r="E428" s="244" t="s">
        <v>845</v>
      </c>
      <c r="F428" s="244" t="s">
        <v>39</v>
      </c>
      <c r="G428" s="244" t="s">
        <v>34</v>
      </c>
      <c r="H428" s="244">
        <v>1</v>
      </c>
      <c r="I428" s="244">
        <v>0</v>
      </c>
      <c r="J428" s="242">
        <f>Table47[[#This Row],[ทดแทนจำนวน]]+Table47[[#This Row],[เพิ่มประสิทธิภาพจำนวน]]</f>
        <v>1</v>
      </c>
      <c r="K428" s="245">
        <v>13000</v>
      </c>
      <c r="L428" s="248" t="s">
        <v>589</v>
      </c>
    </row>
    <row r="429" spans="1:12">
      <c r="A429" s="246" t="s">
        <v>1739</v>
      </c>
      <c r="B429" s="244">
        <v>2570</v>
      </c>
      <c r="C429" s="241" t="s">
        <v>447</v>
      </c>
      <c r="D429" s="241" t="s">
        <v>538</v>
      </c>
      <c r="E429" s="244" t="s">
        <v>845</v>
      </c>
      <c r="F429" s="244" t="s">
        <v>164</v>
      </c>
      <c r="G429" s="244" t="s">
        <v>160</v>
      </c>
      <c r="H429" s="244">
        <v>0</v>
      </c>
      <c r="I429" s="244">
        <v>1</v>
      </c>
      <c r="J429" s="242">
        <f>Table47[[#This Row],[ทดแทนจำนวน]]+Table47[[#This Row],[เพิ่มประสิทธิภาพจำนวน]]</f>
        <v>1</v>
      </c>
      <c r="K429" s="245">
        <v>13000</v>
      </c>
      <c r="L429" s="248" t="s">
        <v>1941</v>
      </c>
    </row>
    <row r="430" spans="1:12">
      <c r="A430" s="246" t="s">
        <v>1740</v>
      </c>
      <c r="B430" s="244">
        <v>2570</v>
      </c>
      <c r="C430" s="241" t="s">
        <v>447</v>
      </c>
      <c r="D430" s="241" t="s">
        <v>538</v>
      </c>
      <c r="E430" s="244" t="s">
        <v>845</v>
      </c>
      <c r="F430" s="244" t="s">
        <v>135</v>
      </c>
      <c r="G430" s="244" t="s">
        <v>133</v>
      </c>
      <c r="H430" s="244">
        <v>0</v>
      </c>
      <c r="I430" s="244">
        <v>1</v>
      </c>
      <c r="J430" s="242">
        <f>Table47[[#This Row],[ทดแทนจำนวน]]+Table47[[#This Row],[เพิ่มประสิทธิภาพจำนวน]]</f>
        <v>1</v>
      </c>
      <c r="K430" s="245">
        <v>13000</v>
      </c>
      <c r="L430" s="248" t="s">
        <v>1941</v>
      </c>
    </row>
    <row r="431" spans="1:12">
      <c r="A431" s="246" t="s">
        <v>1741</v>
      </c>
      <c r="B431" s="244">
        <v>2570</v>
      </c>
      <c r="C431" s="241" t="s">
        <v>447</v>
      </c>
      <c r="D431" s="241" t="s">
        <v>538</v>
      </c>
      <c r="E431" s="244" t="s">
        <v>845</v>
      </c>
      <c r="F431" s="244" t="s">
        <v>59</v>
      </c>
      <c r="G431" s="244" t="s">
        <v>57</v>
      </c>
      <c r="H431" s="244">
        <v>0</v>
      </c>
      <c r="I431" s="244">
        <v>1</v>
      </c>
      <c r="J431" s="242">
        <f>Table47[[#This Row],[ทดแทนจำนวน]]+Table47[[#This Row],[เพิ่มประสิทธิภาพจำนวน]]</f>
        <v>1</v>
      </c>
      <c r="K431" s="245">
        <v>13000</v>
      </c>
      <c r="L431" s="248" t="s">
        <v>1941</v>
      </c>
    </row>
    <row r="432" spans="1:12">
      <c r="A432" s="246" t="s">
        <v>1742</v>
      </c>
      <c r="B432" s="244">
        <v>2570</v>
      </c>
      <c r="C432" s="241" t="s">
        <v>447</v>
      </c>
      <c r="D432" s="241" t="s">
        <v>538</v>
      </c>
      <c r="E432" s="244" t="s">
        <v>843</v>
      </c>
      <c r="F432" s="244" t="s">
        <v>39</v>
      </c>
      <c r="G432" s="244" t="s">
        <v>34</v>
      </c>
      <c r="H432" s="244">
        <v>1</v>
      </c>
      <c r="I432" s="244">
        <v>0</v>
      </c>
      <c r="J432" s="242">
        <f>Table47[[#This Row],[ทดแทนจำนวน]]+Table47[[#This Row],[เพิ่มประสิทธิภาพจำนวน]]</f>
        <v>1</v>
      </c>
      <c r="K432" s="245">
        <v>18500</v>
      </c>
      <c r="L432" s="248" t="s">
        <v>589</v>
      </c>
    </row>
    <row r="433" spans="1:12">
      <c r="A433" s="246" t="s">
        <v>1743</v>
      </c>
      <c r="B433" s="244">
        <v>2570</v>
      </c>
      <c r="C433" s="241" t="s">
        <v>447</v>
      </c>
      <c r="D433" s="241" t="s">
        <v>538</v>
      </c>
      <c r="E433" s="244" t="s">
        <v>838</v>
      </c>
      <c r="F433" s="244" t="s">
        <v>201</v>
      </c>
      <c r="G433" s="244" t="s">
        <v>199</v>
      </c>
      <c r="H433" s="244">
        <v>1</v>
      </c>
      <c r="I433" s="244">
        <v>0</v>
      </c>
      <c r="J433" s="242">
        <f>Table47[[#This Row],[ทดแทนจำนวน]]+Table47[[#This Row],[เพิ่มประสิทธิภาพจำนวน]]</f>
        <v>1</v>
      </c>
      <c r="K433" s="245">
        <v>23000</v>
      </c>
      <c r="L433" s="248" t="s">
        <v>589</v>
      </c>
    </row>
    <row r="434" spans="1:12">
      <c r="A434" s="246" t="s">
        <v>1744</v>
      </c>
      <c r="B434" s="244">
        <v>2570</v>
      </c>
      <c r="C434" s="241" t="s">
        <v>447</v>
      </c>
      <c r="D434" s="241" t="s">
        <v>538</v>
      </c>
      <c r="E434" s="244" t="s">
        <v>838</v>
      </c>
      <c r="F434" s="244" t="s">
        <v>204</v>
      </c>
      <c r="G434" s="244" t="s">
        <v>202</v>
      </c>
      <c r="H434" s="244">
        <v>0</v>
      </c>
      <c r="I434" s="244">
        <v>1</v>
      </c>
      <c r="J434" s="242">
        <f>Table47[[#This Row],[ทดแทนจำนวน]]+Table47[[#This Row],[เพิ่มประสิทธิภาพจำนวน]]</f>
        <v>1</v>
      </c>
      <c r="K434" s="245">
        <v>23000</v>
      </c>
      <c r="L434" s="248" t="s">
        <v>1941</v>
      </c>
    </row>
    <row r="435" spans="1:12">
      <c r="A435" s="246" t="s">
        <v>1745</v>
      </c>
      <c r="B435" s="244">
        <v>2570</v>
      </c>
      <c r="C435" s="241" t="s">
        <v>447</v>
      </c>
      <c r="D435" s="241" t="s">
        <v>538</v>
      </c>
      <c r="E435" s="244" t="s">
        <v>838</v>
      </c>
      <c r="F435" s="244" t="s">
        <v>124</v>
      </c>
      <c r="G435" s="244" t="s">
        <v>122</v>
      </c>
      <c r="H435" s="244">
        <v>1</v>
      </c>
      <c r="I435" s="244">
        <v>0</v>
      </c>
      <c r="J435" s="242">
        <f>Table47[[#This Row],[ทดแทนจำนวน]]+Table47[[#This Row],[เพิ่มประสิทธิภาพจำนวน]]</f>
        <v>1</v>
      </c>
      <c r="K435" s="245">
        <v>23000</v>
      </c>
      <c r="L435" s="248" t="s">
        <v>589</v>
      </c>
    </row>
    <row r="436" spans="1:12">
      <c r="A436" s="246" t="s">
        <v>1746</v>
      </c>
      <c r="B436" s="244">
        <v>2570</v>
      </c>
      <c r="C436" s="241" t="s">
        <v>447</v>
      </c>
      <c r="D436" s="241" t="s">
        <v>538</v>
      </c>
      <c r="E436" s="244" t="s">
        <v>838</v>
      </c>
      <c r="F436" s="244" t="s">
        <v>433</v>
      </c>
      <c r="G436" s="244" t="s">
        <v>428</v>
      </c>
      <c r="H436" s="244">
        <v>0</v>
      </c>
      <c r="I436" s="244">
        <v>1</v>
      </c>
      <c r="J436" s="242">
        <f>Table47[[#This Row],[ทดแทนจำนวน]]+Table47[[#This Row],[เพิ่มประสิทธิภาพจำนวน]]</f>
        <v>1</v>
      </c>
      <c r="K436" s="245">
        <v>23000</v>
      </c>
      <c r="L436" s="248" t="s">
        <v>1941</v>
      </c>
    </row>
    <row r="437" spans="1:12">
      <c r="A437" s="246" t="s">
        <v>1747</v>
      </c>
      <c r="B437" s="244">
        <v>2570</v>
      </c>
      <c r="C437" s="241" t="s">
        <v>447</v>
      </c>
      <c r="D437" s="241" t="s">
        <v>538</v>
      </c>
      <c r="E437" s="244" t="s">
        <v>830</v>
      </c>
      <c r="F437" s="244" t="s">
        <v>461</v>
      </c>
      <c r="G437" s="244" t="s">
        <v>439</v>
      </c>
      <c r="H437" s="244">
        <v>1</v>
      </c>
      <c r="I437" s="244">
        <v>0</v>
      </c>
      <c r="J437" s="242">
        <f>Table47[[#This Row],[ทดแทนจำนวน]]+Table47[[#This Row],[เพิ่มประสิทธิภาพจำนวน]]</f>
        <v>1</v>
      </c>
      <c r="K437" s="245">
        <v>4390</v>
      </c>
      <c r="L437" s="248" t="s">
        <v>589</v>
      </c>
    </row>
    <row r="438" spans="1:12">
      <c r="A438" s="246" t="s">
        <v>1748</v>
      </c>
      <c r="B438" s="244">
        <v>2570</v>
      </c>
      <c r="C438" s="241" t="s">
        <v>447</v>
      </c>
      <c r="D438" s="241" t="s">
        <v>538</v>
      </c>
      <c r="E438" s="244" t="s">
        <v>830</v>
      </c>
      <c r="F438" s="244" t="s">
        <v>29</v>
      </c>
      <c r="G438" s="244" t="s">
        <v>27</v>
      </c>
      <c r="H438" s="244">
        <v>0</v>
      </c>
      <c r="I438" s="244">
        <v>1</v>
      </c>
      <c r="J438" s="242">
        <f>Table47[[#This Row],[ทดแทนจำนวน]]+Table47[[#This Row],[เพิ่มประสิทธิภาพจำนวน]]</f>
        <v>1</v>
      </c>
      <c r="K438" s="245">
        <v>4390</v>
      </c>
      <c r="L438" s="248" t="s">
        <v>1941</v>
      </c>
    </row>
    <row r="439" spans="1:12">
      <c r="A439" s="246" t="s">
        <v>1749</v>
      </c>
      <c r="B439" s="244">
        <v>2570</v>
      </c>
      <c r="C439" s="241" t="s">
        <v>447</v>
      </c>
      <c r="D439" s="241" t="s">
        <v>538</v>
      </c>
      <c r="E439" s="244" t="s">
        <v>830</v>
      </c>
      <c r="F439" s="244" t="s">
        <v>50</v>
      </c>
      <c r="G439" s="244" t="s">
        <v>46</v>
      </c>
      <c r="H439" s="244">
        <v>0</v>
      </c>
      <c r="I439" s="244">
        <v>1</v>
      </c>
      <c r="J439" s="242">
        <f>Table47[[#This Row],[ทดแทนจำนวน]]+Table47[[#This Row],[เพิ่มประสิทธิภาพจำนวน]]</f>
        <v>1</v>
      </c>
      <c r="K439" s="245">
        <v>10600</v>
      </c>
      <c r="L439" s="248" t="s">
        <v>1941</v>
      </c>
    </row>
    <row r="440" spans="1:12">
      <c r="A440" s="246" t="s">
        <v>1750</v>
      </c>
      <c r="B440" s="244">
        <v>2570</v>
      </c>
      <c r="C440" s="241" t="s">
        <v>447</v>
      </c>
      <c r="D440" s="241" t="s">
        <v>538</v>
      </c>
      <c r="E440" s="244" t="s">
        <v>830</v>
      </c>
      <c r="F440" s="244" t="s">
        <v>265</v>
      </c>
      <c r="G440" s="244" t="s">
        <v>263</v>
      </c>
      <c r="H440" s="244">
        <v>1</v>
      </c>
      <c r="I440" s="244">
        <v>0</v>
      </c>
      <c r="J440" s="242">
        <f>Table47[[#This Row],[ทดแทนจำนวน]]+Table47[[#This Row],[เพิ่มประสิทธิภาพจำนวน]]</f>
        <v>1</v>
      </c>
      <c r="K440" s="245">
        <v>5500</v>
      </c>
      <c r="L440" s="248" t="s">
        <v>589</v>
      </c>
    </row>
    <row r="441" spans="1:12">
      <c r="A441" s="246" t="s">
        <v>1751</v>
      </c>
      <c r="B441" s="244">
        <v>2570</v>
      </c>
      <c r="C441" s="241" t="s">
        <v>447</v>
      </c>
      <c r="D441" s="241" t="s">
        <v>538</v>
      </c>
      <c r="E441" s="244" t="s">
        <v>830</v>
      </c>
      <c r="F441" s="244" t="s">
        <v>24</v>
      </c>
      <c r="G441" s="244" t="s">
        <v>22</v>
      </c>
      <c r="H441" s="244">
        <v>1</v>
      </c>
      <c r="I441" s="244">
        <v>0</v>
      </c>
      <c r="J441" s="242">
        <f>Table47[[#This Row],[ทดแทนจำนวน]]+Table47[[#This Row],[เพิ่มประสิทธิภาพจำนวน]]</f>
        <v>1</v>
      </c>
      <c r="K441" s="245">
        <v>23000</v>
      </c>
      <c r="L441" s="248" t="s">
        <v>589</v>
      </c>
    </row>
    <row r="442" spans="1:12">
      <c r="A442" s="246" t="s">
        <v>1752</v>
      </c>
      <c r="B442" s="244">
        <v>2570</v>
      </c>
      <c r="C442" s="241" t="s">
        <v>447</v>
      </c>
      <c r="D442" s="241" t="s">
        <v>538</v>
      </c>
      <c r="E442" s="244" t="s">
        <v>827</v>
      </c>
      <c r="F442" s="244" t="s">
        <v>270</v>
      </c>
      <c r="G442" s="244" t="s">
        <v>172</v>
      </c>
      <c r="H442" s="244">
        <v>0</v>
      </c>
      <c r="I442" s="244">
        <v>1</v>
      </c>
      <c r="J442" s="242">
        <f>Table47[[#This Row],[ทดแทนจำนวน]]+Table47[[#This Row],[เพิ่มประสิทธิภาพจำนวน]]</f>
        <v>1</v>
      </c>
      <c r="K442" s="245">
        <v>13600</v>
      </c>
      <c r="L442" s="248" t="s">
        <v>1941</v>
      </c>
    </row>
    <row r="443" spans="1:12">
      <c r="A443" s="246" t="s">
        <v>1753</v>
      </c>
      <c r="B443" s="244">
        <v>2570</v>
      </c>
      <c r="C443" s="241" t="s">
        <v>447</v>
      </c>
      <c r="D443" s="241" t="s">
        <v>538</v>
      </c>
      <c r="E443" s="244" t="s">
        <v>545</v>
      </c>
      <c r="F443" s="244" t="s">
        <v>322</v>
      </c>
      <c r="G443" s="244" t="s">
        <v>320</v>
      </c>
      <c r="H443" s="244">
        <v>0</v>
      </c>
      <c r="I443" s="244">
        <v>1</v>
      </c>
      <c r="J443" s="242">
        <f>Table47[[#This Row],[ทดแทนจำนวน]]+Table47[[#This Row],[เพิ่มประสิทธิภาพจำนวน]]</f>
        <v>1</v>
      </c>
      <c r="K443" s="245">
        <v>9500</v>
      </c>
      <c r="L443" s="248" t="s">
        <v>1941</v>
      </c>
    </row>
    <row r="444" spans="1:12">
      <c r="A444" s="246" t="s">
        <v>1754</v>
      </c>
      <c r="B444" s="244">
        <v>2570</v>
      </c>
      <c r="C444" s="241" t="s">
        <v>447</v>
      </c>
      <c r="D444" s="241" t="s">
        <v>538</v>
      </c>
      <c r="E444" s="244" t="s">
        <v>824</v>
      </c>
      <c r="F444" s="244" t="s">
        <v>62</v>
      </c>
      <c r="G444" s="244" t="s">
        <v>60</v>
      </c>
      <c r="H444" s="244">
        <v>0</v>
      </c>
      <c r="I444" s="244">
        <v>1</v>
      </c>
      <c r="J444" s="242">
        <f>Table47[[#This Row],[ทดแทนจำนวน]]+Table47[[#This Row],[เพิ่มประสิทธิภาพจำนวน]]</f>
        <v>1</v>
      </c>
      <c r="K444" s="245">
        <v>10600</v>
      </c>
      <c r="L444" s="248" t="s">
        <v>1941</v>
      </c>
    </row>
    <row r="445" spans="1:12">
      <c r="A445" s="246" t="s">
        <v>1755</v>
      </c>
      <c r="B445" s="244">
        <v>2570</v>
      </c>
      <c r="C445" s="241" t="s">
        <v>447</v>
      </c>
      <c r="D445" s="241" t="s">
        <v>538</v>
      </c>
      <c r="E445" s="244" t="s">
        <v>822</v>
      </c>
      <c r="F445" s="244" t="s">
        <v>59</v>
      </c>
      <c r="G445" s="244" t="s">
        <v>57</v>
      </c>
      <c r="H445" s="244">
        <v>0</v>
      </c>
      <c r="I445" s="244">
        <v>1</v>
      </c>
      <c r="J445" s="242">
        <f>Table47[[#This Row],[ทดแทนจำนวน]]+Table47[[#This Row],[เพิ่มประสิทธิภาพจำนวน]]</f>
        <v>1</v>
      </c>
      <c r="K445" s="245">
        <v>7600</v>
      </c>
      <c r="L445" s="248" t="s">
        <v>1941</v>
      </c>
    </row>
    <row r="446" spans="1:12">
      <c r="A446" s="246" t="s">
        <v>1756</v>
      </c>
      <c r="B446" s="244">
        <v>2570</v>
      </c>
      <c r="C446" s="241" t="s">
        <v>447</v>
      </c>
      <c r="D446" s="241" t="s">
        <v>538</v>
      </c>
      <c r="E446" s="244" t="s">
        <v>819</v>
      </c>
      <c r="F446" s="244" t="s">
        <v>450</v>
      </c>
      <c r="G446" s="244" t="s">
        <v>445</v>
      </c>
      <c r="H446" s="244">
        <v>0</v>
      </c>
      <c r="I446" s="244">
        <v>1</v>
      </c>
      <c r="J446" s="242">
        <f>Table47[[#This Row],[ทดแทนจำนวน]]+Table47[[#This Row],[เพิ่มประสิทธิภาพจำนวน]]</f>
        <v>1</v>
      </c>
      <c r="K446" s="245">
        <v>28000</v>
      </c>
      <c r="L446" s="248" t="s">
        <v>1941</v>
      </c>
    </row>
    <row r="447" spans="1:12">
      <c r="A447" s="246" t="s">
        <v>1757</v>
      </c>
      <c r="B447" s="244">
        <v>2570</v>
      </c>
      <c r="C447" s="241" t="s">
        <v>447</v>
      </c>
      <c r="D447" s="241" t="s">
        <v>488</v>
      </c>
      <c r="E447" s="244" t="s">
        <v>811</v>
      </c>
      <c r="F447" s="244" t="s">
        <v>62</v>
      </c>
      <c r="G447" s="244" t="s">
        <v>60</v>
      </c>
      <c r="H447" s="244">
        <v>1</v>
      </c>
      <c r="I447" s="244">
        <v>0</v>
      </c>
      <c r="J447" s="242">
        <f>Table47[[#This Row],[ทดแทนจำนวน]]+Table47[[#This Row],[เพิ่มประสิทธิภาพจำนวน]]</f>
        <v>1</v>
      </c>
      <c r="K447" s="245">
        <v>45800</v>
      </c>
      <c r="L447" s="248" t="s">
        <v>589</v>
      </c>
    </row>
    <row r="448" spans="1:12">
      <c r="A448" s="246" t="s">
        <v>1758</v>
      </c>
      <c r="B448" s="244">
        <v>2570</v>
      </c>
      <c r="C448" s="241" t="s">
        <v>447</v>
      </c>
      <c r="D448" s="241" t="s">
        <v>488</v>
      </c>
      <c r="E448" s="244" t="s">
        <v>811</v>
      </c>
      <c r="F448" s="244" t="s">
        <v>216</v>
      </c>
      <c r="G448" s="244" t="s">
        <v>214</v>
      </c>
      <c r="H448" s="244">
        <v>1</v>
      </c>
      <c r="I448" s="244">
        <v>0</v>
      </c>
      <c r="J448" s="242">
        <f>Table47[[#This Row],[ทดแทนจำนวน]]+Table47[[#This Row],[เพิ่มประสิทธิภาพจำนวน]]</f>
        <v>1</v>
      </c>
      <c r="K448" s="245">
        <v>150900</v>
      </c>
      <c r="L448" s="248" t="s">
        <v>589</v>
      </c>
    </row>
    <row r="449" spans="1:12">
      <c r="A449" s="246" t="s">
        <v>1759</v>
      </c>
      <c r="B449" s="244">
        <v>2570</v>
      </c>
      <c r="C449" s="241" t="s">
        <v>447</v>
      </c>
      <c r="D449" s="241" t="s">
        <v>488</v>
      </c>
      <c r="E449" s="244" t="s">
        <v>811</v>
      </c>
      <c r="F449" s="244" t="s">
        <v>243</v>
      </c>
      <c r="G449" s="244" t="s">
        <v>241</v>
      </c>
      <c r="H449" s="244">
        <v>0</v>
      </c>
      <c r="I449" s="244">
        <v>1</v>
      </c>
      <c r="J449" s="242">
        <f>Table47[[#This Row],[ทดแทนจำนวน]]+Table47[[#This Row],[เพิ่มประสิทธิภาพจำนวน]]</f>
        <v>1</v>
      </c>
      <c r="K449" s="245">
        <v>120000</v>
      </c>
      <c r="L449" s="248" t="s">
        <v>1941</v>
      </c>
    </row>
    <row r="450" spans="1:12">
      <c r="A450" s="246" t="s">
        <v>1760</v>
      </c>
      <c r="B450" s="244">
        <v>2570</v>
      </c>
      <c r="C450" s="241" t="s">
        <v>447</v>
      </c>
      <c r="D450" s="241" t="s">
        <v>488</v>
      </c>
      <c r="E450" s="244" t="s">
        <v>811</v>
      </c>
      <c r="F450" s="244" t="s">
        <v>45</v>
      </c>
      <c r="G450" s="244" t="s">
        <v>41</v>
      </c>
      <c r="H450" s="244">
        <v>0</v>
      </c>
      <c r="I450" s="244">
        <v>1</v>
      </c>
      <c r="J450" s="242">
        <f>Table47[[#This Row],[ทดแทนจำนวน]]+Table47[[#This Row],[เพิ่มประสิทธิภาพจำนวน]]</f>
        <v>1</v>
      </c>
      <c r="K450" s="245">
        <v>140000</v>
      </c>
      <c r="L450" s="248" t="s">
        <v>1941</v>
      </c>
    </row>
    <row r="451" spans="1:12">
      <c r="A451" s="246" t="s">
        <v>1761</v>
      </c>
      <c r="B451" s="244">
        <v>2570</v>
      </c>
      <c r="C451" s="241" t="s">
        <v>447</v>
      </c>
      <c r="D451" s="241" t="s">
        <v>488</v>
      </c>
      <c r="E451" s="244" t="s">
        <v>811</v>
      </c>
      <c r="F451" s="244" t="s">
        <v>385</v>
      </c>
      <c r="G451" s="244" t="s">
        <v>383</v>
      </c>
      <c r="H451" s="244">
        <v>0</v>
      </c>
      <c r="I451" s="244">
        <v>1</v>
      </c>
      <c r="J451" s="242">
        <f>Table47[[#This Row],[ทดแทนจำนวน]]+Table47[[#This Row],[เพิ่มประสิทธิภาพจำนวน]]</f>
        <v>1</v>
      </c>
      <c r="K451" s="245">
        <v>64100</v>
      </c>
      <c r="L451" s="248" t="s">
        <v>1941</v>
      </c>
    </row>
    <row r="452" spans="1:12">
      <c r="A452" s="246" t="s">
        <v>1762</v>
      </c>
      <c r="B452" s="244">
        <v>2570</v>
      </c>
      <c r="C452" s="241" t="s">
        <v>447</v>
      </c>
      <c r="D452" s="241" t="s">
        <v>488</v>
      </c>
      <c r="E452" s="244" t="s">
        <v>811</v>
      </c>
      <c r="F452" s="244" t="s">
        <v>195</v>
      </c>
      <c r="G452" s="244" t="s">
        <v>193</v>
      </c>
      <c r="H452" s="244">
        <v>0</v>
      </c>
      <c r="I452" s="244">
        <v>1</v>
      </c>
      <c r="J452" s="242">
        <f>Table47[[#This Row],[ทดแทนจำนวน]]+Table47[[#This Row],[เพิ่มประสิทธิภาพจำนวน]]</f>
        <v>1</v>
      </c>
      <c r="K452" s="245">
        <v>60500</v>
      </c>
      <c r="L452" s="248" t="s">
        <v>1941</v>
      </c>
    </row>
    <row r="453" spans="1:12">
      <c r="A453" s="246" t="s">
        <v>1763</v>
      </c>
      <c r="B453" s="244">
        <v>2570</v>
      </c>
      <c r="C453" s="241" t="s">
        <v>447</v>
      </c>
      <c r="D453" s="241" t="s">
        <v>488</v>
      </c>
      <c r="E453" s="244" t="s">
        <v>811</v>
      </c>
      <c r="F453" s="244" t="s">
        <v>450</v>
      </c>
      <c r="G453" s="244" t="s">
        <v>445</v>
      </c>
      <c r="H453" s="244">
        <v>1</v>
      </c>
      <c r="I453" s="244">
        <v>0</v>
      </c>
      <c r="J453" s="242">
        <f>Table47[[#This Row],[ทดแทนจำนวน]]+Table47[[#This Row],[เพิ่มประสิทธิภาพจำนวน]]</f>
        <v>1</v>
      </c>
      <c r="K453" s="245">
        <v>280650</v>
      </c>
      <c r="L453" s="248" t="s">
        <v>589</v>
      </c>
    </row>
    <row r="454" spans="1:12">
      <c r="A454" s="246" t="s">
        <v>1764</v>
      </c>
      <c r="B454" s="244">
        <v>2570</v>
      </c>
      <c r="C454" s="241" t="s">
        <v>447</v>
      </c>
      <c r="D454" s="241" t="s">
        <v>488</v>
      </c>
      <c r="E454" s="244" t="s">
        <v>807</v>
      </c>
      <c r="F454" s="244" t="s">
        <v>461</v>
      </c>
      <c r="G454" s="244" t="s">
        <v>439</v>
      </c>
      <c r="H454" s="244">
        <v>0</v>
      </c>
      <c r="I454" s="244">
        <v>1</v>
      </c>
      <c r="J454" s="242">
        <f>Table47[[#This Row],[ทดแทนจำนวน]]+Table47[[#This Row],[เพิ่มประสิทธิภาพจำนวน]]</f>
        <v>1</v>
      </c>
      <c r="K454" s="245">
        <v>4990</v>
      </c>
      <c r="L454" s="248" t="s">
        <v>1941</v>
      </c>
    </row>
    <row r="455" spans="1:12">
      <c r="A455" s="246" t="s">
        <v>1765</v>
      </c>
      <c r="B455" s="244">
        <v>2570</v>
      </c>
      <c r="C455" s="241" t="s">
        <v>447</v>
      </c>
      <c r="D455" s="241" t="s">
        <v>488</v>
      </c>
      <c r="E455" s="244" t="s">
        <v>807</v>
      </c>
      <c r="F455" s="244" t="s">
        <v>45</v>
      </c>
      <c r="G455" s="244" t="s">
        <v>41</v>
      </c>
      <c r="H455" s="244">
        <v>0</v>
      </c>
      <c r="I455" s="244">
        <v>1</v>
      </c>
      <c r="J455" s="242">
        <f>Table47[[#This Row],[ทดแทนจำนวน]]+Table47[[#This Row],[เพิ่มประสิทธิภาพจำนวน]]</f>
        <v>1</v>
      </c>
      <c r="K455" s="245">
        <v>75000</v>
      </c>
      <c r="L455" s="248" t="s">
        <v>1941</v>
      </c>
    </row>
    <row r="456" spans="1:12">
      <c r="A456" s="246" t="s">
        <v>1766</v>
      </c>
      <c r="B456" s="244">
        <v>2570</v>
      </c>
      <c r="C456" s="241" t="s">
        <v>447</v>
      </c>
      <c r="D456" s="241" t="s">
        <v>488</v>
      </c>
      <c r="E456" s="244" t="s">
        <v>807</v>
      </c>
      <c r="F456" s="244" t="s">
        <v>426</v>
      </c>
      <c r="G456" s="244" t="s">
        <v>424</v>
      </c>
      <c r="H456" s="244">
        <v>0</v>
      </c>
      <c r="I456" s="244">
        <v>1</v>
      </c>
      <c r="J456" s="242">
        <f>Table47[[#This Row],[ทดแทนจำนวน]]+Table47[[#This Row],[เพิ่มประสิทธิภาพจำนวน]]</f>
        <v>1</v>
      </c>
      <c r="K456" s="245">
        <v>36300</v>
      </c>
      <c r="L456" s="248" t="s">
        <v>1941</v>
      </c>
    </row>
    <row r="457" spans="1:12">
      <c r="A457" s="246" t="s">
        <v>1767</v>
      </c>
      <c r="B457" s="244">
        <v>2570</v>
      </c>
      <c r="C457" s="241" t="s">
        <v>447</v>
      </c>
      <c r="D457" s="241" t="s">
        <v>488</v>
      </c>
      <c r="E457" s="244" t="s">
        <v>807</v>
      </c>
      <c r="F457" s="244" t="s">
        <v>463</v>
      </c>
      <c r="G457" s="244" t="s">
        <v>438</v>
      </c>
      <c r="H457" s="244">
        <v>0</v>
      </c>
      <c r="I457" s="244">
        <v>1</v>
      </c>
      <c r="J457" s="242">
        <f>Table47[[#This Row],[ทดแทนจำนวน]]+Table47[[#This Row],[เพิ่มประสิทธิภาพจำนวน]]</f>
        <v>1</v>
      </c>
      <c r="K457" s="245">
        <v>9900</v>
      </c>
      <c r="L457" s="248" t="s">
        <v>1941</v>
      </c>
    </row>
    <row r="458" spans="1:12">
      <c r="A458" s="246" t="s">
        <v>1768</v>
      </c>
      <c r="B458" s="244">
        <v>2570</v>
      </c>
      <c r="C458" s="241" t="s">
        <v>447</v>
      </c>
      <c r="D458" s="241" t="s">
        <v>488</v>
      </c>
      <c r="E458" s="244" t="s">
        <v>806</v>
      </c>
      <c r="F458" s="244" t="s">
        <v>135</v>
      </c>
      <c r="G458" s="244" t="s">
        <v>133</v>
      </c>
      <c r="H458" s="244">
        <v>0</v>
      </c>
      <c r="I458" s="244">
        <v>1</v>
      </c>
      <c r="J458" s="242">
        <f>Table47[[#This Row],[ทดแทนจำนวน]]+Table47[[#This Row],[เพิ่มประสิทธิภาพจำนวน]]</f>
        <v>1</v>
      </c>
      <c r="K458" s="245">
        <v>9133</v>
      </c>
      <c r="L458" s="248" t="s">
        <v>1941</v>
      </c>
    </row>
    <row r="459" spans="1:12">
      <c r="A459" s="246" t="s">
        <v>1769</v>
      </c>
      <c r="B459" s="244">
        <v>2570</v>
      </c>
      <c r="C459" s="241" t="s">
        <v>447</v>
      </c>
      <c r="D459" s="241" t="s">
        <v>488</v>
      </c>
      <c r="E459" s="244" t="s">
        <v>806</v>
      </c>
      <c r="F459" s="244" t="s">
        <v>24</v>
      </c>
      <c r="G459" s="244" t="s">
        <v>22</v>
      </c>
      <c r="H459" s="244">
        <v>0</v>
      </c>
      <c r="I459" s="244">
        <v>1</v>
      </c>
      <c r="J459" s="242">
        <f>Table47[[#This Row],[ทดแทนจำนวน]]+Table47[[#This Row],[เพิ่มประสิทธิภาพจำนวน]]</f>
        <v>1</v>
      </c>
      <c r="K459" s="245">
        <v>39000</v>
      </c>
      <c r="L459" s="248" t="s">
        <v>1941</v>
      </c>
    </row>
    <row r="460" spans="1:12">
      <c r="A460" s="246" t="s">
        <v>1770</v>
      </c>
      <c r="B460" s="244">
        <v>2570</v>
      </c>
      <c r="C460" s="241" t="s">
        <v>447</v>
      </c>
      <c r="D460" s="241" t="s">
        <v>488</v>
      </c>
      <c r="E460" s="244" t="s">
        <v>806</v>
      </c>
      <c r="F460" s="244" t="s">
        <v>29</v>
      </c>
      <c r="G460" s="244" t="s">
        <v>27</v>
      </c>
      <c r="H460" s="244">
        <v>0</v>
      </c>
      <c r="I460" s="244">
        <v>1</v>
      </c>
      <c r="J460" s="242">
        <f>Table47[[#This Row],[ทดแทนจำนวน]]+Table47[[#This Row],[เพิ่มประสิทธิภาพจำนวน]]</f>
        <v>1</v>
      </c>
      <c r="K460" s="245">
        <v>6900</v>
      </c>
      <c r="L460" s="248" t="s">
        <v>1941</v>
      </c>
    </row>
    <row r="461" spans="1:12">
      <c r="A461" s="246" t="s">
        <v>1771</v>
      </c>
      <c r="B461" s="244">
        <v>2570</v>
      </c>
      <c r="C461" s="241" t="s">
        <v>447</v>
      </c>
      <c r="D461" s="241" t="s">
        <v>488</v>
      </c>
      <c r="E461" s="244" t="s">
        <v>805</v>
      </c>
      <c r="F461" s="244" t="s">
        <v>135</v>
      </c>
      <c r="G461" s="244" t="s">
        <v>133</v>
      </c>
      <c r="H461" s="244">
        <v>0</v>
      </c>
      <c r="I461" s="244">
        <v>1</v>
      </c>
      <c r="J461" s="242">
        <f>Table47[[#This Row],[ทดแทนจำนวน]]+Table47[[#This Row],[เพิ่มประสิทธิภาพจำนวน]]</f>
        <v>1</v>
      </c>
      <c r="K461" s="245">
        <v>4133</v>
      </c>
      <c r="L461" s="248" t="s">
        <v>1941</v>
      </c>
    </row>
    <row r="462" spans="1:12">
      <c r="A462" s="246" t="s">
        <v>1772</v>
      </c>
      <c r="B462" s="244">
        <v>2570</v>
      </c>
      <c r="C462" s="241" t="s">
        <v>447</v>
      </c>
      <c r="D462" s="241" t="s">
        <v>488</v>
      </c>
      <c r="E462" s="244" t="s">
        <v>801</v>
      </c>
      <c r="F462" s="244" t="s">
        <v>232</v>
      </c>
      <c r="G462" s="244" t="s">
        <v>230</v>
      </c>
      <c r="H462" s="244">
        <v>0</v>
      </c>
      <c r="I462" s="244">
        <v>1</v>
      </c>
      <c r="J462" s="242">
        <f>Table47[[#This Row],[ทดแทนจำนวน]]+Table47[[#This Row],[เพิ่มประสิทธิภาพจำนวน]]</f>
        <v>1</v>
      </c>
      <c r="K462" s="245">
        <v>29000</v>
      </c>
      <c r="L462" s="248" t="s">
        <v>1941</v>
      </c>
    </row>
    <row r="463" spans="1:12">
      <c r="A463" s="246" t="s">
        <v>1773</v>
      </c>
      <c r="B463" s="244">
        <v>2570</v>
      </c>
      <c r="C463" s="241" t="s">
        <v>447</v>
      </c>
      <c r="D463" s="241" t="s">
        <v>488</v>
      </c>
      <c r="E463" s="244" t="s">
        <v>801</v>
      </c>
      <c r="F463" s="244" t="s">
        <v>456</v>
      </c>
      <c r="G463" s="244" t="s">
        <v>442</v>
      </c>
      <c r="H463" s="244">
        <v>0</v>
      </c>
      <c r="I463" s="244">
        <v>10</v>
      </c>
      <c r="J463" s="242">
        <f>Table47[[#This Row],[ทดแทนจำนวน]]+Table47[[#This Row],[เพิ่มประสิทธิภาพจำนวน]]</f>
        <v>10</v>
      </c>
      <c r="K463" s="245">
        <v>42500</v>
      </c>
      <c r="L463" s="248" t="s">
        <v>1941</v>
      </c>
    </row>
    <row r="464" spans="1:12">
      <c r="A464" s="246" t="s">
        <v>1774</v>
      </c>
      <c r="B464" s="244">
        <v>2570</v>
      </c>
      <c r="C464" s="241" t="s">
        <v>447</v>
      </c>
      <c r="D464" s="241" t="s">
        <v>488</v>
      </c>
      <c r="E464" s="244" t="s">
        <v>801</v>
      </c>
      <c r="F464" s="244" t="s">
        <v>135</v>
      </c>
      <c r="G464" s="244" t="s">
        <v>133</v>
      </c>
      <c r="H464" s="244">
        <v>1</v>
      </c>
      <c r="I464" s="244">
        <v>0</v>
      </c>
      <c r="J464" s="242">
        <f>Table47[[#This Row],[ทดแทนจำนวน]]+Table47[[#This Row],[เพิ่มประสิทธิภาพจำนวน]]</f>
        <v>1</v>
      </c>
      <c r="K464" s="245">
        <v>76000</v>
      </c>
      <c r="L464" s="248" t="s">
        <v>589</v>
      </c>
    </row>
    <row r="465" spans="1:12">
      <c r="A465" s="246" t="s">
        <v>1775</v>
      </c>
      <c r="B465" s="244">
        <v>2570</v>
      </c>
      <c r="C465" s="241" t="s">
        <v>447</v>
      </c>
      <c r="D465" s="241" t="s">
        <v>488</v>
      </c>
      <c r="E465" s="244" t="s">
        <v>801</v>
      </c>
      <c r="F465" s="244" t="s">
        <v>426</v>
      </c>
      <c r="G465" s="244" t="s">
        <v>424</v>
      </c>
      <c r="H465" s="244">
        <v>0</v>
      </c>
      <c r="I465" s="244">
        <v>20</v>
      </c>
      <c r="J465" s="242">
        <f>Table47[[#This Row],[ทดแทนจำนวน]]+Table47[[#This Row],[เพิ่มประสิทธิภาพจำนวน]]</f>
        <v>20</v>
      </c>
      <c r="K465" s="245">
        <v>76000</v>
      </c>
      <c r="L465" s="248" t="s">
        <v>1941</v>
      </c>
    </row>
    <row r="466" spans="1:12">
      <c r="A466" s="246" t="s">
        <v>1776</v>
      </c>
      <c r="B466" s="244">
        <v>2570</v>
      </c>
      <c r="C466" s="241" t="s">
        <v>447</v>
      </c>
      <c r="D466" s="241" t="s">
        <v>488</v>
      </c>
      <c r="E466" s="244" t="s">
        <v>801</v>
      </c>
      <c r="F466" s="244" t="s">
        <v>156</v>
      </c>
      <c r="G466" s="244" t="s">
        <v>154</v>
      </c>
      <c r="H466" s="244">
        <v>0</v>
      </c>
      <c r="I466" s="244">
        <v>1</v>
      </c>
      <c r="J466" s="242">
        <f>Table47[[#This Row],[ทดแทนจำนวน]]+Table47[[#This Row],[เพิ่มประสิทธิภาพจำนวน]]</f>
        <v>1</v>
      </c>
      <c r="K466" s="245">
        <v>90980</v>
      </c>
      <c r="L466" s="248" t="s">
        <v>1941</v>
      </c>
    </row>
    <row r="467" spans="1:12">
      <c r="A467" s="246" t="s">
        <v>1777</v>
      </c>
      <c r="B467" s="244">
        <v>2570</v>
      </c>
      <c r="C467" s="241" t="s">
        <v>447</v>
      </c>
      <c r="D467" s="241" t="s">
        <v>488</v>
      </c>
      <c r="E467" s="244" t="s">
        <v>801</v>
      </c>
      <c r="F467" s="244" t="s">
        <v>45</v>
      </c>
      <c r="G467" s="244" t="s">
        <v>41</v>
      </c>
      <c r="H467" s="244">
        <v>1</v>
      </c>
      <c r="I467" s="244">
        <v>0</v>
      </c>
      <c r="J467" s="242">
        <f>Table47[[#This Row],[ทดแทนจำนวน]]+Table47[[#This Row],[เพิ่มประสิทธิภาพจำนวน]]</f>
        <v>1</v>
      </c>
      <c r="K467" s="245">
        <v>140000</v>
      </c>
      <c r="L467" s="248" t="s">
        <v>589</v>
      </c>
    </row>
    <row r="468" spans="1:12">
      <c r="A468" s="246" t="s">
        <v>1778</v>
      </c>
      <c r="B468" s="244">
        <v>2570</v>
      </c>
      <c r="C468" s="241" t="s">
        <v>447</v>
      </c>
      <c r="D468" s="241" t="s">
        <v>488</v>
      </c>
      <c r="E468" s="244" t="s">
        <v>798</v>
      </c>
      <c r="F468" s="244" t="s">
        <v>124</v>
      </c>
      <c r="G468" s="244" t="s">
        <v>122</v>
      </c>
      <c r="H468" s="244">
        <v>0</v>
      </c>
      <c r="I468" s="244">
        <v>6</v>
      </c>
      <c r="J468" s="242">
        <f>Table47[[#This Row],[ทดแทนจำนวน]]+Table47[[#This Row],[เพิ่มประสิทธิภาพจำนวน]]</f>
        <v>6</v>
      </c>
      <c r="K468" s="245">
        <v>72000</v>
      </c>
      <c r="L468" s="248" t="s">
        <v>1941</v>
      </c>
    </row>
    <row r="469" spans="1:12">
      <c r="A469" s="246" t="s">
        <v>1779</v>
      </c>
      <c r="B469" s="244">
        <v>2570</v>
      </c>
      <c r="C469" s="241" t="s">
        <v>447</v>
      </c>
      <c r="D469" s="241" t="s">
        <v>527</v>
      </c>
      <c r="E469" s="244" t="s">
        <v>764</v>
      </c>
      <c r="F469" s="244" t="s">
        <v>201</v>
      </c>
      <c r="G469" s="244" t="s">
        <v>199</v>
      </c>
      <c r="H469" s="244">
        <v>1</v>
      </c>
      <c r="I469" s="244">
        <v>0</v>
      </c>
      <c r="J469" s="242">
        <f>Table47[[#This Row],[ทดแทนจำนวน]]+Table47[[#This Row],[เพิ่มประสิทธิภาพจำนวน]]</f>
        <v>1</v>
      </c>
      <c r="K469" s="245">
        <v>1498000</v>
      </c>
      <c r="L469" s="248" t="s">
        <v>589</v>
      </c>
    </row>
    <row r="470" spans="1:12">
      <c r="A470" s="246" t="s">
        <v>1780</v>
      </c>
      <c r="B470" s="244">
        <v>2570</v>
      </c>
      <c r="C470" s="241" t="s">
        <v>447</v>
      </c>
      <c r="D470" s="241" t="s">
        <v>527</v>
      </c>
      <c r="E470" s="244" t="s">
        <v>761</v>
      </c>
      <c r="F470" s="244" t="s">
        <v>354</v>
      </c>
      <c r="G470" s="244" t="s">
        <v>352</v>
      </c>
      <c r="H470" s="244">
        <v>1</v>
      </c>
      <c r="I470" s="244">
        <v>0</v>
      </c>
      <c r="J470" s="242">
        <f>Table47[[#This Row],[ทดแทนจำนวน]]+Table47[[#This Row],[เพิ่มประสิทธิภาพจำนวน]]</f>
        <v>1</v>
      </c>
      <c r="K470" s="245">
        <v>1498000</v>
      </c>
      <c r="L470" s="248" t="s">
        <v>589</v>
      </c>
    </row>
    <row r="471" spans="1:12">
      <c r="A471" s="246" t="s">
        <v>1781</v>
      </c>
      <c r="B471" s="244">
        <v>2570</v>
      </c>
      <c r="C471" s="241" t="s">
        <v>447</v>
      </c>
      <c r="D471" s="241" t="s">
        <v>527</v>
      </c>
      <c r="E471" s="244" t="s">
        <v>761</v>
      </c>
      <c r="F471" s="244" t="s">
        <v>156</v>
      </c>
      <c r="G471" s="244" t="s">
        <v>154</v>
      </c>
      <c r="H471" s="244">
        <v>1</v>
      </c>
      <c r="I471" s="244">
        <v>0</v>
      </c>
      <c r="J471" s="242">
        <f>Table47[[#This Row],[ทดแทนจำนวน]]+Table47[[#This Row],[เพิ่มประสิทธิภาพจำนวน]]</f>
        <v>1</v>
      </c>
      <c r="K471" s="245">
        <v>1498000</v>
      </c>
      <c r="L471" s="248" t="s">
        <v>589</v>
      </c>
    </row>
    <row r="472" spans="1:12">
      <c r="A472" s="246" t="s">
        <v>1782</v>
      </c>
      <c r="B472" s="244">
        <v>2570</v>
      </c>
      <c r="C472" s="241" t="s">
        <v>447</v>
      </c>
      <c r="D472" s="241" t="s">
        <v>527</v>
      </c>
      <c r="E472" s="244" t="s">
        <v>790</v>
      </c>
      <c r="F472" s="244" t="s">
        <v>392</v>
      </c>
      <c r="G472" s="244" t="s">
        <v>390</v>
      </c>
      <c r="H472" s="244">
        <v>1</v>
      </c>
      <c r="I472" s="244">
        <v>0</v>
      </c>
      <c r="J472" s="242">
        <f>Table47[[#This Row],[ทดแทนจำนวน]]+Table47[[#This Row],[เพิ่มประสิทธิภาพจำนวน]]</f>
        <v>1</v>
      </c>
      <c r="K472" s="245">
        <v>1498000</v>
      </c>
      <c r="L472" s="248" t="s">
        <v>589</v>
      </c>
    </row>
    <row r="473" spans="1:12">
      <c r="A473" s="246" t="s">
        <v>1783</v>
      </c>
      <c r="B473" s="244">
        <v>2570</v>
      </c>
      <c r="C473" s="241" t="s">
        <v>447</v>
      </c>
      <c r="D473" s="241" t="s">
        <v>527</v>
      </c>
      <c r="E473" s="244" t="s">
        <v>761</v>
      </c>
      <c r="F473" s="244" t="s">
        <v>399</v>
      </c>
      <c r="G473" s="244" t="s">
        <v>397</v>
      </c>
      <c r="H473" s="244">
        <v>1</v>
      </c>
      <c r="I473" s="244">
        <v>0</v>
      </c>
      <c r="J473" s="242">
        <f>Table47[[#This Row],[ทดแทนจำนวน]]+Table47[[#This Row],[เพิ่มประสิทธิภาพจำนวน]]</f>
        <v>1</v>
      </c>
      <c r="K473" s="245">
        <v>1498000</v>
      </c>
      <c r="L473" s="248" t="s">
        <v>589</v>
      </c>
    </row>
    <row r="474" spans="1:12">
      <c r="A474" s="246" t="s">
        <v>1784</v>
      </c>
      <c r="B474" s="244">
        <v>2570</v>
      </c>
      <c r="C474" s="241" t="s">
        <v>447</v>
      </c>
      <c r="D474" s="241" t="s">
        <v>527</v>
      </c>
      <c r="E474" s="244" t="s">
        <v>761</v>
      </c>
      <c r="F474" s="244" t="s">
        <v>145</v>
      </c>
      <c r="G474" s="244" t="s">
        <v>143</v>
      </c>
      <c r="H474" s="244">
        <v>1</v>
      </c>
      <c r="I474" s="244">
        <v>0</v>
      </c>
      <c r="J474" s="242">
        <f>Table47[[#This Row],[ทดแทนจำนวน]]+Table47[[#This Row],[เพิ่มประสิทธิภาพจำนวน]]</f>
        <v>1</v>
      </c>
      <c r="K474" s="245">
        <v>1498000</v>
      </c>
      <c r="L474" s="248" t="s">
        <v>589</v>
      </c>
    </row>
    <row r="475" spans="1:12">
      <c r="A475" s="246" t="s">
        <v>1785</v>
      </c>
      <c r="B475" s="244">
        <v>2570</v>
      </c>
      <c r="C475" s="241" t="s">
        <v>447</v>
      </c>
      <c r="D475" s="241" t="s">
        <v>527</v>
      </c>
      <c r="E475" s="244" t="s">
        <v>761</v>
      </c>
      <c r="F475" s="244" t="s">
        <v>262</v>
      </c>
      <c r="G475" s="244" t="s">
        <v>260</v>
      </c>
      <c r="H475" s="244">
        <v>1</v>
      </c>
      <c r="I475" s="244">
        <v>0</v>
      </c>
      <c r="J475" s="242">
        <f>Table47[[#This Row],[ทดแทนจำนวน]]+Table47[[#This Row],[เพิ่มประสิทธิภาพจำนวน]]</f>
        <v>1</v>
      </c>
      <c r="K475" s="245">
        <v>1498000</v>
      </c>
      <c r="L475" s="248" t="s">
        <v>589</v>
      </c>
    </row>
    <row r="476" spans="1:12">
      <c r="A476" s="246" t="s">
        <v>1786</v>
      </c>
      <c r="B476" s="244">
        <v>2570</v>
      </c>
      <c r="C476" s="241" t="s">
        <v>447</v>
      </c>
      <c r="D476" s="241" t="s">
        <v>527</v>
      </c>
      <c r="E476" s="244" t="s">
        <v>761</v>
      </c>
      <c r="F476" s="244" t="s">
        <v>457</v>
      </c>
      <c r="G476" s="244" t="s">
        <v>441</v>
      </c>
      <c r="H476" s="244">
        <v>1</v>
      </c>
      <c r="I476" s="244">
        <v>0</v>
      </c>
      <c r="J476" s="242">
        <f>Table47[[#This Row],[ทดแทนจำนวน]]+Table47[[#This Row],[เพิ่มประสิทธิภาพจำนวน]]</f>
        <v>1</v>
      </c>
      <c r="K476" s="245">
        <v>1498000</v>
      </c>
      <c r="L476" s="248" t="s">
        <v>589</v>
      </c>
    </row>
    <row r="477" spans="1:12">
      <c r="A477" s="246" t="s">
        <v>1787</v>
      </c>
      <c r="B477" s="244">
        <v>2570</v>
      </c>
      <c r="C477" s="241" t="s">
        <v>447</v>
      </c>
      <c r="D477" s="241" t="s">
        <v>527</v>
      </c>
      <c r="E477" s="244" t="s">
        <v>761</v>
      </c>
      <c r="F477" s="244" t="s">
        <v>39</v>
      </c>
      <c r="G477" s="244" t="s">
        <v>34</v>
      </c>
      <c r="H477" s="244">
        <v>1</v>
      </c>
      <c r="I477" s="244">
        <v>0</v>
      </c>
      <c r="J477" s="242">
        <f>Table47[[#This Row],[ทดแทนจำนวน]]+Table47[[#This Row],[เพิ่มประสิทธิภาพจำนวน]]</f>
        <v>1</v>
      </c>
      <c r="K477" s="245">
        <v>1498000</v>
      </c>
      <c r="L477" s="248" t="s">
        <v>589</v>
      </c>
    </row>
    <row r="478" spans="1:12">
      <c r="A478" s="246" t="s">
        <v>1788</v>
      </c>
      <c r="B478" s="244">
        <v>2570</v>
      </c>
      <c r="C478" s="241" t="s">
        <v>447</v>
      </c>
      <c r="D478" s="241" t="s">
        <v>527</v>
      </c>
      <c r="E478" s="244" t="s">
        <v>761</v>
      </c>
      <c r="F478" s="244" t="s">
        <v>121</v>
      </c>
      <c r="G478" s="244" t="s">
        <v>119</v>
      </c>
      <c r="H478" s="244">
        <v>1</v>
      </c>
      <c r="I478" s="244">
        <v>0</v>
      </c>
      <c r="J478" s="242">
        <f>Table47[[#This Row],[ทดแทนจำนวน]]+Table47[[#This Row],[เพิ่มประสิทธิภาพจำนวน]]</f>
        <v>1</v>
      </c>
      <c r="K478" s="245">
        <v>1498000</v>
      </c>
      <c r="L478" s="248" t="s">
        <v>589</v>
      </c>
    </row>
    <row r="479" spans="1:12">
      <c r="A479" s="246" t="s">
        <v>1789</v>
      </c>
      <c r="B479" s="244">
        <v>2570</v>
      </c>
      <c r="C479" s="241" t="s">
        <v>447</v>
      </c>
      <c r="D479" s="241" t="s">
        <v>527</v>
      </c>
      <c r="E479" s="244" t="s">
        <v>761</v>
      </c>
      <c r="F479" s="244" t="s">
        <v>259</v>
      </c>
      <c r="G479" s="244" t="s">
        <v>257</v>
      </c>
      <c r="H479" s="244">
        <v>1</v>
      </c>
      <c r="I479" s="244">
        <v>0</v>
      </c>
      <c r="J479" s="242">
        <f>Table47[[#This Row],[ทดแทนจำนวน]]+Table47[[#This Row],[เพิ่มประสิทธิภาพจำนวน]]</f>
        <v>1</v>
      </c>
      <c r="K479" s="245">
        <v>1498000</v>
      </c>
      <c r="L479" s="248" t="s">
        <v>589</v>
      </c>
    </row>
    <row r="480" spans="1:12">
      <c r="A480" s="246" t="s">
        <v>1790</v>
      </c>
      <c r="B480" s="244">
        <v>2570</v>
      </c>
      <c r="C480" s="241" t="s">
        <v>447</v>
      </c>
      <c r="D480" s="241" t="s">
        <v>527</v>
      </c>
      <c r="E480" s="244" t="s">
        <v>761</v>
      </c>
      <c r="F480" s="244" t="s">
        <v>451</v>
      </c>
      <c r="G480" s="244" t="s">
        <v>444</v>
      </c>
      <c r="H480" s="244">
        <v>1</v>
      </c>
      <c r="I480" s="244">
        <v>0</v>
      </c>
      <c r="J480" s="242">
        <f>Table47[[#This Row],[ทดแทนจำนวน]]+Table47[[#This Row],[เพิ่มประสิทธิภาพจำนวน]]</f>
        <v>1</v>
      </c>
      <c r="K480" s="245">
        <v>1498000</v>
      </c>
      <c r="L480" s="248" t="s">
        <v>589</v>
      </c>
    </row>
    <row r="481" spans="1:12">
      <c r="A481" s="246" t="s">
        <v>1791</v>
      </c>
      <c r="B481" s="244">
        <v>2570</v>
      </c>
      <c r="C481" s="241" t="s">
        <v>447</v>
      </c>
      <c r="D481" s="241" t="s">
        <v>527</v>
      </c>
      <c r="E481" s="244" t="s">
        <v>761</v>
      </c>
      <c r="F481" s="244" t="s">
        <v>243</v>
      </c>
      <c r="G481" s="244" t="s">
        <v>241</v>
      </c>
      <c r="H481" s="244">
        <v>1</v>
      </c>
      <c r="I481" s="244">
        <v>0</v>
      </c>
      <c r="J481" s="242">
        <f>Table47[[#This Row],[ทดแทนจำนวน]]+Table47[[#This Row],[เพิ่มประสิทธิภาพจำนวน]]</f>
        <v>1</v>
      </c>
      <c r="K481" s="245">
        <v>1498000</v>
      </c>
      <c r="L481" s="248" t="s">
        <v>589</v>
      </c>
    </row>
    <row r="482" spans="1:12">
      <c r="A482" s="246" t="s">
        <v>1792</v>
      </c>
      <c r="B482" s="244">
        <v>2570</v>
      </c>
      <c r="C482" s="241" t="s">
        <v>447</v>
      </c>
      <c r="D482" s="241" t="s">
        <v>527</v>
      </c>
      <c r="E482" s="244" t="s">
        <v>761</v>
      </c>
      <c r="F482" s="244" t="s">
        <v>223</v>
      </c>
      <c r="G482" s="244" t="s">
        <v>221</v>
      </c>
      <c r="H482" s="244">
        <v>1</v>
      </c>
      <c r="I482" s="244">
        <v>0</v>
      </c>
      <c r="J482" s="242">
        <f>Table47[[#This Row],[ทดแทนจำนวน]]+Table47[[#This Row],[เพิ่มประสิทธิภาพจำนวน]]</f>
        <v>1</v>
      </c>
      <c r="K482" s="245">
        <v>1498000</v>
      </c>
      <c r="L482" s="248" t="s">
        <v>589</v>
      </c>
    </row>
    <row r="483" spans="1:12">
      <c r="A483" s="246" t="s">
        <v>1793</v>
      </c>
      <c r="B483" s="244">
        <v>2570</v>
      </c>
      <c r="C483" s="241" t="s">
        <v>447</v>
      </c>
      <c r="D483" s="241" t="s">
        <v>527</v>
      </c>
      <c r="E483" s="244" t="s">
        <v>767</v>
      </c>
      <c r="F483" s="244" t="s">
        <v>45</v>
      </c>
      <c r="G483" s="244" t="s">
        <v>41</v>
      </c>
      <c r="H483" s="244">
        <v>1</v>
      </c>
      <c r="I483" s="244">
        <v>0</v>
      </c>
      <c r="J483" s="242">
        <f>Table47[[#This Row],[ทดแทนจำนวน]]+Table47[[#This Row],[เพิ่มประสิทธิภาพจำนวน]]</f>
        <v>1</v>
      </c>
      <c r="K483" s="245">
        <v>1498000</v>
      </c>
      <c r="L483" s="248" t="s">
        <v>589</v>
      </c>
    </row>
    <row r="484" spans="1:12">
      <c r="A484" s="246" t="s">
        <v>1794</v>
      </c>
      <c r="B484" s="244">
        <v>2570</v>
      </c>
      <c r="C484" s="241" t="s">
        <v>447</v>
      </c>
      <c r="D484" s="241" t="s">
        <v>527</v>
      </c>
      <c r="E484" s="244" t="s">
        <v>764</v>
      </c>
      <c r="F484" s="244" t="s">
        <v>50</v>
      </c>
      <c r="G484" s="244" t="s">
        <v>679</v>
      </c>
      <c r="H484" s="244">
        <v>1</v>
      </c>
      <c r="I484" s="244">
        <v>0</v>
      </c>
      <c r="J484" s="242">
        <f>Table47[[#This Row],[ทดแทนจำนวน]]+Table47[[#This Row],[เพิ่มประสิทธิภาพจำนวน]]</f>
        <v>1</v>
      </c>
      <c r="K484" s="245">
        <v>1498000</v>
      </c>
      <c r="L484" s="248" t="s">
        <v>589</v>
      </c>
    </row>
    <row r="485" spans="1:12">
      <c r="A485" s="246" t="s">
        <v>1795</v>
      </c>
      <c r="B485" s="244">
        <v>2570</v>
      </c>
      <c r="C485" s="241" t="s">
        <v>447</v>
      </c>
      <c r="D485" s="241" t="s">
        <v>527</v>
      </c>
      <c r="E485" s="244" t="s">
        <v>761</v>
      </c>
      <c r="F485" s="244" t="s">
        <v>62</v>
      </c>
      <c r="G485" s="244" t="s">
        <v>760</v>
      </c>
      <c r="H485" s="244">
        <v>1</v>
      </c>
      <c r="I485" s="244">
        <v>0</v>
      </c>
      <c r="J485" s="242">
        <f>Table47[[#This Row],[ทดแทนจำนวน]]+Table47[[#This Row],[เพิ่มประสิทธิภาพจำนวน]]</f>
        <v>1</v>
      </c>
      <c r="K485" s="245">
        <v>1498000</v>
      </c>
      <c r="L485" s="248" t="s">
        <v>589</v>
      </c>
    </row>
    <row r="486" spans="1:12">
      <c r="A486" s="246" t="s">
        <v>1796</v>
      </c>
      <c r="B486" s="244">
        <v>2570</v>
      </c>
      <c r="C486" s="241" t="s">
        <v>447</v>
      </c>
      <c r="D486" s="241" t="s">
        <v>527</v>
      </c>
      <c r="E486" s="244" t="s">
        <v>731</v>
      </c>
      <c r="F486" s="244" t="s">
        <v>156</v>
      </c>
      <c r="G486" s="244" t="s">
        <v>154</v>
      </c>
      <c r="H486" s="244">
        <v>1</v>
      </c>
      <c r="I486" s="244">
        <v>0</v>
      </c>
      <c r="J486" s="242">
        <f>Table47[[#This Row],[ทดแทนจำนวน]]+Table47[[#This Row],[เพิ่มประสิทธิภาพจำนวน]]</f>
        <v>1</v>
      </c>
      <c r="K486" s="245">
        <v>970900</v>
      </c>
      <c r="L486" s="248" t="s">
        <v>589</v>
      </c>
    </row>
    <row r="487" spans="1:12">
      <c r="A487" s="246" t="s">
        <v>1797</v>
      </c>
      <c r="B487" s="244">
        <v>2570</v>
      </c>
      <c r="C487" s="241" t="s">
        <v>447</v>
      </c>
      <c r="D487" s="241" t="s">
        <v>527</v>
      </c>
      <c r="E487" s="244" t="s">
        <v>731</v>
      </c>
      <c r="F487" s="244" t="s">
        <v>232</v>
      </c>
      <c r="G487" s="244" t="s">
        <v>230</v>
      </c>
      <c r="H487" s="244">
        <v>1</v>
      </c>
      <c r="I487" s="244">
        <v>0</v>
      </c>
      <c r="J487" s="242">
        <f>Table47[[#This Row],[ทดแทนจำนวน]]+Table47[[#This Row],[เพิ่มประสิทธิภาพจำนวน]]</f>
        <v>1</v>
      </c>
      <c r="K487" s="245">
        <v>970900</v>
      </c>
      <c r="L487" s="248" t="s">
        <v>589</v>
      </c>
    </row>
    <row r="488" spans="1:12">
      <c r="A488" s="246" t="s">
        <v>1798</v>
      </c>
      <c r="B488" s="244">
        <v>2570</v>
      </c>
      <c r="C488" s="241" t="s">
        <v>447</v>
      </c>
      <c r="D488" s="241" t="s">
        <v>527</v>
      </c>
      <c r="E488" s="244" t="s">
        <v>731</v>
      </c>
      <c r="F488" s="244" t="s">
        <v>300</v>
      </c>
      <c r="G488" s="244" t="s">
        <v>298</v>
      </c>
      <c r="H488" s="244">
        <v>1</v>
      </c>
      <c r="I488" s="244">
        <v>0</v>
      </c>
      <c r="J488" s="242">
        <f>Table47[[#This Row],[ทดแทนจำนวน]]+Table47[[#This Row],[เพิ่มประสิทธิภาพจำนวน]]</f>
        <v>1</v>
      </c>
      <c r="K488" s="245">
        <v>970900</v>
      </c>
      <c r="L488" s="248" t="s">
        <v>589</v>
      </c>
    </row>
    <row r="489" spans="1:12">
      <c r="A489" s="246" t="s">
        <v>1799</v>
      </c>
      <c r="B489" s="244">
        <v>2570</v>
      </c>
      <c r="C489" s="241" t="s">
        <v>447</v>
      </c>
      <c r="D489" s="241" t="s">
        <v>527</v>
      </c>
      <c r="E489" s="244" t="s">
        <v>731</v>
      </c>
      <c r="F489" s="244" t="s">
        <v>458</v>
      </c>
      <c r="G489" s="244" t="s">
        <v>440</v>
      </c>
      <c r="H489" s="244">
        <v>1</v>
      </c>
      <c r="I489" s="244">
        <v>0</v>
      </c>
      <c r="J489" s="242">
        <f>Table47[[#This Row],[ทดแทนจำนวน]]+Table47[[#This Row],[เพิ่มประสิทธิภาพจำนวน]]</f>
        <v>1</v>
      </c>
      <c r="K489" s="245">
        <v>970900</v>
      </c>
      <c r="L489" s="248" t="s">
        <v>589</v>
      </c>
    </row>
    <row r="490" spans="1:12">
      <c r="A490" s="246" t="s">
        <v>1800</v>
      </c>
      <c r="B490" s="244">
        <v>2570</v>
      </c>
      <c r="C490" s="241" t="s">
        <v>447</v>
      </c>
      <c r="D490" s="241" t="s">
        <v>527</v>
      </c>
      <c r="E490" s="244" t="s">
        <v>731</v>
      </c>
      <c r="F490" s="244" t="s">
        <v>433</v>
      </c>
      <c r="G490" s="244" t="s">
        <v>428</v>
      </c>
      <c r="H490" s="244">
        <v>1</v>
      </c>
      <c r="I490" s="244">
        <v>0</v>
      </c>
      <c r="J490" s="242">
        <f>Table47[[#This Row],[ทดแทนจำนวน]]+Table47[[#This Row],[เพิ่มประสิทธิภาพจำนวน]]</f>
        <v>1</v>
      </c>
      <c r="K490" s="245">
        <v>970900</v>
      </c>
      <c r="L490" s="248" t="s">
        <v>589</v>
      </c>
    </row>
    <row r="491" spans="1:12">
      <c r="A491" s="246" t="s">
        <v>1801</v>
      </c>
      <c r="B491" s="244">
        <v>2570</v>
      </c>
      <c r="C491" s="241" t="s">
        <v>447</v>
      </c>
      <c r="D491" s="241" t="s">
        <v>527</v>
      </c>
      <c r="E491" s="244" t="s">
        <v>731</v>
      </c>
      <c r="F491" s="244" t="s">
        <v>464</v>
      </c>
      <c r="G491" s="244" t="s">
        <v>437</v>
      </c>
      <c r="H491" s="244">
        <v>1</v>
      </c>
      <c r="I491" s="244">
        <v>0</v>
      </c>
      <c r="J491" s="242">
        <f>Table47[[#This Row],[ทดแทนจำนวน]]+Table47[[#This Row],[เพิ่มประสิทธิภาพจำนวน]]</f>
        <v>1</v>
      </c>
      <c r="K491" s="245">
        <v>970900</v>
      </c>
      <c r="L491" s="248" t="s">
        <v>589</v>
      </c>
    </row>
    <row r="492" spans="1:12">
      <c r="A492" s="246" t="s">
        <v>1802</v>
      </c>
      <c r="B492" s="244">
        <v>2570</v>
      </c>
      <c r="C492" s="241" t="s">
        <v>447</v>
      </c>
      <c r="D492" s="241" t="s">
        <v>527</v>
      </c>
      <c r="E492" s="244" t="s">
        <v>731</v>
      </c>
      <c r="F492" s="244" t="s">
        <v>350</v>
      </c>
      <c r="G492" s="244" t="s">
        <v>103</v>
      </c>
      <c r="H492" s="244">
        <v>1</v>
      </c>
      <c r="I492" s="244">
        <v>0</v>
      </c>
      <c r="J492" s="242">
        <f>Table47[[#This Row],[ทดแทนจำนวน]]+Table47[[#This Row],[เพิ่มประสิทธิภาพจำนวน]]</f>
        <v>1</v>
      </c>
      <c r="K492" s="245">
        <v>970900</v>
      </c>
      <c r="L492" s="248" t="s">
        <v>589</v>
      </c>
    </row>
    <row r="493" spans="1:12">
      <c r="A493" s="246" t="s">
        <v>1803</v>
      </c>
      <c r="B493" s="244">
        <v>2570</v>
      </c>
      <c r="C493" s="241" t="s">
        <v>447</v>
      </c>
      <c r="D493" s="241" t="s">
        <v>527</v>
      </c>
      <c r="E493" s="244" t="s">
        <v>731</v>
      </c>
      <c r="F493" s="244" t="s">
        <v>171</v>
      </c>
      <c r="G493" s="244" t="s">
        <v>169</v>
      </c>
      <c r="H493" s="244">
        <v>1</v>
      </c>
      <c r="I493" s="244">
        <v>0</v>
      </c>
      <c r="J493" s="242">
        <f>Table47[[#This Row],[ทดแทนจำนวน]]+Table47[[#This Row],[เพิ่มประสิทธิภาพจำนวน]]</f>
        <v>1</v>
      </c>
      <c r="K493" s="245">
        <v>970900</v>
      </c>
      <c r="L493" s="248" t="s">
        <v>589</v>
      </c>
    </row>
    <row r="494" spans="1:12">
      <c r="A494" s="246" t="s">
        <v>1804</v>
      </c>
      <c r="B494" s="244">
        <v>2570</v>
      </c>
      <c r="C494" s="241" t="s">
        <v>447</v>
      </c>
      <c r="D494" s="241" t="s">
        <v>527</v>
      </c>
      <c r="E494" s="244" t="s">
        <v>731</v>
      </c>
      <c r="F494" s="244" t="s">
        <v>171</v>
      </c>
      <c r="G494" s="244" t="s">
        <v>169</v>
      </c>
      <c r="H494" s="244">
        <v>1</v>
      </c>
      <c r="I494" s="244">
        <v>0</v>
      </c>
      <c r="J494" s="242">
        <f>Table47[[#This Row],[ทดแทนจำนวน]]+Table47[[#This Row],[เพิ่มประสิทธิภาพจำนวน]]</f>
        <v>1</v>
      </c>
      <c r="K494" s="245">
        <v>970900</v>
      </c>
      <c r="L494" s="248" t="s">
        <v>589</v>
      </c>
    </row>
    <row r="495" spans="1:12">
      <c r="A495" s="246" t="s">
        <v>1805</v>
      </c>
      <c r="B495" s="244">
        <v>2570</v>
      </c>
      <c r="C495" s="241" t="s">
        <v>447</v>
      </c>
      <c r="D495" s="241" t="s">
        <v>527</v>
      </c>
      <c r="E495" s="244" t="s">
        <v>731</v>
      </c>
      <c r="F495" s="244" t="s">
        <v>171</v>
      </c>
      <c r="G495" s="244" t="s">
        <v>169</v>
      </c>
      <c r="H495" s="244">
        <v>1</v>
      </c>
      <c r="I495" s="244">
        <v>0</v>
      </c>
      <c r="J495" s="242">
        <f>Table47[[#This Row],[ทดแทนจำนวน]]+Table47[[#This Row],[เพิ่มประสิทธิภาพจำนวน]]</f>
        <v>1</v>
      </c>
      <c r="K495" s="245">
        <v>970900</v>
      </c>
      <c r="L495" s="248" t="s">
        <v>589</v>
      </c>
    </row>
    <row r="496" spans="1:12">
      <c r="A496" s="246" t="s">
        <v>1806</v>
      </c>
      <c r="B496" s="244">
        <v>2570</v>
      </c>
      <c r="C496" s="241" t="s">
        <v>447</v>
      </c>
      <c r="D496" s="241" t="s">
        <v>527</v>
      </c>
      <c r="E496" s="244" t="s">
        <v>731</v>
      </c>
      <c r="F496" s="244" t="s">
        <v>171</v>
      </c>
      <c r="G496" s="244" t="s">
        <v>169</v>
      </c>
      <c r="H496" s="244">
        <v>1</v>
      </c>
      <c r="I496" s="244">
        <v>0</v>
      </c>
      <c r="J496" s="242">
        <f>Table47[[#This Row],[ทดแทนจำนวน]]+Table47[[#This Row],[เพิ่มประสิทธิภาพจำนวน]]</f>
        <v>1</v>
      </c>
      <c r="K496" s="245">
        <v>970900</v>
      </c>
      <c r="L496" s="248" t="s">
        <v>589</v>
      </c>
    </row>
    <row r="497" spans="1:12">
      <c r="A497" s="246" t="s">
        <v>1807</v>
      </c>
      <c r="B497" s="244">
        <v>2570</v>
      </c>
      <c r="C497" s="241" t="s">
        <v>447</v>
      </c>
      <c r="D497" s="241" t="s">
        <v>527</v>
      </c>
      <c r="E497" s="244" t="s">
        <v>731</v>
      </c>
      <c r="F497" s="244" t="s">
        <v>171</v>
      </c>
      <c r="G497" s="244" t="s">
        <v>169</v>
      </c>
      <c r="H497" s="244">
        <v>1</v>
      </c>
      <c r="I497" s="244">
        <v>0</v>
      </c>
      <c r="J497" s="242">
        <f>Table47[[#This Row],[ทดแทนจำนวน]]+Table47[[#This Row],[เพิ่มประสิทธิภาพจำนวน]]</f>
        <v>1</v>
      </c>
      <c r="K497" s="245">
        <v>970900</v>
      </c>
      <c r="L497" s="248" t="s">
        <v>589</v>
      </c>
    </row>
    <row r="498" spans="1:12">
      <c r="A498" s="246" t="s">
        <v>1808</v>
      </c>
      <c r="B498" s="244">
        <v>2570</v>
      </c>
      <c r="C498" s="241" t="s">
        <v>447</v>
      </c>
      <c r="D498" s="241" t="s">
        <v>527</v>
      </c>
      <c r="E498" s="244" t="s">
        <v>731</v>
      </c>
      <c r="F498" s="244" t="s">
        <v>365</v>
      </c>
      <c r="G498" s="244" t="s">
        <v>110</v>
      </c>
      <c r="H498" s="244">
        <v>1</v>
      </c>
      <c r="I498" s="244">
        <v>0</v>
      </c>
      <c r="J498" s="242">
        <f>Table47[[#This Row],[ทดแทนจำนวน]]+Table47[[#This Row],[เพิ่มประสิทธิภาพจำนวน]]</f>
        <v>1</v>
      </c>
      <c r="K498" s="245">
        <v>970900</v>
      </c>
      <c r="L498" s="248" t="s">
        <v>589</v>
      </c>
    </row>
    <row r="499" spans="1:12">
      <c r="A499" s="246" t="s">
        <v>1809</v>
      </c>
      <c r="B499" s="244">
        <v>2570</v>
      </c>
      <c r="C499" s="241" t="s">
        <v>447</v>
      </c>
      <c r="D499" s="241" t="s">
        <v>527</v>
      </c>
      <c r="E499" s="244" t="s">
        <v>731</v>
      </c>
      <c r="F499" s="244" t="s">
        <v>141</v>
      </c>
      <c r="G499" s="244" t="s">
        <v>139</v>
      </c>
      <c r="H499" s="244">
        <v>1</v>
      </c>
      <c r="I499" s="244">
        <v>0</v>
      </c>
      <c r="J499" s="242">
        <f>Table47[[#This Row],[ทดแทนจำนวน]]+Table47[[#This Row],[เพิ่มประสิทธิภาพจำนวน]]</f>
        <v>1</v>
      </c>
      <c r="K499" s="245">
        <v>970900</v>
      </c>
      <c r="L499" s="248" t="s">
        <v>589</v>
      </c>
    </row>
    <row r="500" spans="1:12">
      <c r="A500" s="246" t="s">
        <v>1810</v>
      </c>
      <c r="B500" s="244">
        <v>2570</v>
      </c>
      <c r="C500" s="241" t="s">
        <v>447</v>
      </c>
      <c r="D500" s="241" t="s">
        <v>527</v>
      </c>
      <c r="E500" s="244" t="s">
        <v>731</v>
      </c>
      <c r="F500" s="244" t="s">
        <v>259</v>
      </c>
      <c r="G500" s="244" t="s">
        <v>257</v>
      </c>
      <c r="H500" s="244">
        <v>1</v>
      </c>
      <c r="I500" s="244">
        <v>0</v>
      </c>
      <c r="J500" s="242">
        <f>Table47[[#This Row],[ทดแทนจำนวน]]+Table47[[#This Row],[เพิ่มประสิทธิภาพจำนวน]]</f>
        <v>1</v>
      </c>
      <c r="K500" s="245">
        <v>970900</v>
      </c>
      <c r="L500" s="248" t="s">
        <v>589</v>
      </c>
    </row>
    <row r="501" spans="1:12">
      <c r="A501" s="246" t="s">
        <v>1811</v>
      </c>
      <c r="B501" s="244">
        <v>2570</v>
      </c>
      <c r="C501" s="241" t="s">
        <v>447</v>
      </c>
      <c r="D501" s="241" t="s">
        <v>527</v>
      </c>
      <c r="E501" s="244" t="s">
        <v>683</v>
      </c>
      <c r="F501" s="244" t="s">
        <v>39</v>
      </c>
      <c r="G501" s="244" t="s">
        <v>34</v>
      </c>
      <c r="H501" s="244">
        <v>1</v>
      </c>
      <c r="I501" s="244">
        <v>0</v>
      </c>
      <c r="J501" s="242">
        <f>Table47[[#This Row],[ทดแทนจำนวน]]+Table47[[#This Row],[เพิ่มประสิทธิภาพจำนวน]]</f>
        <v>1</v>
      </c>
      <c r="K501" s="245">
        <v>1207900</v>
      </c>
      <c r="L501" s="248" t="s">
        <v>589</v>
      </c>
    </row>
    <row r="502" spans="1:12">
      <c r="A502" s="246" t="s">
        <v>1812</v>
      </c>
      <c r="B502" s="244">
        <v>2570</v>
      </c>
      <c r="C502" s="241" t="s">
        <v>447</v>
      </c>
      <c r="D502" s="241" t="s">
        <v>527</v>
      </c>
      <c r="E502" s="244" t="s">
        <v>683</v>
      </c>
      <c r="F502" s="244" t="s">
        <v>396</v>
      </c>
      <c r="G502" s="244" t="s">
        <v>726</v>
      </c>
      <c r="H502" s="244">
        <v>1</v>
      </c>
      <c r="I502" s="244">
        <v>0</v>
      </c>
      <c r="J502" s="242">
        <f>Table47[[#This Row],[ทดแทนจำนวน]]+Table47[[#This Row],[เพิ่มประสิทธิภาพจำนวน]]</f>
        <v>1</v>
      </c>
      <c r="K502" s="245">
        <v>1207900</v>
      </c>
      <c r="L502" s="248" t="s">
        <v>589</v>
      </c>
    </row>
    <row r="503" spans="1:12">
      <c r="A503" s="246" t="s">
        <v>1813</v>
      </c>
      <c r="B503" s="244">
        <v>2570</v>
      </c>
      <c r="C503" s="241" t="s">
        <v>447</v>
      </c>
      <c r="D503" s="241" t="s">
        <v>527</v>
      </c>
      <c r="E503" s="244" t="s">
        <v>683</v>
      </c>
      <c r="F503" s="244" t="s">
        <v>322</v>
      </c>
      <c r="G503" s="244" t="s">
        <v>320</v>
      </c>
      <c r="H503" s="244">
        <v>1</v>
      </c>
      <c r="I503" s="244">
        <v>0</v>
      </c>
      <c r="J503" s="242">
        <f>Table47[[#This Row],[ทดแทนจำนวน]]+Table47[[#This Row],[เพิ่มประสิทธิภาพจำนวน]]</f>
        <v>1</v>
      </c>
      <c r="K503" s="245">
        <v>1207900</v>
      </c>
      <c r="L503" s="248" t="s">
        <v>589</v>
      </c>
    </row>
    <row r="504" spans="1:12">
      <c r="A504" s="246" t="s">
        <v>1814</v>
      </c>
      <c r="B504" s="244">
        <v>2570</v>
      </c>
      <c r="C504" s="241" t="s">
        <v>447</v>
      </c>
      <c r="D504" s="241" t="s">
        <v>527</v>
      </c>
      <c r="E504" s="244" t="s">
        <v>683</v>
      </c>
      <c r="F504" s="244" t="s">
        <v>24</v>
      </c>
      <c r="G504" s="244" t="s">
        <v>22</v>
      </c>
      <c r="H504" s="244">
        <v>1</v>
      </c>
      <c r="I504" s="244">
        <v>0</v>
      </c>
      <c r="J504" s="242">
        <f>Table47[[#This Row],[ทดแทนจำนวน]]+Table47[[#This Row],[เพิ่มประสิทธิภาพจำนวน]]</f>
        <v>1</v>
      </c>
      <c r="K504" s="245">
        <v>1207900</v>
      </c>
      <c r="L504" s="248" t="s">
        <v>589</v>
      </c>
    </row>
    <row r="505" spans="1:12">
      <c r="A505" s="246" t="s">
        <v>1815</v>
      </c>
      <c r="B505" s="244">
        <v>2570</v>
      </c>
      <c r="C505" s="241" t="s">
        <v>447</v>
      </c>
      <c r="D505" s="241" t="s">
        <v>527</v>
      </c>
      <c r="E505" s="244" t="s">
        <v>683</v>
      </c>
      <c r="F505" s="244" t="s">
        <v>145</v>
      </c>
      <c r="G505" s="244" t="s">
        <v>143</v>
      </c>
      <c r="H505" s="244">
        <v>1</v>
      </c>
      <c r="I505" s="244">
        <v>0</v>
      </c>
      <c r="J505" s="242">
        <f>Table47[[#This Row],[ทดแทนจำนวน]]+Table47[[#This Row],[เพิ่มประสิทธิภาพจำนวน]]</f>
        <v>1</v>
      </c>
      <c r="K505" s="245">
        <v>1207900</v>
      </c>
      <c r="L505" s="248" t="s">
        <v>589</v>
      </c>
    </row>
    <row r="506" spans="1:12">
      <c r="A506" s="246" t="s">
        <v>1816</v>
      </c>
      <c r="B506" s="244">
        <v>2570</v>
      </c>
      <c r="C506" s="241" t="s">
        <v>447</v>
      </c>
      <c r="D506" s="241" t="s">
        <v>527</v>
      </c>
      <c r="E506" s="244" t="s">
        <v>683</v>
      </c>
      <c r="F506" s="244" t="s">
        <v>171</v>
      </c>
      <c r="G506" s="244" t="s">
        <v>169</v>
      </c>
      <c r="H506" s="244">
        <v>1</v>
      </c>
      <c r="I506" s="244">
        <v>0</v>
      </c>
      <c r="J506" s="242">
        <f>Table47[[#This Row],[ทดแทนจำนวน]]+Table47[[#This Row],[เพิ่มประสิทธิภาพจำนวน]]</f>
        <v>1</v>
      </c>
      <c r="K506" s="245">
        <v>1207900</v>
      </c>
      <c r="L506" s="248" t="s">
        <v>589</v>
      </c>
    </row>
    <row r="507" spans="1:12">
      <c r="A507" s="246" t="s">
        <v>1817</v>
      </c>
      <c r="B507" s="244">
        <v>2570</v>
      </c>
      <c r="C507" s="241" t="s">
        <v>447</v>
      </c>
      <c r="D507" s="241" t="s">
        <v>527</v>
      </c>
      <c r="E507" s="244" t="s">
        <v>683</v>
      </c>
      <c r="F507" s="244" t="s">
        <v>171</v>
      </c>
      <c r="G507" s="244" t="s">
        <v>169</v>
      </c>
      <c r="H507" s="244">
        <v>1</v>
      </c>
      <c r="I507" s="244">
        <v>0</v>
      </c>
      <c r="J507" s="242">
        <f>Table47[[#This Row],[ทดแทนจำนวน]]+Table47[[#This Row],[เพิ่มประสิทธิภาพจำนวน]]</f>
        <v>1</v>
      </c>
      <c r="K507" s="245">
        <v>1207900</v>
      </c>
      <c r="L507" s="248" t="s">
        <v>589</v>
      </c>
    </row>
    <row r="508" spans="1:12">
      <c r="A508" s="246" t="s">
        <v>1818</v>
      </c>
      <c r="B508" s="244">
        <v>2570</v>
      </c>
      <c r="C508" s="241" t="s">
        <v>447</v>
      </c>
      <c r="D508" s="241" t="s">
        <v>527</v>
      </c>
      <c r="E508" s="244" t="s">
        <v>683</v>
      </c>
      <c r="F508" s="244" t="s">
        <v>201</v>
      </c>
      <c r="G508" s="244" t="s">
        <v>199</v>
      </c>
      <c r="H508" s="244">
        <v>1</v>
      </c>
      <c r="I508" s="244">
        <v>0</v>
      </c>
      <c r="J508" s="242">
        <f>Table47[[#This Row],[ทดแทนจำนวน]]+Table47[[#This Row],[เพิ่มประสิทธิภาพจำนวน]]</f>
        <v>1</v>
      </c>
      <c r="K508" s="245">
        <v>1207900</v>
      </c>
      <c r="L508" s="248" t="s">
        <v>589</v>
      </c>
    </row>
    <row r="509" spans="1:12">
      <c r="A509" s="246" t="s">
        <v>1819</v>
      </c>
      <c r="B509" s="244">
        <v>2570</v>
      </c>
      <c r="C509" s="241" t="s">
        <v>447</v>
      </c>
      <c r="D509" s="241" t="s">
        <v>527</v>
      </c>
      <c r="E509" s="244" t="s">
        <v>683</v>
      </c>
      <c r="F509" s="244" t="s">
        <v>18</v>
      </c>
      <c r="G509" s="244" t="s">
        <v>14</v>
      </c>
      <c r="H509" s="244">
        <v>1</v>
      </c>
      <c r="I509" s="244">
        <v>0</v>
      </c>
      <c r="J509" s="242">
        <f>Table47[[#This Row],[ทดแทนจำนวน]]+Table47[[#This Row],[เพิ่มประสิทธิภาพจำนวน]]</f>
        <v>1</v>
      </c>
      <c r="K509" s="245">
        <v>1207900</v>
      </c>
      <c r="L509" s="248" t="s">
        <v>589</v>
      </c>
    </row>
    <row r="510" spans="1:12">
      <c r="A510" s="246" t="s">
        <v>1820</v>
      </c>
      <c r="B510" s="244">
        <v>2570</v>
      </c>
      <c r="C510" s="241" t="s">
        <v>447</v>
      </c>
      <c r="D510" s="241" t="s">
        <v>527</v>
      </c>
      <c r="E510" s="244" t="s">
        <v>683</v>
      </c>
      <c r="F510" s="244" t="s">
        <v>29</v>
      </c>
      <c r="G510" s="244" t="s">
        <v>27</v>
      </c>
      <c r="H510" s="244">
        <v>1</v>
      </c>
      <c r="I510" s="244">
        <v>0</v>
      </c>
      <c r="J510" s="242">
        <f>Table47[[#This Row],[ทดแทนจำนวน]]+Table47[[#This Row],[เพิ่มประสิทธิภาพจำนวน]]</f>
        <v>1</v>
      </c>
      <c r="K510" s="245">
        <v>1207900</v>
      </c>
      <c r="L510" s="248" t="s">
        <v>589</v>
      </c>
    </row>
    <row r="511" spans="1:12">
      <c r="A511" s="246" t="s">
        <v>1821</v>
      </c>
      <c r="B511" s="244">
        <v>2570</v>
      </c>
      <c r="C511" s="241" t="s">
        <v>447</v>
      </c>
      <c r="D511" s="241" t="s">
        <v>527</v>
      </c>
      <c r="E511" s="244" t="s">
        <v>683</v>
      </c>
      <c r="F511" s="244" t="s">
        <v>280</v>
      </c>
      <c r="G511" s="244" t="s">
        <v>278</v>
      </c>
      <c r="H511" s="244">
        <v>1</v>
      </c>
      <c r="I511" s="244">
        <v>0</v>
      </c>
      <c r="J511" s="242">
        <f>Table47[[#This Row],[ทดแทนจำนวน]]+Table47[[#This Row],[เพิ่มประสิทธิภาพจำนวน]]</f>
        <v>1</v>
      </c>
      <c r="K511" s="245">
        <v>1207900</v>
      </c>
      <c r="L511" s="248" t="s">
        <v>589</v>
      </c>
    </row>
    <row r="512" spans="1:12">
      <c r="A512" s="246" t="s">
        <v>1822</v>
      </c>
      <c r="B512" s="244">
        <v>2570</v>
      </c>
      <c r="C512" s="241" t="s">
        <v>447</v>
      </c>
      <c r="D512" s="241" t="s">
        <v>527</v>
      </c>
      <c r="E512" s="244" t="s">
        <v>683</v>
      </c>
      <c r="F512" s="244" t="s">
        <v>265</v>
      </c>
      <c r="G512" s="244" t="s">
        <v>263</v>
      </c>
      <c r="H512" s="244">
        <v>1</v>
      </c>
      <c r="I512" s="244">
        <v>0</v>
      </c>
      <c r="J512" s="242">
        <f>Table47[[#This Row],[ทดแทนจำนวน]]+Table47[[#This Row],[เพิ่มประสิทธิภาพจำนวน]]</f>
        <v>1</v>
      </c>
      <c r="K512" s="245">
        <v>1207900</v>
      </c>
      <c r="L512" s="248" t="s">
        <v>589</v>
      </c>
    </row>
    <row r="513" spans="1:12">
      <c r="A513" s="246" t="s">
        <v>1823</v>
      </c>
      <c r="B513" s="244">
        <v>2570</v>
      </c>
      <c r="C513" s="241" t="s">
        <v>447</v>
      </c>
      <c r="D513" s="241" t="s">
        <v>527</v>
      </c>
      <c r="E513" s="244" t="s">
        <v>683</v>
      </c>
      <c r="F513" s="244" t="s">
        <v>465</v>
      </c>
      <c r="G513" s="244" t="s">
        <v>436</v>
      </c>
      <c r="H513" s="244">
        <v>1</v>
      </c>
      <c r="I513" s="244">
        <v>0</v>
      </c>
      <c r="J513" s="242">
        <f>Table47[[#This Row],[ทดแทนจำนวน]]+Table47[[#This Row],[เพิ่มประสิทธิภาพจำนวน]]</f>
        <v>1</v>
      </c>
      <c r="K513" s="245">
        <v>1207900</v>
      </c>
      <c r="L513" s="248" t="s">
        <v>589</v>
      </c>
    </row>
    <row r="514" spans="1:12">
      <c r="A514" s="246" t="s">
        <v>1824</v>
      </c>
      <c r="B514" s="244">
        <v>2570</v>
      </c>
      <c r="C514" s="241" t="s">
        <v>447</v>
      </c>
      <c r="D514" s="241" t="s">
        <v>527</v>
      </c>
      <c r="E514" s="244" t="s">
        <v>683</v>
      </c>
      <c r="F514" s="244" t="s">
        <v>451</v>
      </c>
      <c r="G514" s="244" t="s">
        <v>444</v>
      </c>
      <c r="H514" s="244">
        <v>1</v>
      </c>
      <c r="I514" s="244">
        <v>0</v>
      </c>
      <c r="J514" s="242">
        <f>Table47[[#This Row],[ทดแทนจำนวน]]+Table47[[#This Row],[เพิ่มประสิทธิภาพจำนวน]]</f>
        <v>1</v>
      </c>
      <c r="K514" s="245">
        <v>1207900</v>
      </c>
      <c r="L514" s="248" t="s">
        <v>589</v>
      </c>
    </row>
    <row r="515" spans="1:12">
      <c r="A515" s="246" t="s">
        <v>1825</v>
      </c>
      <c r="B515" s="244">
        <v>2570</v>
      </c>
      <c r="C515" s="241" t="s">
        <v>447</v>
      </c>
      <c r="D515" s="241" t="s">
        <v>527</v>
      </c>
      <c r="E515" s="244" t="s">
        <v>683</v>
      </c>
      <c r="F515" s="244" t="s">
        <v>381</v>
      </c>
      <c r="G515" s="244" t="s">
        <v>379</v>
      </c>
      <c r="H515" s="244">
        <v>1</v>
      </c>
      <c r="I515" s="244">
        <v>0</v>
      </c>
      <c r="J515" s="242">
        <f>Table47[[#This Row],[ทดแทนจำนวน]]+Table47[[#This Row],[เพิ่มประสิทธิภาพจำนวน]]</f>
        <v>1</v>
      </c>
      <c r="K515" s="245">
        <v>1207900</v>
      </c>
      <c r="L515" s="248" t="s">
        <v>589</v>
      </c>
    </row>
    <row r="516" spans="1:12">
      <c r="A516" s="246" t="s">
        <v>1826</v>
      </c>
      <c r="B516" s="244">
        <v>2570</v>
      </c>
      <c r="C516" s="241" t="s">
        <v>447</v>
      </c>
      <c r="D516" s="241" t="s">
        <v>527</v>
      </c>
      <c r="E516" s="244" t="s">
        <v>683</v>
      </c>
      <c r="F516" s="244" t="s">
        <v>322</v>
      </c>
      <c r="G516" s="244" t="s">
        <v>320</v>
      </c>
      <c r="H516" s="244">
        <v>1</v>
      </c>
      <c r="I516" s="244">
        <v>0</v>
      </c>
      <c r="J516" s="242">
        <f>Table47[[#This Row],[ทดแทนจำนวน]]+Table47[[#This Row],[เพิ่มประสิทธิภาพจำนวน]]</f>
        <v>1</v>
      </c>
      <c r="K516" s="245">
        <v>1207900</v>
      </c>
      <c r="L516" s="248" t="s">
        <v>589</v>
      </c>
    </row>
    <row r="517" spans="1:12">
      <c r="A517" s="246" t="s">
        <v>1827</v>
      </c>
      <c r="B517" s="244">
        <v>2570</v>
      </c>
      <c r="C517" s="241" t="s">
        <v>447</v>
      </c>
      <c r="D517" s="241" t="s">
        <v>527</v>
      </c>
      <c r="E517" s="244" t="s">
        <v>683</v>
      </c>
      <c r="F517" s="244" t="s">
        <v>124</v>
      </c>
      <c r="G517" s="244" t="s">
        <v>122</v>
      </c>
      <c r="H517" s="244">
        <v>1</v>
      </c>
      <c r="I517" s="244">
        <v>0</v>
      </c>
      <c r="J517" s="242">
        <f>Table47[[#This Row],[ทดแทนจำนวน]]+Table47[[#This Row],[เพิ่มประสิทธิภาพจำนวน]]</f>
        <v>1</v>
      </c>
      <c r="K517" s="245">
        <v>1207900</v>
      </c>
      <c r="L517" s="248" t="s">
        <v>589</v>
      </c>
    </row>
    <row r="518" spans="1:12">
      <c r="A518" s="246" t="s">
        <v>1828</v>
      </c>
      <c r="B518" s="244">
        <v>2570</v>
      </c>
      <c r="C518" s="241" t="s">
        <v>447</v>
      </c>
      <c r="D518" s="241" t="s">
        <v>527</v>
      </c>
      <c r="E518" s="244" t="s">
        <v>683</v>
      </c>
      <c r="F518" s="244" t="s">
        <v>385</v>
      </c>
      <c r="G518" s="244" t="s">
        <v>383</v>
      </c>
      <c r="H518" s="244">
        <v>1</v>
      </c>
      <c r="I518" s="244">
        <v>0</v>
      </c>
      <c r="J518" s="242">
        <f>Table47[[#This Row],[ทดแทนจำนวน]]+Table47[[#This Row],[เพิ่มประสิทธิภาพจำนวน]]</f>
        <v>1</v>
      </c>
      <c r="K518" s="245">
        <v>1207900</v>
      </c>
      <c r="L518" s="248" t="s">
        <v>589</v>
      </c>
    </row>
    <row r="519" spans="1:12">
      <c r="A519" s="246" t="s">
        <v>1829</v>
      </c>
      <c r="B519" s="244">
        <v>2570</v>
      </c>
      <c r="C519" s="241" t="s">
        <v>447</v>
      </c>
      <c r="D519" s="241" t="s">
        <v>527</v>
      </c>
      <c r="E519" s="244" t="s">
        <v>683</v>
      </c>
      <c r="F519" s="244" t="s">
        <v>399</v>
      </c>
      <c r="G519" s="244" t="s">
        <v>397</v>
      </c>
      <c r="H519" s="244">
        <v>1</v>
      </c>
      <c r="I519" s="244">
        <v>0</v>
      </c>
      <c r="J519" s="242">
        <f>Table47[[#This Row],[ทดแทนจำนวน]]+Table47[[#This Row],[เพิ่มประสิทธิภาพจำนวน]]</f>
        <v>1</v>
      </c>
      <c r="K519" s="245">
        <v>1207900</v>
      </c>
      <c r="L519" s="248" t="s">
        <v>589</v>
      </c>
    </row>
    <row r="520" spans="1:12">
      <c r="A520" s="246" t="s">
        <v>1830</v>
      </c>
      <c r="B520" s="244">
        <v>2570</v>
      </c>
      <c r="C520" s="241" t="s">
        <v>447</v>
      </c>
      <c r="D520" s="241" t="s">
        <v>527</v>
      </c>
      <c r="E520" s="244" t="s">
        <v>683</v>
      </c>
      <c r="F520" s="244" t="s">
        <v>132</v>
      </c>
      <c r="G520" s="244" t="s">
        <v>130</v>
      </c>
      <c r="H520" s="244">
        <v>1</v>
      </c>
      <c r="I520" s="244">
        <v>0</v>
      </c>
      <c r="J520" s="242">
        <f>Table47[[#This Row],[ทดแทนจำนวน]]+Table47[[#This Row],[เพิ่มประสิทธิภาพจำนวน]]</f>
        <v>1</v>
      </c>
      <c r="K520" s="245">
        <v>1207900</v>
      </c>
      <c r="L520" s="248" t="s">
        <v>589</v>
      </c>
    </row>
    <row r="521" spans="1:12">
      <c r="A521" s="246" t="s">
        <v>1831</v>
      </c>
      <c r="B521" s="244">
        <v>2570</v>
      </c>
      <c r="C521" s="241" t="s">
        <v>447</v>
      </c>
      <c r="D521" s="241" t="s">
        <v>527</v>
      </c>
      <c r="E521" s="244" t="s">
        <v>683</v>
      </c>
      <c r="F521" s="244" t="s">
        <v>33</v>
      </c>
      <c r="G521" s="244" t="s">
        <v>672</v>
      </c>
      <c r="H521" s="244">
        <v>1</v>
      </c>
      <c r="I521" s="244">
        <v>0</v>
      </c>
      <c r="J521" s="242">
        <f>Table47[[#This Row],[ทดแทนจำนวน]]+Table47[[#This Row],[เพิ่มประสิทธิภาพจำนวน]]</f>
        <v>1</v>
      </c>
      <c r="K521" s="245">
        <v>1207900</v>
      </c>
      <c r="L521" s="248" t="s">
        <v>589</v>
      </c>
    </row>
    <row r="522" spans="1:12">
      <c r="A522" s="246" t="s">
        <v>1832</v>
      </c>
      <c r="B522" s="244">
        <v>2570</v>
      </c>
      <c r="C522" s="241" t="s">
        <v>447</v>
      </c>
      <c r="D522" s="241" t="s">
        <v>527</v>
      </c>
      <c r="E522" s="244" t="s">
        <v>683</v>
      </c>
      <c r="F522" s="244" t="s">
        <v>455</v>
      </c>
      <c r="G522" s="244" t="s">
        <v>443</v>
      </c>
      <c r="H522" s="244">
        <v>1</v>
      </c>
      <c r="I522" s="244">
        <v>0</v>
      </c>
      <c r="J522" s="242">
        <f>Table47[[#This Row],[ทดแทนจำนวน]]+Table47[[#This Row],[เพิ่มประสิทธิภาพจำนวน]]</f>
        <v>1</v>
      </c>
      <c r="K522" s="245">
        <v>1207900</v>
      </c>
      <c r="L522" s="248" t="s">
        <v>589</v>
      </c>
    </row>
    <row r="523" spans="1:12">
      <c r="A523" s="246" t="s">
        <v>1833</v>
      </c>
      <c r="B523" s="244">
        <v>2570</v>
      </c>
      <c r="C523" s="241" t="s">
        <v>447</v>
      </c>
      <c r="D523" s="241" t="s">
        <v>527</v>
      </c>
      <c r="E523" s="244" t="s">
        <v>683</v>
      </c>
      <c r="F523" s="244" t="s">
        <v>300</v>
      </c>
      <c r="G523" s="244" t="s">
        <v>298</v>
      </c>
      <c r="H523" s="244">
        <v>0</v>
      </c>
      <c r="I523" s="244">
        <v>1</v>
      </c>
      <c r="J523" s="242">
        <f>Table47[[#This Row],[ทดแทนจำนวน]]+Table47[[#This Row],[เพิ่มประสิทธิภาพจำนวน]]</f>
        <v>1</v>
      </c>
      <c r="K523" s="245">
        <v>1207900</v>
      </c>
      <c r="L523" s="248" t="s">
        <v>1941</v>
      </c>
    </row>
    <row r="524" spans="1:12">
      <c r="A524" s="246" t="s">
        <v>1834</v>
      </c>
      <c r="B524" s="244">
        <v>2570</v>
      </c>
      <c r="C524" s="241" t="s">
        <v>447</v>
      </c>
      <c r="D524" s="241" t="s">
        <v>527</v>
      </c>
      <c r="E524" s="244" t="s">
        <v>680</v>
      </c>
      <c r="F524" s="244" t="s">
        <v>50</v>
      </c>
      <c r="G524" s="244" t="s">
        <v>679</v>
      </c>
      <c r="H524" s="244">
        <v>0</v>
      </c>
      <c r="I524" s="244">
        <v>1</v>
      </c>
      <c r="J524" s="242">
        <f>Table47[[#This Row],[ทดแทนจำนวน]]+Table47[[#This Row],[เพิ่มประสิทธิภาพจำนวน]]</f>
        <v>1</v>
      </c>
      <c r="K524" s="245">
        <v>1477000</v>
      </c>
      <c r="L524" s="248" t="s">
        <v>1941</v>
      </c>
    </row>
    <row r="525" spans="1:12">
      <c r="A525" s="246" t="s">
        <v>1835</v>
      </c>
      <c r="B525" s="244">
        <v>2570</v>
      </c>
      <c r="C525" s="241" t="s">
        <v>447</v>
      </c>
      <c r="D525" s="241" t="s">
        <v>527</v>
      </c>
      <c r="E525" s="244" t="s">
        <v>677</v>
      </c>
      <c r="F525" s="244" t="s">
        <v>280</v>
      </c>
      <c r="G525" s="244" t="s">
        <v>278</v>
      </c>
      <c r="H525" s="244">
        <v>0</v>
      </c>
      <c r="I525" s="244">
        <v>1</v>
      </c>
      <c r="J525" s="242">
        <f>Table47[[#This Row],[ทดแทนจำนวน]]+Table47[[#This Row],[เพิ่มประสิทธิภาพจำนวน]]</f>
        <v>1</v>
      </c>
      <c r="K525" s="245">
        <v>1664000</v>
      </c>
      <c r="L525" s="248" t="s">
        <v>1941</v>
      </c>
    </row>
    <row r="526" spans="1:12">
      <c r="A526" s="246" t="s">
        <v>1836</v>
      </c>
      <c r="B526" s="244">
        <v>2570</v>
      </c>
      <c r="C526" s="241" t="s">
        <v>447</v>
      </c>
      <c r="D526" s="241" t="s">
        <v>527</v>
      </c>
      <c r="E526" s="244" t="s">
        <v>675</v>
      </c>
      <c r="F526" s="244" t="s">
        <v>53</v>
      </c>
      <c r="G526" s="244" t="s">
        <v>51</v>
      </c>
      <c r="H526" s="244">
        <v>1</v>
      </c>
      <c r="I526" s="244">
        <v>0</v>
      </c>
      <c r="J526" s="242">
        <f>Table47[[#This Row],[ทดแทนจำนวน]]+Table47[[#This Row],[เพิ่มประสิทธิภาพจำนวน]]</f>
        <v>1</v>
      </c>
      <c r="K526" s="245">
        <v>52000</v>
      </c>
      <c r="L526" s="248" t="s">
        <v>589</v>
      </c>
    </row>
    <row r="527" spans="1:12">
      <c r="A527" s="246" t="s">
        <v>1837</v>
      </c>
      <c r="B527" s="244">
        <v>2570</v>
      </c>
      <c r="C527" s="241" t="s">
        <v>447</v>
      </c>
      <c r="D527" s="241" t="s">
        <v>527</v>
      </c>
      <c r="E527" s="244" t="s">
        <v>665</v>
      </c>
      <c r="F527" s="244" t="s">
        <v>33</v>
      </c>
      <c r="G527" s="244" t="s">
        <v>672</v>
      </c>
      <c r="H527" s="244">
        <v>1</v>
      </c>
      <c r="I527" s="244">
        <v>0</v>
      </c>
      <c r="J527" s="242">
        <f>Table47[[#This Row],[ทดแทนจำนวน]]+Table47[[#This Row],[เพิ่มประสิทธิภาพจำนวน]]</f>
        <v>1</v>
      </c>
      <c r="K527" s="245">
        <v>60100</v>
      </c>
      <c r="L527" s="248" t="s">
        <v>589</v>
      </c>
    </row>
    <row r="528" spans="1:12">
      <c r="A528" s="246" t="s">
        <v>1838</v>
      </c>
      <c r="B528" s="244">
        <v>2570</v>
      </c>
      <c r="C528" s="241" t="s">
        <v>447</v>
      </c>
      <c r="D528" s="241" t="s">
        <v>527</v>
      </c>
      <c r="E528" s="244" t="s">
        <v>665</v>
      </c>
      <c r="F528" s="244" t="s">
        <v>389</v>
      </c>
      <c r="G528" s="244" t="s">
        <v>387</v>
      </c>
      <c r="H528" s="244">
        <v>1</v>
      </c>
      <c r="I528" s="244">
        <v>0</v>
      </c>
      <c r="J528" s="242">
        <f>Table47[[#This Row],[ทดแทนจำนวน]]+Table47[[#This Row],[เพิ่มประสิทธิภาพจำนวน]]</f>
        <v>1</v>
      </c>
      <c r="K528" s="245">
        <v>60100</v>
      </c>
      <c r="L528" s="248" t="s">
        <v>589</v>
      </c>
    </row>
    <row r="529" spans="1:12">
      <c r="A529" s="246" t="s">
        <v>1839</v>
      </c>
      <c r="B529" s="244">
        <v>2570</v>
      </c>
      <c r="C529" s="241" t="s">
        <v>447</v>
      </c>
      <c r="D529" s="241" t="s">
        <v>527</v>
      </c>
      <c r="E529" s="244" t="s">
        <v>665</v>
      </c>
      <c r="F529" s="244" t="s">
        <v>464</v>
      </c>
      <c r="G529" s="244" t="s">
        <v>437</v>
      </c>
      <c r="H529" s="244">
        <v>1</v>
      </c>
      <c r="I529" s="244">
        <v>0</v>
      </c>
      <c r="J529" s="242">
        <f>Table47[[#This Row],[ทดแทนจำนวน]]+Table47[[#This Row],[เพิ่มประสิทธิภาพจำนวน]]</f>
        <v>1</v>
      </c>
      <c r="K529" s="245">
        <v>60100</v>
      </c>
      <c r="L529" s="248" t="s">
        <v>589</v>
      </c>
    </row>
    <row r="530" spans="1:12">
      <c r="A530" s="246" t="s">
        <v>1840</v>
      </c>
      <c r="B530" s="244">
        <v>2570</v>
      </c>
      <c r="C530" s="241" t="s">
        <v>447</v>
      </c>
      <c r="D530" s="241" t="s">
        <v>479</v>
      </c>
      <c r="E530" s="244" t="s">
        <v>662</v>
      </c>
      <c r="F530" s="244" t="s">
        <v>77</v>
      </c>
      <c r="G530" s="244" t="s">
        <v>64</v>
      </c>
      <c r="H530" s="244">
        <v>687</v>
      </c>
      <c r="I530" s="244">
        <v>0</v>
      </c>
      <c r="J530" s="242">
        <f>Table47[[#This Row],[ทดแทนจำนวน]]+Table47[[#This Row],[เพิ่มประสิทธิภาพจำนวน]]</f>
        <v>687</v>
      </c>
      <c r="K530" s="245">
        <v>21090900</v>
      </c>
      <c r="L530" s="248" t="s">
        <v>589</v>
      </c>
    </row>
    <row r="531" spans="1:12">
      <c r="A531" s="246" t="s">
        <v>1841</v>
      </c>
      <c r="B531" s="244">
        <v>2570</v>
      </c>
      <c r="C531" s="241" t="s">
        <v>447</v>
      </c>
      <c r="D531" s="241" t="s">
        <v>479</v>
      </c>
      <c r="E531" s="244" t="s">
        <v>660</v>
      </c>
      <c r="F531" s="244" t="s">
        <v>77</v>
      </c>
      <c r="G531" s="244" t="s">
        <v>64</v>
      </c>
      <c r="H531" s="244">
        <v>219</v>
      </c>
      <c r="I531" s="244">
        <v>0</v>
      </c>
      <c r="J531" s="242">
        <f>Table47[[#This Row],[ทดแทนจำนวน]]+Table47[[#This Row],[เพิ่มประสิทธิภาพจำนวน]]</f>
        <v>219</v>
      </c>
      <c r="K531" s="245">
        <v>6175800</v>
      </c>
      <c r="L531" s="248" t="s">
        <v>589</v>
      </c>
    </row>
    <row r="532" spans="1:12">
      <c r="A532" s="246" t="s">
        <v>1842</v>
      </c>
      <c r="B532" s="244">
        <v>2570</v>
      </c>
      <c r="C532" s="241" t="s">
        <v>447</v>
      </c>
      <c r="D532" s="241" t="s">
        <v>479</v>
      </c>
      <c r="E532" s="244" t="s">
        <v>659</v>
      </c>
      <c r="F532" s="244" t="s">
        <v>77</v>
      </c>
      <c r="G532" s="244" t="s">
        <v>64</v>
      </c>
      <c r="H532" s="244">
        <v>168</v>
      </c>
      <c r="I532" s="244">
        <v>0</v>
      </c>
      <c r="J532" s="242">
        <f>Table47[[#This Row],[ทดแทนจำนวน]]+Table47[[#This Row],[เพิ่มประสิทธิภาพจำนวน]]</f>
        <v>168</v>
      </c>
      <c r="K532" s="245">
        <v>1495200</v>
      </c>
      <c r="L532" s="248" t="s">
        <v>589</v>
      </c>
    </row>
    <row r="533" spans="1:12">
      <c r="A533" s="246" t="s">
        <v>1843</v>
      </c>
      <c r="B533" s="244">
        <v>2570</v>
      </c>
      <c r="C533" s="241" t="s">
        <v>447</v>
      </c>
      <c r="D533" s="241" t="s">
        <v>479</v>
      </c>
      <c r="E533" s="244" t="s">
        <v>658</v>
      </c>
      <c r="F533" s="244" t="s">
        <v>77</v>
      </c>
      <c r="G533" s="244" t="s">
        <v>64</v>
      </c>
      <c r="H533" s="244">
        <v>3</v>
      </c>
      <c r="I533" s="244">
        <v>0</v>
      </c>
      <c r="J533" s="242">
        <f>Table47[[#This Row],[ทดแทนจำนวน]]+Table47[[#This Row],[เพิ่มประสิทธิภาพจำนวน]]</f>
        <v>3</v>
      </c>
      <c r="K533" s="245">
        <v>33000</v>
      </c>
      <c r="L533" s="248" t="s">
        <v>589</v>
      </c>
    </row>
    <row r="534" spans="1:12">
      <c r="A534" s="246" t="s">
        <v>1844</v>
      </c>
      <c r="B534" s="244">
        <v>2570</v>
      </c>
      <c r="C534" s="241" t="s">
        <v>447</v>
      </c>
      <c r="D534" s="241" t="s">
        <v>479</v>
      </c>
      <c r="E534" s="244" t="s">
        <v>657</v>
      </c>
      <c r="F534" s="244" t="s">
        <v>77</v>
      </c>
      <c r="G534" s="244" t="s">
        <v>64</v>
      </c>
      <c r="H534" s="244">
        <v>1</v>
      </c>
      <c r="I534" s="244">
        <v>0</v>
      </c>
      <c r="J534" s="242">
        <f>Table47[[#This Row],[ทดแทนจำนวน]]+Table47[[#This Row],[เพิ่มประสิทธิภาพจำนวน]]</f>
        <v>1</v>
      </c>
      <c r="K534" s="245">
        <v>4100</v>
      </c>
      <c r="L534" s="248" t="s">
        <v>589</v>
      </c>
    </row>
    <row r="535" spans="1:12">
      <c r="A535" s="246" t="s">
        <v>1845</v>
      </c>
      <c r="B535" s="244">
        <v>2570</v>
      </c>
      <c r="C535" s="241" t="s">
        <v>447</v>
      </c>
      <c r="D535" s="241" t="s">
        <v>479</v>
      </c>
      <c r="E535" s="244" t="s">
        <v>656</v>
      </c>
      <c r="F535" s="244" t="s">
        <v>77</v>
      </c>
      <c r="G535" s="244" t="s">
        <v>64</v>
      </c>
      <c r="H535" s="244">
        <v>34</v>
      </c>
      <c r="I535" s="244">
        <v>0</v>
      </c>
      <c r="J535" s="242">
        <f>Table47[[#This Row],[ทดแทนจำนวน]]+Table47[[#This Row],[เพิ่มประสิทธิภาพจำนวน]]</f>
        <v>34</v>
      </c>
      <c r="K535" s="245">
        <v>544000</v>
      </c>
      <c r="L535" s="248" t="s">
        <v>589</v>
      </c>
    </row>
    <row r="536" spans="1:12">
      <c r="A536" s="246" t="s">
        <v>1846</v>
      </c>
      <c r="B536" s="244">
        <v>2570</v>
      </c>
      <c r="C536" s="241" t="s">
        <v>447</v>
      </c>
      <c r="D536" s="241" t="s">
        <v>479</v>
      </c>
      <c r="E536" s="244" t="s">
        <v>655</v>
      </c>
      <c r="F536" s="244" t="s">
        <v>77</v>
      </c>
      <c r="G536" s="244" t="s">
        <v>64</v>
      </c>
      <c r="H536" s="244">
        <v>20</v>
      </c>
      <c r="I536" s="244">
        <v>0</v>
      </c>
      <c r="J536" s="242">
        <f>Table47[[#This Row],[ทดแทนจำนวน]]+Table47[[#This Row],[เพิ่มประสิทธิภาพจำนวน]]</f>
        <v>20</v>
      </c>
      <c r="K536" s="245">
        <v>520000</v>
      </c>
      <c r="L536" s="248" t="s">
        <v>589</v>
      </c>
    </row>
    <row r="537" spans="1:12">
      <c r="A537" s="246" t="s">
        <v>1847</v>
      </c>
      <c r="B537" s="244">
        <v>2570</v>
      </c>
      <c r="C537" s="241" t="s">
        <v>447</v>
      </c>
      <c r="D537" s="241" t="s">
        <v>479</v>
      </c>
      <c r="E537" s="244" t="s">
        <v>654</v>
      </c>
      <c r="F537" s="244" t="s">
        <v>77</v>
      </c>
      <c r="G537" s="244" t="s">
        <v>64</v>
      </c>
      <c r="H537" s="244">
        <v>20</v>
      </c>
      <c r="I537" s="244">
        <v>0</v>
      </c>
      <c r="J537" s="242">
        <f>Table47[[#This Row],[ทดแทนจำนวน]]+Table47[[#This Row],[เพิ่มประสิทธิภาพจำนวน]]</f>
        <v>20</v>
      </c>
      <c r="K537" s="245">
        <v>440000</v>
      </c>
      <c r="L537" s="248" t="s">
        <v>589</v>
      </c>
    </row>
    <row r="538" spans="1:12">
      <c r="A538" s="246" t="s">
        <v>1848</v>
      </c>
      <c r="B538" s="244">
        <v>2570</v>
      </c>
      <c r="C538" s="241" t="s">
        <v>447</v>
      </c>
      <c r="D538" s="241" t="s">
        <v>479</v>
      </c>
      <c r="E538" s="244" t="s">
        <v>653</v>
      </c>
      <c r="F538" s="244" t="s">
        <v>77</v>
      </c>
      <c r="G538" s="244" t="s">
        <v>64</v>
      </c>
      <c r="H538" s="244">
        <v>906</v>
      </c>
      <c r="I538" s="244">
        <v>0</v>
      </c>
      <c r="J538" s="242">
        <f>Table47[[#This Row],[ทดแทนจำนวน]]+Table47[[#This Row],[เพิ่มประสิทธิภาพจำนวน]]</f>
        <v>906</v>
      </c>
      <c r="K538" s="245">
        <v>4077000</v>
      </c>
      <c r="L538" s="248" t="s">
        <v>589</v>
      </c>
    </row>
    <row r="539" spans="1:12">
      <c r="A539" s="246" t="s">
        <v>1849</v>
      </c>
      <c r="B539" s="244">
        <v>2570</v>
      </c>
      <c r="C539" s="241" t="s">
        <v>447</v>
      </c>
      <c r="D539" s="241" t="s">
        <v>479</v>
      </c>
      <c r="E539" s="244" t="s">
        <v>652</v>
      </c>
      <c r="F539" s="244" t="s">
        <v>77</v>
      </c>
      <c r="G539" s="244" t="s">
        <v>64</v>
      </c>
      <c r="H539" s="244">
        <v>22</v>
      </c>
      <c r="I539" s="244">
        <v>0</v>
      </c>
      <c r="J539" s="242">
        <f>Table47[[#This Row],[ทดแทนจำนวน]]+Table47[[#This Row],[เพิ่มประสิทธิภาพจำนวน]]</f>
        <v>22</v>
      </c>
      <c r="K539" s="245">
        <v>7700000</v>
      </c>
      <c r="L539" s="248" t="s">
        <v>589</v>
      </c>
    </row>
    <row r="540" spans="1:12">
      <c r="A540" s="246" t="s">
        <v>1850</v>
      </c>
      <c r="B540" s="244">
        <v>2570</v>
      </c>
      <c r="C540" s="241" t="s">
        <v>447</v>
      </c>
      <c r="D540" s="241" t="s">
        <v>479</v>
      </c>
      <c r="E540" s="244" t="s">
        <v>649</v>
      </c>
      <c r="F540" s="244" t="s">
        <v>77</v>
      </c>
      <c r="G540" s="244" t="s">
        <v>64</v>
      </c>
      <c r="H540" s="244">
        <v>1</v>
      </c>
      <c r="I540" s="244">
        <v>0</v>
      </c>
      <c r="J540" s="242">
        <f>Table47[[#This Row],[ทดแทนจำนวน]]+Table47[[#This Row],[เพิ่มประสิทธิภาพจำนวน]]</f>
        <v>1</v>
      </c>
      <c r="K540" s="245">
        <v>570000</v>
      </c>
      <c r="L540" s="248" t="s">
        <v>589</v>
      </c>
    </row>
    <row r="541" spans="1:12">
      <c r="A541" s="246" t="s">
        <v>1851</v>
      </c>
      <c r="B541" s="244">
        <v>2570</v>
      </c>
      <c r="C541" s="241" t="s">
        <v>447</v>
      </c>
      <c r="D541" s="241" t="s">
        <v>479</v>
      </c>
      <c r="E541" s="244" t="s">
        <v>648</v>
      </c>
      <c r="F541" s="244" t="s">
        <v>77</v>
      </c>
      <c r="G541" s="244" t="s">
        <v>64</v>
      </c>
      <c r="H541" s="244">
        <v>16</v>
      </c>
      <c r="I541" s="244">
        <v>0</v>
      </c>
      <c r="J541" s="242">
        <f>Table47[[#This Row],[ทดแทนจำนวน]]+Table47[[#This Row],[เพิ่มประสิทธิภาพจำนวน]]</f>
        <v>16</v>
      </c>
      <c r="K541" s="245">
        <v>208000</v>
      </c>
      <c r="L541" s="248" t="s">
        <v>589</v>
      </c>
    </row>
    <row r="542" spans="1:12">
      <c r="A542" s="246" t="s">
        <v>1852</v>
      </c>
      <c r="B542" s="244">
        <v>2570</v>
      </c>
      <c r="C542" s="241" t="s">
        <v>447</v>
      </c>
      <c r="D542" s="241" t="s">
        <v>479</v>
      </c>
      <c r="E542" s="244" t="s">
        <v>647</v>
      </c>
      <c r="F542" s="244" t="s">
        <v>77</v>
      </c>
      <c r="G542" s="244" t="s">
        <v>64</v>
      </c>
      <c r="H542" s="244">
        <v>2</v>
      </c>
      <c r="I542" s="244">
        <v>0</v>
      </c>
      <c r="J542" s="242">
        <f>Table47[[#This Row],[ทดแทนจำนวน]]+Table47[[#This Row],[เพิ่มประสิทธิภาพจำนวน]]</f>
        <v>2</v>
      </c>
      <c r="K542" s="245">
        <v>1000000</v>
      </c>
      <c r="L542" s="248" t="s">
        <v>589</v>
      </c>
    </row>
    <row r="543" spans="1:12">
      <c r="A543" s="246" t="s">
        <v>1853</v>
      </c>
      <c r="B543" s="244">
        <v>2570</v>
      </c>
      <c r="C543" s="241" t="s">
        <v>447</v>
      </c>
      <c r="D543" s="241" t="s">
        <v>479</v>
      </c>
      <c r="E543" s="244" t="s">
        <v>646</v>
      </c>
      <c r="F543" s="244" t="s">
        <v>77</v>
      </c>
      <c r="G543" s="244" t="s">
        <v>64</v>
      </c>
      <c r="H543" s="244">
        <v>25</v>
      </c>
      <c r="I543" s="244">
        <v>0</v>
      </c>
      <c r="J543" s="242">
        <f>Table47[[#This Row],[ทดแทนจำนวน]]+Table47[[#This Row],[เพิ่มประสิทธิภาพจำนวน]]</f>
        <v>25</v>
      </c>
      <c r="K543" s="245">
        <v>525000</v>
      </c>
      <c r="L543" s="248" t="s">
        <v>589</v>
      </c>
    </row>
    <row r="544" spans="1:12">
      <c r="A544" s="246" t="s">
        <v>1854</v>
      </c>
      <c r="B544" s="244">
        <v>2570</v>
      </c>
      <c r="C544" s="241" t="s">
        <v>447</v>
      </c>
      <c r="D544" s="241" t="s">
        <v>479</v>
      </c>
      <c r="E544" s="244" t="s">
        <v>645</v>
      </c>
      <c r="F544" s="244" t="s">
        <v>77</v>
      </c>
      <c r="G544" s="244" t="s">
        <v>64</v>
      </c>
      <c r="H544" s="244">
        <v>704</v>
      </c>
      <c r="I544" s="244">
        <v>0</v>
      </c>
      <c r="J544" s="242">
        <f>Table47[[#This Row],[ทดแทนจำนวน]]+Table47[[#This Row],[เพิ่มประสิทธิภาพจำนวน]]</f>
        <v>704</v>
      </c>
      <c r="K544" s="245">
        <v>4224000</v>
      </c>
      <c r="L544" s="248" t="s">
        <v>589</v>
      </c>
    </row>
    <row r="545" spans="1:12">
      <c r="A545" s="246" t="s">
        <v>1855</v>
      </c>
      <c r="B545" s="244">
        <v>2570</v>
      </c>
      <c r="C545" s="241" t="s">
        <v>447</v>
      </c>
      <c r="D545" s="241" t="s">
        <v>555</v>
      </c>
      <c r="E545" s="244" t="s">
        <v>643</v>
      </c>
      <c r="F545" s="244" t="s">
        <v>117</v>
      </c>
      <c r="G545" s="244" t="s">
        <v>110</v>
      </c>
      <c r="H545" s="244">
        <v>0</v>
      </c>
      <c r="I545" s="244">
        <v>1</v>
      </c>
      <c r="J545" s="242">
        <f>Table47[[#This Row],[ทดแทนจำนวน]]+Table47[[#This Row],[เพิ่มประสิทธิภาพจำนวน]]</f>
        <v>1</v>
      </c>
      <c r="K545" s="245">
        <v>25200</v>
      </c>
      <c r="L545" s="248" t="s">
        <v>1941</v>
      </c>
    </row>
    <row r="546" spans="1:12">
      <c r="A546" s="246" t="s">
        <v>1856</v>
      </c>
      <c r="B546" s="244">
        <v>2570</v>
      </c>
      <c r="C546" s="241" t="s">
        <v>447</v>
      </c>
      <c r="D546" s="241" t="s">
        <v>555</v>
      </c>
      <c r="E546" s="244" t="s">
        <v>642</v>
      </c>
      <c r="F546" s="244" t="s">
        <v>117</v>
      </c>
      <c r="G546" s="244" t="s">
        <v>110</v>
      </c>
      <c r="H546" s="244">
        <v>0</v>
      </c>
      <c r="I546" s="244">
        <v>4</v>
      </c>
      <c r="J546" s="242">
        <f>Table47[[#This Row],[ทดแทนจำนวน]]+Table47[[#This Row],[เพิ่มประสิทธิภาพจำนวน]]</f>
        <v>4</v>
      </c>
      <c r="K546" s="245">
        <v>41200</v>
      </c>
      <c r="L546" s="248" t="s">
        <v>1941</v>
      </c>
    </row>
    <row r="547" spans="1:12">
      <c r="A547" s="246" t="s">
        <v>1857</v>
      </c>
      <c r="B547" s="244">
        <v>2570</v>
      </c>
      <c r="C547" s="241" t="s">
        <v>447</v>
      </c>
      <c r="D547" s="241" t="s">
        <v>555</v>
      </c>
      <c r="E547" s="244" t="s">
        <v>641</v>
      </c>
      <c r="F547" s="244" t="s">
        <v>117</v>
      </c>
      <c r="G547" s="244" t="s">
        <v>110</v>
      </c>
      <c r="H547" s="244">
        <v>0</v>
      </c>
      <c r="I547" s="244">
        <v>26</v>
      </c>
      <c r="J547" s="242">
        <f>Table47[[#This Row],[ทดแทนจำนวน]]+Table47[[#This Row],[เพิ่มประสิทธิภาพจำนวน]]</f>
        <v>26</v>
      </c>
      <c r="K547" s="245">
        <v>291200</v>
      </c>
      <c r="L547" s="248" t="s">
        <v>1941</v>
      </c>
    </row>
    <row r="548" spans="1:12">
      <c r="A548" s="246" t="s">
        <v>1858</v>
      </c>
      <c r="B548" s="244">
        <v>2570</v>
      </c>
      <c r="C548" s="241" t="s">
        <v>447</v>
      </c>
      <c r="D548" s="241" t="s">
        <v>555</v>
      </c>
      <c r="E548" s="244" t="s">
        <v>640</v>
      </c>
      <c r="F548" s="244" t="s">
        <v>117</v>
      </c>
      <c r="G548" s="244" t="s">
        <v>110</v>
      </c>
      <c r="H548" s="244">
        <v>0</v>
      </c>
      <c r="I548" s="244">
        <v>1</v>
      </c>
      <c r="J548" s="242">
        <f>Table47[[#This Row],[ทดแทนจำนวน]]+Table47[[#This Row],[เพิ่มประสิทธิภาพจำนวน]]</f>
        <v>1</v>
      </c>
      <c r="K548" s="245">
        <v>455000</v>
      </c>
      <c r="L548" s="248" t="s">
        <v>1941</v>
      </c>
    </row>
    <row r="549" spans="1:12">
      <c r="A549" s="246" t="s">
        <v>1859</v>
      </c>
      <c r="B549" s="244">
        <v>2570</v>
      </c>
      <c r="C549" s="241" t="s">
        <v>447</v>
      </c>
      <c r="D549" s="241" t="s">
        <v>555</v>
      </c>
      <c r="E549" s="244" t="s">
        <v>639</v>
      </c>
      <c r="F549" s="244" t="s">
        <v>117</v>
      </c>
      <c r="G549" s="244" t="s">
        <v>110</v>
      </c>
      <c r="H549" s="244">
        <v>0</v>
      </c>
      <c r="I549" s="244">
        <v>1</v>
      </c>
      <c r="J549" s="242">
        <f>Table47[[#This Row],[ทดแทนจำนวน]]+Table47[[#This Row],[เพิ่มประสิทธิภาพจำนวน]]</f>
        <v>1</v>
      </c>
      <c r="K549" s="245">
        <v>50000</v>
      </c>
      <c r="L549" s="248" t="s">
        <v>1941</v>
      </c>
    </row>
    <row r="550" spans="1:12">
      <c r="A550" s="246" t="s">
        <v>1860</v>
      </c>
      <c r="B550" s="244">
        <v>2570</v>
      </c>
      <c r="C550" s="241" t="s">
        <v>447</v>
      </c>
      <c r="D550" s="241" t="s">
        <v>538</v>
      </c>
      <c r="E550" s="244" t="s">
        <v>638</v>
      </c>
      <c r="F550" s="244" t="s">
        <v>117</v>
      </c>
      <c r="G550" s="244" t="s">
        <v>110</v>
      </c>
      <c r="H550" s="244">
        <v>0</v>
      </c>
      <c r="I550" s="244">
        <v>250</v>
      </c>
      <c r="J550" s="242">
        <f>Table47[[#This Row],[ทดแทนจำนวน]]+Table47[[#This Row],[เพิ่มประสิทธิภาพจำนวน]]</f>
        <v>250</v>
      </c>
      <c r="K550" s="245">
        <v>222500</v>
      </c>
      <c r="L550" s="248" t="s">
        <v>1941</v>
      </c>
    </row>
    <row r="551" spans="1:12">
      <c r="A551" s="246" t="s">
        <v>1861</v>
      </c>
      <c r="B551" s="244">
        <v>2570</v>
      </c>
      <c r="C551" s="241" t="s">
        <v>447</v>
      </c>
      <c r="D551" s="241" t="s">
        <v>538</v>
      </c>
      <c r="E551" s="244" t="s">
        <v>637</v>
      </c>
      <c r="F551" s="244" t="s">
        <v>117</v>
      </c>
      <c r="G551" s="244" t="s">
        <v>110</v>
      </c>
      <c r="H551" s="244">
        <v>0</v>
      </c>
      <c r="I551" s="244">
        <v>60</v>
      </c>
      <c r="J551" s="242">
        <f>Table47[[#This Row],[ทดแทนจำนวน]]+Table47[[#This Row],[เพิ่มประสิทธิภาพจำนวน]]</f>
        <v>60</v>
      </c>
      <c r="K551" s="245">
        <v>138000</v>
      </c>
      <c r="L551" s="248" t="s">
        <v>1941</v>
      </c>
    </row>
    <row r="552" spans="1:12">
      <c r="A552" s="246" t="s">
        <v>1862</v>
      </c>
      <c r="B552" s="244">
        <v>2570</v>
      </c>
      <c r="C552" s="241" t="s">
        <v>447</v>
      </c>
      <c r="D552" s="241" t="s">
        <v>538</v>
      </c>
      <c r="E552" s="244" t="s">
        <v>635</v>
      </c>
      <c r="F552" s="244" t="s">
        <v>117</v>
      </c>
      <c r="G552" s="244" t="s">
        <v>110</v>
      </c>
      <c r="H552" s="244">
        <v>0</v>
      </c>
      <c r="I552" s="244">
        <v>100</v>
      </c>
      <c r="J552" s="242">
        <f>Table47[[#This Row],[ทดแทนจำนวน]]+Table47[[#This Row],[เพิ่มประสิทธิภาพจำนวน]]</f>
        <v>100</v>
      </c>
      <c r="K552" s="245">
        <v>335000</v>
      </c>
      <c r="L552" s="248" t="s">
        <v>1941</v>
      </c>
    </row>
    <row r="553" spans="1:12">
      <c r="A553" s="246" t="s">
        <v>1863</v>
      </c>
      <c r="B553" s="244">
        <v>2570</v>
      </c>
      <c r="C553" s="241" t="s">
        <v>447</v>
      </c>
      <c r="D553" s="241" t="s">
        <v>538</v>
      </c>
      <c r="E553" s="244" t="s">
        <v>634</v>
      </c>
      <c r="F553" s="244" t="s">
        <v>117</v>
      </c>
      <c r="G553" s="244" t="s">
        <v>110</v>
      </c>
      <c r="H553" s="244">
        <v>0</v>
      </c>
      <c r="I553" s="244">
        <v>100</v>
      </c>
      <c r="J553" s="242">
        <f>Table47[[#This Row],[ทดแทนจำนวน]]+Table47[[#This Row],[เพิ่มประสิทธิภาพจำนวน]]</f>
        <v>100</v>
      </c>
      <c r="K553" s="245">
        <v>340000</v>
      </c>
      <c r="L553" s="248" t="s">
        <v>1941</v>
      </c>
    </row>
    <row r="554" spans="1:12">
      <c r="A554" s="246" t="s">
        <v>1864</v>
      </c>
      <c r="B554" s="244">
        <v>2570</v>
      </c>
      <c r="C554" s="241" t="s">
        <v>447</v>
      </c>
      <c r="D554" s="241" t="s">
        <v>538</v>
      </c>
      <c r="E554" s="244" t="s">
        <v>633</v>
      </c>
      <c r="F554" s="244" t="s">
        <v>117</v>
      </c>
      <c r="G554" s="244" t="s">
        <v>110</v>
      </c>
      <c r="H554" s="244">
        <v>0</v>
      </c>
      <c r="I554" s="244">
        <v>100</v>
      </c>
      <c r="J554" s="242">
        <f>Table47[[#This Row],[ทดแทนจำนวน]]+Table47[[#This Row],[เพิ่มประสิทธิภาพจำนวน]]</f>
        <v>100</v>
      </c>
      <c r="K554" s="245">
        <v>400000</v>
      </c>
      <c r="L554" s="248" t="s">
        <v>1941</v>
      </c>
    </row>
    <row r="555" spans="1:12">
      <c r="A555" s="246" t="s">
        <v>1865</v>
      </c>
      <c r="B555" s="244">
        <v>2570</v>
      </c>
      <c r="C555" s="241" t="s">
        <v>447</v>
      </c>
      <c r="D555" s="241" t="s">
        <v>538</v>
      </c>
      <c r="E555" s="244" t="s">
        <v>632</v>
      </c>
      <c r="F555" s="244" t="s">
        <v>117</v>
      </c>
      <c r="G555" s="244" t="s">
        <v>110</v>
      </c>
      <c r="H555" s="244">
        <v>0</v>
      </c>
      <c r="I555" s="244">
        <v>100</v>
      </c>
      <c r="J555" s="242">
        <f>Table47[[#This Row],[ทดแทนจำนวน]]+Table47[[#This Row],[เพิ่มประสิทธิภาพจำนวน]]</f>
        <v>100</v>
      </c>
      <c r="K555" s="245">
        <v>60000</v>
      </c>
      <c r="L555" s="248" t="s">
        <v>1941</v>
      </c>
    </row>
    <row r="556" spans="1:12">
      <c r="A556" s="246" t="s">
        <v>1866</v>
      </c>
      <c r="B556" s="244">
        <v>2570</v>
      </c>
      <c r="C556" s="241" t="s">
        <v>447</v>
      </c>
      <c r="D556" s="241" t="s">
        <v>538</v>
      </c>
      <c r="E556" s="244" t="s">
        <v>631</v>
      </c>
      <c r="F556" s="244" t="s">
        <v>117</v>
      </c>
      <c r="G556" s="244" t="s">
        <v>110</v>
      </c>
      <c r="H556" s="244">
        <v>0</v>
      </c>
      <c r="I556" s="244">
        <v>100</v>
      </c>
      <c r="J556" s="242">
        <f>Table47[[#This Row],[ทดแทนจำนวน]]+Table47[[#This Row],[เพิ่มประสิทธิภาพจำนวน]]</f>
        <v>100</v>
      </c>
      <c r="K556" s="245">
        <v>38000</v>
      </c>
      <c r="L556" s="248" t="s">
        <v>1941</v>
      </c>
    </row>
    <row r="557" spans="1:12">
      <c r="A557" s="246" t="s">
        <v>1867</v>
      </c>
      <c r="B557" s="244">
        <v>2570</v>
      </c>
      <c r="C557" s="241" t="s">
        <v>447</v>
      </c>
      <c r="D557" s="241" t="s">
        <v>538</v>
      </c>
      <c r="E557" s="244" t="s">
        <v>630</v>
      </c>
      <c r="F557" s="244" t="s">
        <v>117</v>
      </c>
      <c r="G557" s="244" t="s">
        <v>110</v>
      </c>
      <c r="H557" s="244">
        <v>0</v>
      </c>
      <c r="I557" s="244">
        <v>100</v>
      </c>
      <c r="J557" s="242">
        <f>Table47[[#This Row],[ทดแทนจำนวน]]+Table47[[#This Row],[เพิ่มประสิทธิภาพจำนวน]]</f>
        <v>100</v>
      </c>
      <c r="K557" s="245">
        <v>680000</v>
      </c>
      <c r="L557" s="248" t="s">
        <v>1941</v>
      </c>
    </row>
    <row r="558" spans="1:12">
      <c r="A558" s="246" t="s">
        <v>1868</v>
      </c>
      <c r="B558" s="244">
        <v>2570</v>
      </c>
      <c r="C558" s="241" t="s">
        <v>447</v>
      </c>
      <c r="D558" s="241" t="s">
        <v>538</v>
      </c>
      <c r="E558" s="244" t="s">
        <v>627</v>
      </c>
      <c r="F558" s="244" t="s">
        <v>117</v>
      </c>
      <c r="G558" s="244" t="s">
        <v>110</v>
      </c>
      <c r="H558" s="244">
        <v>0</v>
      </c>
      <c r="I558" s="244">
        <v>6</v>
      </c>
      <c r="J558" s="242">
        <f>Table47[[#This Row],[ทดแทนจำนวน]]+Table47[[#This Row],[เพิ่มประสิทธิภาพจำนวน]]</f>
        <v>6</v>
      </c>
      <c r="K558" s="245">
        <v>138000</v>
      </c>
      <c r="L558" s="248" t="s">
        <v>1941</v>
      </c>
    </row>
    <row r="559" spans="1:12">
      <c r="A559" s="246" t="s">
        <v>1869</v>
      </c>
      <c r="B559" s="244">
        <v>2570</v>
      </c>
      <c r="C559" s="241" t="s">
        <v>447</v>
      </c>
      <c r="D559" s="241" t="s">
        <v>538</v>
      </c>
      <c r="E559" s="244" t="s">
        <v>626</v>
      </c>
      <c r="F559" s="244" t="s">
        <v>117</v>
      </c>
      <c r="G559" s="244" t="s">
        <v>110</v>
      </c>
      <c r="H559" s="244">
        <v>0</v>
      </c>
      <c r="I559" s="244">
        <v>3</v>
      </c>
      <c r="J559" s="242">
        <f>Table47[[#This Row],[ทดแทนจำนวน]]+Table47[[#This Row],[เพิ่มประสิทธิภาพจำนวน]]</f>
        <v>3</v>
      </c>
      <c r="K559" s="245">
        <v>72000</v>
      </c>
      <c r="L559" s="248" t="s">
        <v>1941</v>
      </c>
    </row>
    <row r="560" spans="1:12">
      <c r="A560" s="246" t="s">
        <v>1870</v>
      </c>
      <c r="B560" s="244">
        <v>2570</v>
      </c>
      <c r="C560" s="241" t="s">
        <v>447</v>
      </c>
      <c r="D560" s="241" t="s">
        <v>477</v>
      </c>
      <c r="E560" s="244" t="s">
        <v>624</v>
      </c>
      <c r="F560" s="244" t="s">
        <v>117</v>
      </c>
      <c r="G560" s="244" t="s">
        <v>110</v>
      </c>
      <c r="H560" s="244">
        <v>1</v>
      </c>
      <c r="I560" s="244">
        <v>1</v>
      </c>
      <c r="J560" s="242">
        <f>Table47[[#This Row],[ทดแทนจำนวน]]+Table47[[#This Row],[เพิ่มประสิทธิภาพจำนวน]]</f>
        <v>2</v>
      </c>
      <c r="K560" s="245">
        <v>97200</v>
      </c>
      <c r="L560" s="248" t="s">
        <v>1942</v>
      </c>
    </row>
    <row r="561" spans="1:12">
      <c r="A561" s="246" t="s">
        <v>1871</v>
      </c>
      <c r="B561" s="244">
        <v>2570</v>
      </c>
      <c r="C561" s="241" t="s">
        <v>447</v>
      </c>
      <c r="D561" s="241" t="s">
        <v>477</v>
      </c>
      <c r="E561" s="244" t="s">
        <v>623</v>
      </c>
      <c r="F561" s="244" t="s">
        <v>117</v>
      </c>
      <c r="G561" s="244" t="s">
        <v>110</v>
      </c>
      <c r="H561" s="244">
        <v>23</v>
      </c>
      <c r="I561" s="244">
        <v>50</v>
      </c>
      <c r="J561" s="242">
        <f>Table47[[#This Row],[ทดแทนจำนวน]]+Table47[[#This Row],[เพิ่มประสิทธิภาพจำนวน]]</f>
        <v>73</v>
      </c>
      <c r="K561" s="245">
        <v>1095000</v>
      </c>
      <c r="L561" s="248" t="s">
        <v>1942</v>
      </c>
    </row>
    <row r="562" spans="1:12">
      <c r="A562" s="246" t="s">
        <v>1872</v>
      </c>
      <c r="B562" s="244">
        <v>2570</v>
      </c>
      <c r="C562" s="241" t="s">
        <v>447</v>
      </c>
      <c r="D562" s="241" t="s">
        <v>477</v>
      </c>
      <c r="E562" s="244" t="s">
        <v>622</v>
      </c>
      <c r="F562" s="244" t="s">
        <v>117</v>
      </c>
      <c r="G562" s="244" t="s">
        <v>110</v>
      </c>
      <c r="H562" s="244">
        <v>0</v>
      </c>
      <c r="I562" s="244">
        <v>2</v>
      </c>
      <c r="J562" s="242">
        <f>Table47[[#This Row],[ทดแทนจำนวน]]+Table47[[#This Row],[เพิ่มประสิทธิภาพจำนวน]]</f>
        <v>2</v>
      </c>
      <c r="K562" s="245">
        <v>90000</v>
      </c>
      <c r="L562" s="248" t="s">
        <v>1941</v>
      </c>
    </row>
    <row r="563" spans="1:12">
      <c r="A563" s="246" t="s">
        <v>1873</v>
      </c>
      <c r="B563" s="244">
        <v>2570</v>
      </c>
      <c r="C563" s="241" t="s">
        <v>447</v>
      </c>
      <c r="D563" s="241" t="s">
        <v>477</v>
      </c>
      <c r="E563" s="244" t="s">
        <v>618</v>
      </c>
      <c r="F563" s="244" t="s">
        <v>117</v>
      </c>
      <c r="G563" s="244" t="s">
        <v>110</v>
      </c>
      <c r="H563" s="244">
        <v>0</v>
      </c>
      <c r="I563" s="244">
        <v>1</v>
      </c>
      <c r="J563" s="242">
        <f>Table47[[#This Row],[ทดแทนจำนวน]]+Table47[[#This Row],[เพิ่มประสิทธิภาพจำนวน]]</f>
        <v>1</v>
      </c>
      <c r="K563" s="245">
        <v>34900</v>
      </c>
      <c r="L563" s="248" t="s">
        <v>1941</v>
      </c>
    </row>
    <row r="564" spans="1:12">
      <c r="A564" s="246" t="s">
        <v>1874</v>
      </c>
      <c r="B564" s="244">
        <v>2570</v>
      </c>
      <c r="C564" s="241" t="s">
        <v>447</v>
      </c>
      <c r="D564" s="241" t="s">
        <v>615</v>
      </c>
      <c r="E564" s="244" t="s">
        <v>614</v>
      </c>
      <c r="F564" s="244" t="s">
        <v>112</v>
      </c>
      <c r="G564" s="244" t="s">
        <v>110</v>
      </c>
      <c r="H564" s="244">
        <v>0</v>
      </c>
      <c r="I564" s="244">
        <v>2</v>
      </c>
      <c r="J564" s="242">
        <f>Table47[[#This Row],[ทดแทนจำนวน]]+Table47[[#This Row],[เพิ่มประสิทธิภาพจำนวน]]</f>
        <v>2</v>
      </c>
      <c r="K564" s="245">
        <v>34400</v>
      </c>
      <c r="L564" s="248" t="s">
        <v>1941</v>
      </c>
    </row>
    <row r="565" spans="1:12">
      <c r="A565" s="246" t="s">
        <v>1875</v>
      </c>
      <c r="B565" s="244">
        <v>2570</v>
      </c>
      <c r="C565" s="241" t="s">
        <v>447</v>
      </c>
      <c r="D565" s="241" t="s">
        <v>555</v>
      </c>
      <c r="E565" s="244" t="s">
        <v>612</v>
      </c>
      <c r="F565" s="244" t="s">
        <v>112</v>
      </c>
      <c r="G565" s="244" t="s">
        <v>110</v>
      </c>
      <c r="H565" s="244">
        <v>1</v>
      </c>
      <c r="I565" s="244">
        <v>0</v>
      </c>
      <c r="J565" s="242">
        <f>Table47[[#This Row],[ทดแทนจำนวน]]+Table47[[#This Row],[เพิ่มประสิทธิภาพจำนวน]]</f>
        <v>1</v>
      </c>
      <c r="K565" s="245">
        <v>45500</v>
      </c>
      <c r="L565" s="248" t="s">
        <v>589</v>
      </c>
    </row>
    <row r="566" spans="1:12">
      <c r="A566" s="246" t="s">
        <v>1876</v>
      </c>
      <c r="B566" s="244">
        <v>2570</v>
      </c>
      <c r="C566" s="241" t="s">
        <v>447</v>
      </c>
      <c r="D566" s="241" t="s">
        <v>555</v>
      </c>
      <c r="E566" s="244" t="s">
        <v>609</v>
      </c>
      <c r="F566" s="244" t="s">
        <v>112</v>
      </c>
      <c r="G566" s="244" t="s">
        <v>110</v>
      </c>
      <c r="H566" s="244">
        <v>0</v>
      </c>
      <c r="I566" s="244">
        <v>5</v>
      </c>
      <c r="J566" s="242">
        <f>Table47[[#This Row],[ทดแทนจำนวน]]+Table47[[#This Row],[เพิ่มประสิทธิภาพจำนวน]]</f>
        <v>5</v>
      </c>
      <c r="K566" s="245">
        <v>28945</v>
      </c>
      <c r="L566" s="248" t="s">
        <v>1941</v>
      </c>
    </row>
    <row r="567" spans="1:12">
      <c r="A567" s="246" t="s">
        <v>1877</v>
      </c>
      <c r="B567" s="244">
        <v>2570</v>
      </c>
      <c r="C567" s="241" t="s">
        <v>447</v>
      </c>
      <c r="D567" s="241" t="s">
        <v>555</v>
      </c>
      <c r="E567" s="244" t="s">
        <v>607</v>
      </c>
      <c r="F567" s="244" t="s">
        <v>106</v>
      </c>
      <c r="G567" s="244" t="s">
        <v>103</v>
      </c>
      <c r="H567" s="244">
        <v>0</v>
      </c>
      <c r="I567" s="244">
        <v>1</v>
      </c>
      <c r="J567" s="242">
        <f>Table47[[#This Row],[ทดแทนจำนวน]]+Table47[[#This Row],[เพิ่มประสิทธิภาพจำนวน]]</f>
        <v>1</v>
      </c>
      <c r="K567" s="245">
        <v>118500</v>
      </c>
      <c r="L567" s="248" t="s">
        <v>1941</v>
      </c>
    </row>
    <row r="568" spans="1:12">
      <c r="A568" s="246" t="s">
        <v>1878</v>
      </c>
      <c r="B568" s="244">
        <v>2570</v>
      </c>
      <c r="C568" s="241" t="s">
        <v>447</v>
      </c>
      <c r="D568" s="241" t="s">
        <v>555</v>
      </c>
      <c r="E568" s="244" t="s">
        <v>605</v>
      </c>
      <c r="F568" s="244" t="s">
        <v>106</v>
      </c>
      <c r="G568" s="244" t="s">
        <v>103</v>
      </c>
      <c r="H568" s="244">
        <v>0</v>
      </c>
      <c r="I568" s="244">
        <v>30</v>
      </c>
      <c r="J568" s="242">
        <f>Table47[[#This Row],[ทดแทนจำนวน]]+Table47[[#This Row],[เพิ่มประสิทธิภาพจำนวน]]</f>
        <v>30</v>
      </c>
      <c r="K568" s="245">
        <v>114000</v>
      </c>
      <c r="L568" s="248" t="s">
        <v>1941</v>
      </c>
    </row>
    <row r="569" spans="1:12">
      <c r="A569" s="246" t="s">
        <v>1879</v>
      </c>
      <c r="B569" s="244">
        <v>2570</v>
      </c>
      <c r="C569" s="241" t="s">
        <v>447</v>
      </c>
      <c r="D569" s="241" t="s">
        <v>555</v>
      </c>
      <c r="E569" s="244" t="s">
        <v>603</v>
      </c>
      <c r="F569" s="244" t="s">
        <v>462</v>
      </c>
      <c r="G569" s="244" t="s">
        <v>439</v>
      </c>
      <c r="H569" s="244">
        <v>1</v>
      </c>
      <c r="I569" s="244">
        <v>0</v>
      </c>
      <c r="J569" s="242">
        <f>Table47[[#This Row],[ทดแทนจำนวน]]+Table47[[#This Row],[เพิ่มประสิทธิภาพจำนวน]]</f>
        <v>1</v>
      </c>
      <c r="K569" s="245">
        <v>67000</v>
      </c>
      <c r="L569" s="248" t="s">
        <v>589</v>
      </c>
    </row>
    <row r="570" spans="1:12">
      <c r="A570" s="246" t="s">
        <v>1880</v>
      </c>
      <c r="B570" s="244">
        <v>2570</v>
      </c>
      <c r="C570" s="241" t="s">
        <v>447</v>
      </c>
      <c r="D570" s="241" t="s">
        <v>555</v>
      </c>
      <c r="E570" s="244" t="s">
        <v>600</v>
      </c>
      <c r="F570" s="244" t="s">
        <v>411</v>
      </c>
      <c r="G570" s="244" t="s">
        <v>317</v>
      </c>
      <c r="H570" s="244">
        <v>1</v>
      </c>
      <c r="I570" s="244">
        <v>0</v>
      </c>
      <c r="J570" s="242">
        <f>Table47[[#This Row],[ทดแทนจำนวน]]+Table47[[#This Row],[เพิ่มประสิทธิภาพจำนวน]]</f>
        <v>1</v>
      </c>
      <c r="K570" s="245">
        <v>29900</v>
      </c>
      <c r="L570" s="248" t="s">
        <v>589</v>
      </c>
    </row>
    <row r="571" spans="1:12">
      <c r="A571" s="246" t="s">
        <v>1881</v>
      </c>
      <c r="B571" s="244">
        <v>2570</v>
      </c>
      <c r="C571" s="241" t="s">
        <v>447</v>
      </c>
      <c r="D571" s="241" t="s">
        <v>555</v>
      </c>
      <c r="E571" s="244" t="s">
        <v>597</v>
      </c>
      <c r="F571" s="244" t="s">
        <v>43</v>
      </c>
      <c r="G571" s="244" t="s">
        <v>41</v>
      </c>
      <c r="H571" s="244">
        <v>1</v>
      </c>
      <c r="I571" s="244">
        <v>0</v>
      </c>
      <c r="J571" s="242">
        <f>Table47[[#This Row],[ทดแทนจำนวน]]+Table47[[#This Row],[เพิ่มประสิทธิภาพจำนวน]]</f>
        <v>1</v>
      </c>
      <c r="K571" s="245">
        <v>93800</v>
      </c>
      <c r="L571" s="248" t="s">
        <v>589</v>
      </c>
    </row>
    <row r="572" spans="1:12">
      <c r="A572" s="246" t="s">
        <v>1882</v>
      </c>
      <c r="B572" s="244">
        <v>2570</v>
      </c>
      <c r="C572" s="241" t="s">
        <v>447</v>
      </c>
      <c r="D572" s="241" t="s">
        <v>555</v>
      </c>
      <c r="E572" s="244" t="s">
        <v>593</v>
      </c>
      <c r="F572" s="244" t="s">
        <v>43</v>
      </c>
      <c r="G572" s="244" t="s">
        <v>41</v>
      </c>
      <c r="H572" s="244">
        <v>30</v>
      </c>
      <c r="I572" s="244">
        <v>0</v>
      </c>
      <c r="J572" s="242">
        <f>Table47[[#This Row],[ทดแทนจำนวน]]+Table47[[#This Row],[เพิ่มประสิทธิภาพจำนวน]]</f>
        <v>30</v>
      </c>
      <c r="K572" s="245">
        <v>112500</v>
      </c>
      <c r="L572" s="248" t="s">
        <v>589</v>
      </c>
    </row>
    <row r="573" spans="1:12">
      <c r="A573" s="246" t="s">
        <v>1883</v>
      </c>
      <c r="B573" s="244">
        <v>2570</v>
      </c>
      <c r="C573" s="241" t="s">
        <v>447</v>
      </c>
      <c r="D573" s="241" t="s">
        <v>555</v>
      </c>
      <c r="E573" s="244" t="s">
        <v>591</v>
      </c>
      <c r="F573" s="244" t="s">
        <v>43</v>
      </c>
      <c r="G573" s="244" t="s">
        <v>41</v>
      </c>
      <c r="H573" s="244">
        <v>1</v>
      </c>
      <c r="I573" s="244">
        <v>0</v>
      </c>
      <c r="J573" s="242">
        <f>Table47[[#This Row],[ทดแทนจำนวน]]+Table47[[#This Row],[เพิ่มประสิทธิภาพจำนวน]]</f>
        <v>1</v>
      </c>
      <c r="K573" s="245">
        <v>3850</v>
      </c>
      <c r="L573" s="248" t="s">
        <v>589</v>
      </c>
    </row>
    <row r="574" spans="1:12">
      <c r="A574" s="246" t="s">
        <v>1884</v>
      </c>
      <c r="B574" s="244">
        <v>2570</v>
      </c>
      <c r="C574" s="241" t="s">
        <v>447</v>
      </c>
      <c r="D574" s="241" t="s">
        <v>555</v>
      </c>
      <c r="E574" s="244" t="s">
        <v>588</v>
      </c>
      <c r="F574" s="244" t="s">
        <v>459</v>
      </c>
      <c r="G574" s="244" t="s">
        <v>379</v>
      </c>
      <c r="H574" s="244">
        <v>7</v>
      </c>
      <c r="I574" s="244">
        <v>1</v>
      </c>
      <c r="J574" s="242">
        <f>Table47[[#This Row],[ทดแทนจำนวน]]+Table47[[#This Row],[เพิ่มประสิทธิภาพจำนวน]]</f>
        <v>8</v>
      </c>
      <c r="K574" s="245">
        <v>327200</v>
      </c>
      <c r="L574" s="248" t="s">
        <v>1942</v>
      </c>
    </row>
    <row r="575" spans="1:12">
      <c r="A575" s="246" t="s">
        <v>1885</v>
      </c>
      <c r="B575" s="244">
        <v>2570</v>
      </c>
      <c r="C575" s="241" t="s">
        <v>447</v>
      </c>
      <c r="D575" s="241" t="s">
        <v>555</v>
      </c>
      <c r="E575" s="244" t="s">
        <v>585</v>
      </c>
      <c r="F575" s="244" t="s">
        <v>459</v>
      </c>
      <c r="G575" s="244" t="s">
        <v>379</v>
      </c>
      <c r="H575" s="244">
        <v>0</v>
      </c>
      <c r="I575" s="244">
        <v>1</v>
      </c>
      <c r="J575" s="242">
        <f>Table47[[#This Row],[ทดแทนจำนวน]]+Table47[[#This Row],[เพิ่มประสิทธิภาพจำนวน]]</f>
        <v>1</v>
      </c>
      <c r="K575" s="245">
        <v>85000</v>
      </c>
      <c r="L575" s="248" t="s">
        <v>1941</v>
      </c>
    </row>
    <row r="576" spans="1:12">
      <c r="A576" s="246" t="s">
        <v>1886</v>
      </c>
      <c r="B576" s="244">
        <v>2570</v>
      </c>
      <c r="C576" s="241" t="s">
        <v>447</v>
      </c>
      <c r="D576" s="241" t="s">
        <v>555</v>
      </c>
      <c r="E576" s="244" t="s">
        <v>582</v>
      </c>
      <c r="F576" s="244" t="s">
        <v>36</v>
      </c>
      <c r="G576" s="244" t="s">
        <v>34</v>
      </c>
      <c r="H576" s="244">
        <v>10</v>
      </c>
      <c r="I576" s="244">
        <v>0</v>
      </c>
      <c r="J576" s="242">
        <f>Table47[[#This Row],[ทดแทนจำนวน]]+Table47[[#This Row],[เพิ่มประสิทธิภาพจำนวน]]</f>
        <v>10</v>
      </c>
      <c r="K576" s="245">
        <v>29000</v>
      </c>
      <c r="L576" s="248" t="s">
        <v>589</v>
      </c>
    </row>
    <row r="577" spans="1:12">
      <c r="A577" s="246" t="s">
        <v>1887</v>
      </c>
      <c r="B577" s="244">
        <v>2570</v>
      </c>
      <c r="C577" s="241" t="s">
        <v>447</v>
      </c>
      <c r="D577" s="241" t="s">
        <v>555</v>
      </c>
      <c r="E577" s="244" t="s">
        <v>579</v>
      </c>
      <c r="F577" s="244" t="s">
        <v>36</v>
      </c>
      <c r="G577" s="244" t="s">
        <v>34</v>
      </c>
      <c r="H577" s="244">
        <v>2</v>
      </c>
      <c r="I577" s="244">
        <v>0</v>
      </c>
      <c r="J577" s="242">
        <f>Table47[[#This Row],[ทดแทนจำนวน]]+Table47[[#This Row],[เพิ่มประสิทธิภาพจำนวน]]</f>
        <v>2</v>
      </c>
      <c r="K577" s="245">
        <v>107200</v>
      </c>
      <c r="L577" s="248" t="s">
        <v>589</v>
      </c>
    </row>
    <row r="578" spans="1:12">
      <c r="A578" s="246" t="s">
        <v>1888</v>
      </c>
      <c r="B578" s="244">
        <v>2570</v>
      </c>
      <c r="C578" s="241" t="s">
        <v>447</v>
      </c>
      <c r="D578" s="241" t="s">
        <v>555</v>
      </c>
      <c r="E578" s="244" t="s">
        <v>576</v>
      </c>
      <c r="F578" s="244" t="s">
        <v>36</v>
      </c>
      <c r="G578" s="244" t="s">
        <v>34</v>
      </c>
      <c r="H578" s="244">
        <v>1</v>
      </c>
      <c r="I578" s="244">
        <v>0</v>
      </c>
      <c r="J578" s="242">
        <f>Table47[[#This Row],[ทดแทนจำนวน]]+Table47[[#This Row],[เพิ่มประสิทธิภาพจำนวน]]</f>
        <v>1</v>
      </c>
      <c r="K578" s="245">
        <v>134900</v>
      </c>
      <c r="L578" s="248" t="s">
        <v>589</v>
      </c>
    </row>
    <row r="579" spans="1:12">
      <c r="A579" s="246" t="s">
        <v>1889</v>
      </c>
      <c r="B579" s="244">
        <v>2570</v>
      </c>
      <c r="C579" s="241" t="s">
        <v>447</v>
      </c>
      <c r="D579" s="241" t="s">
        <v>555</v>
      </c>
      <c r="E579" s="244" t="s">
        <v>573</v>
      </c>
      <c r="F579" s="244" t="s">
        <v>36</v>
      </c>
      <c r="G579" s="244" t="s">
        <v>34</v>
      </c>
      <c r="H579" s="244">
        <v>5</v>
      </c>
      <c r="I579" s="244">
        <v>0</v>
      </c>
      <c r="J579" s="242">
        <f>Table47[[#This Row],[ทดแทนจำนวน]]+Table47[[#This Row],[เพิ่มประสิทธิภาพจำนวน]]</f>
        <v>5</v>
      </c>
      <c r="K579" s="245">
        <v>25950</v>
      </c>
      <c r="L579" s="248" t="s">
        <v>589</v>
      </c>
    </row>
    <row r="580" spans="1:12">
      <c r="A580" s="246" t="s">
        <v>1890</v>
      </c>
      <c r="B580" s="244">
        <v>2570</v>
      </c>
      <c r="C580" s="241" t="s">
        <v>447</v>
      </c>
      <c r="D580" s="241" t="s">
        <v>555</v>
      </c>
      <c r="E580" s="244" t="s">
        <v>570</v>
      </c>
      <c r="F580" s="244" t="s">
        <v>26</v>
      </c>
      <c r="G580" s="244" t="s">
        <v>22</v>
      </c>
      <c r="H580" s="244">
        <v>0</v>
      </c>
      <c r="I580" s="244">
        <v>1</v>
      </c>
      <c r="J580" s="242">
        <f>Table47[[#This Row],[ทดแทนจำนวน]]+Table47[[#This Row],[เพิ่มประสิทธิภาพจำนวน]]</f>
        <v>1</v>
      </c>
      <c r="K580" s="245">
        <v>3900</v>
      </c>
      <c r="L580" s="248" t="s">
        <v>1941</v>
      </c>
    </row>
    <row r="581" spans="1:12">
      <c r="A581" s="246" t="s">
        <v>1891</v>
      </c>
      <c r="B581" s="244">
        <v>2570</v>
      </c>
      <c r="C581" s="241" t="s">
        <v>447</v>
      </c>
      <c r="D581" s="241" t="s">
        <v>555</v>
      </c>
      <c r="E581" s="244" t="s">
        <v>569</v>
      </c>
      <c r="F581" s="244" t="s">
        <v>26</v>
      </c>
      <c r="G581" s="244" t="s">
        <v>22</v>
      </c>
      <c r="H581" s="244">
        <v>0</v>
      </c>
      <c r="I581" s="244">
        <v>10</v>
      </c>
      <c r="J581" s="242">
        <f>Table47[[#This Row],[ทดแทนจำนวน]]+Table47[[#This Row],[เพิ่มประสิทธิภาพจำนวน]]</f>
        <v>10</v>
      </c>
      <c r="K581" s="245">
        <v>37000</v>
      </c>
      <c r="L581" s="248" t="s">
        <v>1941</v>
      </c>
    </row>
    <row r="582" spans="1:12">
      <c r="A582" s="246" t="s">
        <v>1892</v>
      </c>
      <c r="B582" s="244">
        <v>2570</v>
      </c>
      <c r="C582" s="241" t="s">
        <v>447</v>
      </c>
      <c r="D582" s="241" t="s">
        <v>555</v>
      </c>
      <c r="E582" s="244" t="s">
        <v>568</v>
      </c>
      <c r="F582" s="244" t="s">
        <v>26</v>
      </c>
      <c r="G582" s="244" t="s">
        <v>22</v>
      </c>
      <c r="H582" s="244">
        <v>0</v>
      </c>
      <c r="I582" s="244">
        <v>2</v>
      </c>
      <c r="J582" s="242">
        <f>Table47[[#This Row],[ทดแทนจำนวน]]+Table47[[#This Row],[เพิ่มประสิทธิภาพจำนวน]]</f>
        <v>2</v>
      </c>
      <c r="K582" s="245">
        <v>5000</v>
      </c>
      <c r="L582" s="248" t="s">
        <v>1941</v>
      </c>
    </row>
    <row r="583" spans="1:12">
      <c r="A583" s="246" t="s">
        <v>1893</v>
      </c>
      <c r="B583" s="244">
        <v>2570</v>
      </c>
      <c r="C583" s="241" t="s">
        <v>447</v>
      </c>
      <c r="D583" s="241" t="s">
        <v>555</v>
      </c>
      <c r="E583" s="244" t="s">
        <v>567</v>
      </c>
      <c r="F583" s="244" t="s">
        <v>26</v>
      </c>
      <c r="G583" s="244" t="s">
        <v>22</v>
      </c>
      <c r="H583" s="244">
        <v>0</v>
      </c>
      <c r="I583" s="244">
        <v>1</v>
      </c>
      <c r="J583" s="242">
        <f>Table47[[#This Row],[ทดแทนจำนวน]]+Table47[[#This Row],[เพิ่มประสิทธิภาพจำนวน]]</f>
        <v>1</v>
      </c>
      <c r="K583" s="245">
        <v>5900</v>
      </c>
      <c r="L583" s="248" t="s">
        <v>1941</v>
      </c>
    </row>
    <row r="584" spans="1:12">
      <c r="A584" s="246" t="s">
        <v>1894</v>
      </c>
      <c r="B584" s="244">
        <v>2570</v>
      </c>
      <c r="C584" s="241" t="s">
        <v>447</v>
      </c>
      <c r="D584" s="241" t="s">
        <v>555</v>
      </c>
      <c r="E584" s="244" t="s">
        <v>566</v>
      </c>
      <c r="F584" s="244" t="s">
        <v>26</v>
      </c>
      <c r="G584" s="244" t="s">
        <v>22</v>
      </c>
      <c r="H584" s="244">
        <v>0</v>
      </c>
      <c r="I584" s="244">
        <v>20</v>
      </c>
      <c r="J584" s="242">
        <f>Table47[[#This Row],[ทดแทนจำนวน]]+Table47[[#This Row],[เพิ่มประสิทธิภาพจำนวน]]</f>
        <v>20</v>
      </c>
      <c r="K584" s="245">
        <v>45800</v>
      </c>
      <c r="L584" s="248" t="s">
        <v>1941</v>
      </c>
    </row>
    <row r="585" spans="1:12">
      <c r="A585" s="246" t="s">
        <v>1895</v>
      </c>
      <c r="B585" s="244">
        <v>2570</v>
      </c>
      <c r="C585" s="241" t="s">
        <v>447</v>
      </c>
      <c r="D585" s="241" t="s">
        <v>555</v>
      </c>
      <c r="E585" s="244" t="s">
        <v>565</v>
      </c>
      <c r="F585" s="244" t="s">
        <v>26</v>
      </c>
      <c r="G585" s="244" t="s">
        <v>22</v>
      </c>
      <c r="H585" s="244">
        <v>0</v>
      </c>
      <c r="I585" s="244">
        <v>20</v>
      </c>
      <c r="J585" s="242">
        <f>Table47[[#This Row],[ทดแทนจำนวน]]+Table47[[#This Row],[เพิ่มประสิทธิภาพจำนวน]]</f>
        <v>20</v>
      </c>
      <c r="K585" s="245">
        <v>33800</v>
      </c>
      <c r="L585" s="248" t="s">
        <v>1941</v>
      </c>
    </row>
    <row r="586" spans="1:12">
      <c r="A586" s="246" t="s">
        <v>1896</v>
      </c>
      <c r="B586" s="244">
        <v>2570</v>
      </c>
      <c r="C586" s="241" t="s">
        <v>447</v>
      </c>
      <c r="D586" s="241" t="s">
        <v>555</v>
      </c>
      <c r="E586" s="244" t="s">
        <v>564</v>
      </c>
      <c r="F586" s="244" t="s">
        <v>174</v>
      </c>
      <c r="G586" s="244" t="s">
        <v>172</v>
      </c>
      <c r="H586" s="244">
        <v>0</v>
      </c>
      <c r="I586" s="244">
        <v>5</v>
      </c>
      <c r="J586" s="242">
        <f>Table47[[#This Row],[ทดแทนจำนวน]]+Table47[[#This Row],[เพิ่มประสิทธิภาพจำนวน]]</f>
        <v>5</v>
      </c>
      <c r="K586" s="245">
        <v>236000</v>
      </c>
      <c r="L586" s="248" t="s">
        <v>1941</v>
      </c>
    </row>
    <row r="587" spans="1:12">
      <c r="A587" s="246" t="s">
        <v>1897</v>
      </c>
      <c r="B587" s="244">
        <v>2570</v>
      </c>
      <c r="C587" s="241" t="s">
        <v>447</v>
      </c>
      <c r="D587" s="241" t="s">
        <v>555</v>
      </c>
      <c r="E587" s="244" t="s">
        <v>562</v>
      </c>
      <c r="F587" s="244" t="s">
        <v>174</v>
      </c>
      <c r="G587" s="244" t="s">
        <v>172</v>
      </c>
      <c r="H587" s="244">
        <v>0</v>
      </c>
      <c r="I587" s="244">
        <v>1</v>
      </c>
      <c r="J587" s="242">
        <f>Table47[[#This Row],[ทดแทนจำนวน]]+Table47[[#This Row],[เพิ่มประสิทธิภาพจำนวน]]</f>
        <v>1</v>
      </c>
      <c r="K587" s="245">
        <v>6500</v>
      </c>
      <c r="L587" s="248" t="s">
        <v>1941</v>
      </c>
    </row>
    <row r="588" spans="1:12">
      <c r="A588" s="246" t="s">
        <v>1898</v>
      </c>
      <c r="B588" s="244">
        <v>2570</v>
      </c>
      <c r="C588" s="241" t="s">
        <v>447</v>
      </c>
      <c r="D588" s="241" t="s">
        <v>555</v>
      </c>
      <c r="E588" s="244" t="s">
        <v>559</v>
      </c>
      <c r="F588" s="244" t="s">
        <v>466</v>
      </c>
      <c r="G588" s="244" t="s">
        <v>166</v>
      </c>
      <c r="H588" s="244">
        <v>5</v>
      </c>
      <c r="I588" s="244">
        <v>1</v>
      </c>
      <c r="J588" s="242">
        <f>Table47[[#This Row],[ทดแทนจำนวน]]+Table47[[#This Row],[เพิ่มประสิทธิภาพจำนวน]]</f>
        <v>6</v>
      </c>
      <c r="K588" s="245">
        <v>336000</v>
      </c>
      <c r="L588" s="248" t="s">
        <v>1942</v>
      </c>
    </row>
    <row r="589" spans="1:12">
      <c r="A589" s="246" t="s">
        <v>1899</v>
      </c>
      <c r="B589" s="244">
        <v>2570</v>
      </c>
      <c r="C589" s="241" t="s">
        <v>447</v>
      </c>
      <c r="D589" s="241" t="s">
        <v>555</v>
      </c>
      <c r="E589" s="244" t="s">
        <v>554</v>
      </c>
      <c r="F589" s="244" t="s">
        <v>466</v>
      </c>
      <c r="G589" s="244" t="s">
        <v>166</v>
      </c>
      <c r="H589" s="244">
        <v>1</v>
      </c>
      <c r="I589" s="244">
        <v>0</v>
      </c>
      <c r="J589" s="242">
        <f>Table47[[#This Row],[ทดแทนจำนวน]]+Table47[[#This Row],[เพิ่มประสิทธิภาพจำนวน]]</f>
        <v>1</v>
      </c>
      <c r="K589" s="245">
        <v>18420</v>
      </c>
      <c r="L589" s="248" t="s">
        <v>589</v>
      </c>
    </row>
    <row r="590" spans="1:12">
      <c r="A590" s="246" t="s">
        <v>1900</v>
      </c>
      <c r="B590" s="244">
        <v>2570</v>
      </c>
      <c r="C590" s="241" t="s">
        <v>447</v>
      </c>
      <c r="D590" s="241" t="s">
        <v>538</v>
      </c>
      <c r="E590" s="244" t="s">
        <v>545</v>
      </c>
      <c r="F590" s="244" t="s">
        <v>112</v>
      </c>
      <c r="G590" s="244" t="s">
        <v>110</v>
      </c>
      <c r="H590" s="244">
        <v>5</v>
      </c>
      <c r="I590" s="244">
        <v>0</v>
      </c>
      <c r="J590" s="242">
        <f>Table47[[#This Row],[ทดแทนจำนวน]]+Table47[[#This Row],[เพิ่มประสิทธิภาพจำนวน]]</f>
        <v>5</v>
      </c>
      <c r="K590" s="245">
        <v>47500</v>
      </c>
      <c r="L590" s="248" t="s">
        <v>589</v>
      </c>
    </row>
    <row r="591" spans="1:12">
      <c r="A591" s="246" t="s">
        <v>1901</v>
      </c>
      <c r="B591" s="244">
        <v>2570</v>
      </c>
      <c r="C591" s="241" t="s">
        <v>447</v>
      </c>
      <c r="D591" s="241" t="s">
        <v>538</v>
      </c>
      <c r="E591" s="244" t="s">
        <v>548</v>
      </c>
      <c r="F591" s="244" t="s">
        <v>48</v>
      </c>
      <c r="G591" s="244" t="s">
        <v>46</v>
      </c>
      <c r="H591" s="244">
        <v>1</v>
      </c>
      <c r="I591" s="244">
        <v>0</v>
      </c>
      <c r="J591" s="242">
        <f>Table47[[#This Row],[ทดแทนจำนวน]]+Table47[[#This Row],[เพิ่มประสิทธิภาพจำนวน]]</f>
        <v>1</v>
      </c>
      <c r="K591" s="245">
        <v>8990</v>
      </c>
      <c r="L591" s="248" t="s">
        <v>589</v>
      </c>
    </row>
    <row r="592" spans="1:12">
      <c r="A592" s="246" t="s">
        <v>1902</v>
      </c>
      <c r="B592" s="244">
        <v>2570</v>
      </c>
      <c r="C592" s="241" t="s">
        <v>447</v>
      </c>
      <c r="D592" s="241" t="s">
        <v>538</v>
      </c>
      <c r="E592" s="244" t="s">
        <v>545</v>
      </c>
      <c r="F592" s="244" t="s">
        <v>48</v>
      </c>
      <c r="G592" s="244" t="s">
        <v>46</v>
      </c>
      <c r="H592" s="244">
        <v>1</v>
      </c>
      <c r="I592" s="244">
        <v>0</v>
      </c>
      <c r="J592" s="242">
        <f>Table47[[#This Row],[ทดแทนจำนวน]]+Table47[[#This Row],[เพิ่มประสิทธิภาพจำนวน]]</f>
        <v>1</v>
      </c>
      <c r="K592" s="245">
        <v>9500</v>
      </c>
      <c r="L592" s="248" t="s">
        <v>589</v>
      </c>
    </row>
    <row r="593" spans="1:12">
      <c r="A593" s="246" t="s">
        <v>1903</v>
      </c>
      <c r="B593" s="244">
        <v>2570</v>
      </c>
      <c r="C593" s="241" t="s">
        <v>447</v>
      </c>
      <c r="D593" s="241" t="s">
        <v>538</v>
      </c>
      <c r="E593" s="244" t="s">
        <v>540</v>
      </c>
      <c r="F593" s="244" t="s">
        <v>411</v>
      </c>
      <c r="G593" s="244" t="s">
        <v>317</v>
      </c>
      <c r="H593" s="244">
        <v>0</v>
      </c>
      <c r="I593" s="244">
        <v>1</v>
      </c>
      <c r="J593" s="242">
        <f>Table47[[#This Row],[ทดแทนจำนวน]]+Table47[[#This Row],[เพิ่มประสิทธิภาพจำนวน]]</f>
        <v>1</v>
      </c>
      <c r="K593" s="245">
        <v>17400</v>
      </c>
      <c r="L593" s="248" t="s">
        <v>1941</v>
      </c>
    </row>
    <row r="594" spans="1:12">
      <c r="A594" s="246" t="s">
        <v>1904</v>
      </c>
      <c r="B594" s="244">
        <v>2570</v>
      </c>
      <c r="C594" s="241" t="s">
        <v>447</v>
      </c>
      <c r="D594" s="241" t="s">
        <v>538</v>
      </c>
      <c r="E594" s="244" t="s">
        <v>540</v>
      </c>
      <c r="F594" s="244" t="s">
        <v>26</v>
      </c>
      <c r="G594" s="244" t="s">
        <v>22</v>
      </c>
      <c r="H594" s="244">
        <v>0</v>
      </c>
      <c r="I594" s="244">
        <v>1</v>
      </c>
      <c r="J594" s="242">
        <f>Table47[[#This Row],[ทดแทนจำนวน]]+Table47[[#This Row],[เพิ่มประสิทธิภาพจำนวน]]</f>
        <v>1</v>
      </c>
      <c r="K594" s="245">
        <v>17400</v>
      </c>
      <c r="L594" s="248" t="s">
        <v>1941</v>
      </c>
    </row>
    <row r="595" spans="1:12">
      <c r="A595" s="246" t="s">
        <v>1905</v>
      </c>
      <c r="B595" s="244">
        <v>2570</v>
      </c>
      <c r="C595" s="241" t="s">
        <v>447</v>
      </c>
      <c r="D595" s="241" t="s">
        <v>538</v>
      </c>
      <c r="E595" s="244" t="s">
        <v>540</v>
      </c>
      <c r="F595" s="244" t="s">
        <v>174</v>
      </c>
      <c r="G595" s="244" t="s">
        <v>172</v>
      </c>
      <c r="H595" s="244">
        <v>0</v>
      </c>
      <c r="I595" s="244">
        <v>2</v>
      </c>
      <c r="J595" s="242">
        <f>Table47[[#This Row],[ทดแทนจำนวน]]+Table47[[#This Row],[เพิ่มประสิทธิภาพจำนวน]]</f>
        <v>2</v>
      </c>
      <c r="K595" s="245">
        <v>34800</v>
      </c>
      <c r="L595" s="248" t="s">
        <v>1941</v>
      </c>
    </row>
    <row r="596" spans="1:12">
      <c r="A596" s="246" t="s">
        <v>1906</v>
      </c>
      <c r="B596" s="244">
        <v>2570</v>
      </c>
      <c r="C596" s="241" t="s">
        <v>447</v>
      </c>
      <c r="D596" s="241" t="s">
        <v>538</v>
      </c>
      <c r="E596" s="244" t="s">
        <v>537</v>
      </c>
      <c r="F596" s="244" t="s">
        <v>466</v>
      </c>
      <c r="G596" s="244" t="s">
        <v>166</v>
      </c>
      <c r="H596" s="244">
        <v>1</v>
      </c>
      <c r="I596" s="244">
        <v>1</v>
      </c>
      <c r="J596" s="242">
        <f>Table47[[#This Row],[ทดแทนจำนวน]]+Table47[[#This Row],[เพิ่มประสิทธิภาพจำนวน]]</f>
        <v>2</v>
      </c>
      <c r="K596" s="245">
        <v>34000</v>
      </c>
      <c r="L596" s="248" t="s">
        <v>1942</v>
      </c>
    </row>
    <row r="597" spans="1:12">
      <c r="A597" s="246" t="s">
        <v>1907</v>
      </c>
      <c r="B597" s="244">
        <v>2570</v>
      </c>
      <c r="C597" s="241" t="s">
        <v>447</v>
      </c>
      <c r="D597" s="241" t="s">
        <v>527</v>
      </c>
      <c r="E597" s="244" t="s">
        <v>534</v>
      </c>
      <c r="F597" s="244" t="s">
        <v>462</v>
      </c>
      <c r="G597" s="244" t="s">
        <v>439</v>
      </c>
      <c r="H597" s="244">
        <v>1</v>
      </c>
      <c r="I597" s="244">
        <v>0</v>
      </c>
      <c r="J597" s="242">
        <f>Table47[[#This Row],[ทดแทนจำนวน]]+Table47[[#This Row],[เพิ่มประสิทธิภาพจำนวน]]</f>
        <v>1</v>
      </c>
      <c r="K597" s="245">
        <v>1498000</v>
      </c>
      <c r="L597" s="248" t="s">
        <v>589</v>
      </c>
    </row>
    <row r="598" spans="1:12">
      <c r="A598" s="246" t="s">
        <v>1908</v>
      </c>
      <c r="B598" s="244">
        <v>2570</v>
      </c>
      <c r="C598" s="241" t="s">
        <v>447</v>
      </c>
      <c r="D598" s="241" t="s">
        <v>527</v>
      </c>
      <c r="E598" s="244" t="s">
        <v>530</v>
      </c>
      <c r="F598" s="244" t="s">
        <v>174</v>
      </c>
      <c r="G598" s="244" t="s">
        <v>172</v>
      </c>
      <c r="H598" s="244">
        <v>1</v>
      </c>
      <c r="I598" s="244">
        <v>0</v>
      </c>
      <c r="J598" s="242">
        <f>Table47[[#This Row],[ทดแทนจำนวน]]+Table47[[#This Row],[เพิ่มประสิทธิภาพจำนวน]]</f>
        <v>1</v>
      </c>
      <c r="K598" s="245">
        <v>970900</v>
      </c>
      <c r="L598" s="248" t="s">
        <v>589</v>
      </c>
    </row>
    <row r="599" spans="1:12">
      <c r="A599" s="246" t="s">
        <v>1909</v>
      </c>
      <c r="B599" s="244">
        <v>2570</v>
      </c>
      <c r="C599" s="241" t="s">
        <v>447</v>
      </c>
      <c r="D599" s="241" t="s">
        <v>527</v>
      </c>
      <c r="E599" s="244" t="s">
        <v>526</v>
      </c>
      <c r="F599" s="244" t="s">
        <v>466</v>
      </c>
      <c r="G599" s="244" t="s">
        <v>166</v>
      </c>
      <c r="H599" s="244">
        <v>1</v>
      </c>
      <c r="I599" s="244">
        <v>0</v>
      </c>
      <c r="J599" s="242">
        <f>Table47[[#This Row],[ทดแทนจำนวน]]+Table47[[#This Row],[เพิ่มประสิทธิภาพจำนวน]]</f>
        <v>1</v>
      </c>
      <c r="K599" s="245">
        <v>1498000</v>
      </c>
      <c r="L599" s="248" t="s">
        <v>589</v>
      </c>
    </row>
    <row r="600" spans="1:12">
      <c r="A600" s="246" t="s">
        <v>1910</v>
      </c>
      <c r="B600" s="244">
        <v>2570</v>
      </c>
      <c r="C600" s="241" t="s">
        <v>447</v>
      </c>
      <c r="D600" s="241" t="s">
        <v>477</v>
      </c>
      <c r="E600" s="244" t="s">
        <v>523</v>
      </c>
      <c r="F600" s="244" t="s">
        <v>112</v>
      </c>
      <c r="G600" s="244" t="s">
        <v>110</v>
      </c>
      <c r="H600" s="244">
        <v>0</v>
      </c>
      <c r="I600" s="244">
        <v>1</v>
      </c>
      <c r="J600" s="242">
        <f>Table47[[#This Row],[ทดแทนจำนวน]]+Table47[[#This Row],[เพิ่มประสิทธิภาพจำนวน]]</f>
        <v>1</v>
      </c>
      <c r="K600" s="245">
        <v>50290</v>
      </c>
      <c r="L600" s="248" t="s">
        <v>1941</v>
      </c>
    </row>
    <row r="601" spans="1:12">
      <c r="A601" s="246" t="s">
        <v>1911</v>
      </c>
      <c r="B601" s="244">
        <v>2570</v>
      </c>
      <c r="C601" s="241" t="s">
        <v>447</v>
      </c>
      <c r="D601" s="241" t="s">
        <v>488</v>
      </c>
      <c r="E601" s="244" t="s">
        <v>521</v>
      </c>
      <c r="F601" s="244" t="s">
        <v>48</v>
      </c>
      <c r="G601" s="244" t="s">
        <v>46</v>
      </c>
      <c r="H601" s="244">
        <v>1</v>
      </c>
      <c r="I601" s="244">
        <v>0</v>
      </c>
      <c r="J601" s="242">
        <f>Table47[[#This Row],[ทดแทนจำนวน]]+Table47[[#This Row],[เพิ่มประสิทธิภาพจำนวน]]</f>
        <v>1</v>
      </c>
      <c r="K601" s="245">
        <v>40730</v>
      </c>
      <c r="L601" s="248" t="s">
        <v>589</v>
      </c>
    </row>
    <row r="602" spans="1:12">
      <c r="A602" s="246" t="s">
        <v>1912</v>
      </c>
      <c r="B602" s="244">
        <v>2570</v>
      </c>
      <c r="C602" s="241" t="s">
        <v>447</v>
      </c>
      <c r="D602" s="241" t="s">
        <v>488</v>
      </c>
      <c r="E602" s="244" t="s">
        <v>518</v>
      </c>
      <c r="F602" s="244" t="s">
        <v>48</v>
      </c>
      <c r="G602" s="244" t="s">
        <v>46</v>
      </c>
      <c r="H602" s="244">
        <v>2</v>
      </c>
      <c r="I602" s="244">
        <v>0</v>
      </c>
      <c r="J602" s="242">
        <f>Table47[[#This Row],[ทดแทนจำนวน]]+Table47[[#This Row],[เพิ่มประสิทธิภาพจำนวน]]</f>
        <v>2</v>
      </c>
      <c r="K602" s="245">
        <v>47000</v>
      </c>
      <c r="L602" s="248" t="s">
        <v>589</v>
      </c>
    </row>
    <row r="603" spans="1:12">
      <c r="A603" s="246" t="s">
        <v>1913</v>
      </c>
      <c r="B603" s="244">
        <v>2570</v>
      </c>
      <c r="C603" s="241" t="s">
        <v>447</v>
      </c>
      <c r="D603" s="241" t="s">
        <v>477</v>
      </c>
      <c r="E603" s="244" t="s">
        <v>515</v>
      </c>
      <c r="F603" s="244" t="s">
        <v>48</v>
      </c>
      <c r="G603" s="244" t="s">
        <v>46</v>
      </c>
      <c r="H603" s="244">
        <v>0</v>
      </c>
      <c r="I603" s="244">
        <v>1</v>
      </c>
      <c r="J603" s="242">
        <f>Table47[[#This Row],[ทดแทนจำนวน]]+Table47[[#This Row],[เพิ่มประสิทธิภาพจำนวน]]</f>
        <v>1</v>
      </c>
      <c r="K603" s="245">
        <v>35890</v>
      </c>
      <c r="L603" s="248" t="s">
        <v>1941</v>
      </c>
    </row>
    <row r="604" spans="1:12">
      <c r="A604" s="246" t="s">
        <v>1914</v>
      </c>
      <c r="B604" s="244">
        <v>2570</v>
      </c>
      <c r="C604" s="241" t="s">
        <v>447</v>
      </c>
      <c r="D604" s="241" t="s">
        <v>477</v>
      </c>
      <c r="E604" s="244" t="s">
        <v>513</v>
      </c>
      <c r="F604" s="244" t="s">
        <v>411</v>
      </c>
      <c r="G604" s="244" t="s">
        <v>317</v>
      </c>
      <c r="H604" s="244">
        <v>1</v>
      </c>
      <c r="I604" s="244">
        <v>0</v>
      </c>
      <c r="J604" s="242">
        <f>Table47[[#This Row],[ทดแทนจำนวน]]+Table47[[#This Row],[เพิ่มประสิทธิภาพจำนวน]]</f>
        <v>1</v>
      </c>
      <c r="K604" s="245">
        <v>38000</v>
      </c>
      <c r="L604" s="248" t="s">
        <v>589</v>
      </c>
    </row>
    <row r="605" spans="1:12">
      <c r="A605" s="246" t="s">
        <v>1915</v>
      </c>
      <c r="B605" s="244">
        <v>2570</v>
      </c>
      <c r="C605" s="241" t="s">
        <v>447</v>
      </c>
      <c r="D605" s="241" t="s">
        <v>477</v>
      </c>
      <c r="E605" s="244" t="s">
        <v>511</v>
      </c>
      <c r="F605" s="244" t="s">
        <v>411</v>
      </c>
      <c r="G605" s="244" t="s">
        <v>317</v>
      </c>
      <c r="H605" s="244">
        <v>1</v>
      </c>
      <c r="I605" s="244">
        <v>0</v>
      </c>
      <c r="J605" s="242">
        <f>Table47[[#This Row],[ทดแทนจำนวน]]+Table47[[#This Row],[เพิ่มประสิทธิภาพจำนวน]]</f>
        <v>1</v>
      </c>
      <c r="K605" s="245">
        <v>62000</v>
      </c>
      <c r="L605" s="248" t="s">
        <v>589</v>
      </c>
    </row>
    <row r="606" spans="1:12">
      <c r="A606" s="246" t="s">
        <v>1916</v>
      </c>
      <c r="B606" s="244">
        <v>2570</v>
      </c>
      <c r="C606" s="241" t="s">
        <v>447</v>
      </c>
      <c r="D606" s="241" t="s">
        <v>477</v>
      </c>
      <c r="E606" s="244" t="s">
        <v>508</v>
      </c>
      <c r="F606" s="244" t="s">
        <v>411</v>
      </c>
      <c r="G606" s="244" t="s">
        <v>317</v>
      </c>
      <c r="H606" s="244">
        <v>1</v>
      </c>
      <c r="I606" s="244">
        <v>0</v>
      </c>
      <c r="J606" s="242">
        <f>Table47[[#This Row],[ทดแทนจำนวน]]+Table47[[#This Row],[เพิ่มประสิทธิภาพจำนวน]]</f>
        <v>1</v>
      </c>
      <c r="K606" s="245">
        <v>43100</v>
      </c>
      <c r="L606" s="248" t="s">
        <v>589</v>
      </c>
    </row>
    <row r="607" spans="1:12">
      <c r="A607" s="246" t="s">
        <v>1917</v>
      </c>
      <c r="B607" s="244">
        <v>2570</v>
      </c>
      <c r="C607" s="241" t="s">
        <v>447</v>
      </c>
      <c r="D607" s="241" t="s">
        <v>488</v>
      </c>
      <c r="E607" s="244" t="s">
        <v>505</v>
      </c>
      <c r="F607" s="244" t="s">
        <v>43</v>
      </c>
      <c r="G607" s="244" t="s">
        <v>41</v>
      </c>
      <c r="H607" s="244">
        <v>1</v>
      </c>
      <c r="I607" s="244">
        <v>0</v>
      </c>
      <c r="J607" s="242">
        <f>Table47[[#This Row],[ทดแทนจำนวน]]+Table47[[#This Row],[เพิ่มประสิทธิภาพจำนวน]]</f>
        <v>1</v>
      </c>
      <c r="K607" s="245">
        <v>247400</v>
      </c>
      <c r="L607" s="248" t="s">
        <v>589</v>
      </c>
    </row>
    <row r="608" spans="1:12">
      <c r="A608" s="246" t="s">
        <v>1918</v>
      </c>
      <c r="B608" s="244">
        <v>2570</v>
      </c>
      <c r="C608" s="241" t="s">
        <v>447</v>
      </c>
      <c r="D608" s="241" t="s">
        <v>488</v>
      </c>
      <c r="E608" s="244" t="s">
        <v>502</v>
      </c>
      <c r="F608" s="244" t="s">
        <v>26</v>
      </c>
      <c r="G608" s="244" t="s">
        <v>22</v>
      </c>
      <c r="H608" s="244">
        <v>0</v>
      </c>
      <c r="I608" s="244">
        <v>1</v>
      </c>
      <c r="J608" s="242">
        <f>Table47[[#This Row],[ทดแทนจำนวน]]+Table47[[#This Row],[เพิ่มประสิทธิภาพจำนวน]]</f>
        <v>1</v>
      </c>
      <c r="K608" s="245">
        <v>35900</v>
      </c>
      <c r="L608" s="248" t="s">
        <v>1941</v>
      </c>
    </row>
    <row r="609" spans="1:12">
      <c r="A609" s="246" t="s">
        <v>1919</v>
      </c>
      <c r="B609" s="244">
        <v>2570</v>
      </c>
      <c r="C609" s="241" t="s">
        <v>447</v>
      </c>
      <c r="D609" s="241" t="s">
        <v>488</v>
      </c>
      <c r="E609" s="244" t="s">
        <v>500</v>
      </c>
      <c r="F609" s="244" t="s">
        <v>26</v>
      </c>
      <c r="G609" s="244" t="s">
        <v>22</v>
      </c>
      <c r="H609" s="244">
        <v>0</v>
      </c>
      <c r="I609" s="244">
        <v>1</v>
      </c>
      <c r="J609" s="242">
        <f>Table47[[#This Row],[ทดแทนจำนวน]]+Table47[[#This Row],[เพิ่มประสิทธิภาพจำนวน]]</f>
        <v>1</v>
      </c>
      <c r="K609" s="245">
        <v>12900</v>
      </c>
      <c r="L609" s="248" t="s">
        <v>1941</v>
      </c>
    </row>
    <row r="610" spans="1:12">
      <c r="A610" s="246" t="s">
        <v>1920</v>
      </c>
      <c r="B610" s="244">
        <v>2570</v>
      </c>
      <c r="C610" s="241" t="s">
        <v>447</v>
      </c>
      <c r="D610" s="241" t="s">
        <v>488</v>
      </c>
      <c r="E610" s="244" t="s">
        <v>499</v>
      </c>
      <c r="F610" s="244" t="s">
        <v>26</v>
      </c>
      <c r="G610" s="244" t="s">
        <v>22</v>
      </c>
      <c r="H610" s="244">
        <v>0</v>
      </c>
      <c r="I610" s="244">
        <v>4</v>
      </c>
      <c r="J610" s="242">
        <f>Table47[[#This Row],[ทดแทนจำนวน]]+Table47[[#This Row],[เพิ่มประสิทธิภาพจำนวน]]</f>
        <v>4</v>
      </c>
      <c r="K610" s="245">
        <v>12800</v>
      </c>
      <c r="L610" s="248" t="s">
        <v>1941</v>
      </c>
    </row>
    <row r="611" spans="1:12">
      <c r="A611" s="246" t="s">
        <v>1921</v>
      </c>
      <c r="B611" s="244">
        <v>2570</v>
      </c>
      <c r="C611" s="241" t="s">
        <v>447</v>
      </c>
      <c r="D611" s="241" t="s">
        <v>488</v>
      </c>
      <c r="E611" s="244" t="s">
        <v>498</v>
      </c>
      <c r="F611" s="244" t="s">
        <v>26</v>
      </c>
      <c r="G611" s="244" t="s">
        <v>22</v>
      </c>
      <c r="H611" s="244">
        <v>0</v>
      </c>
      <c r="I611" s="244">
        <v>2</v>
      </c>
      <c r="J611" s="242">
        <f>Table47[[#This Row],[ทดแทนจำนวน]]+Table47[[#This Row],[เพิ่มประสิทธิภาพจำนวน]]</f>
        <v>2</v>
      </c>
      <c r="K611" s="245">
        <v>5980</v>
      </c>
      <c r="L611" s="248" t="s">
        <v>1941</v>
      </c>
    </row>
    <row r="612" spans="1:12">
      <c r="A612" s="246" t="s">
        <v>1922</v>
      </c>
      <c r="B612" s="244">
        <v>2570</v>
      </c>
      <c r="C612" s="241" t="s">
        <v>447</v>
      </c>
      <c r="D612" s="241" t="s">
        <v>488</v>
      </c>
      <c r="E612" s="244" t="s">
        <v>497</v>
      </c>
      <c r="F612" s="244" t="s">
        <v>26</v>
      </c>
      <c r="G612" s="244" t="s">
        <v>22</v>
      </c>
      <c r="H612" s="244">
        <v>0</v>
      </c>
      <c r="I612" s="244">
        <v>1</v>
      </c>
      <c r="J612" s="242">
        <f>Table47[[#This Row],[ทดแทนจำนวน]]+Table47[[#This Row],[เพิ่มประสิทธิภาพจำนวน]]</f>
        <v>1</v>
      </c>
      <c r="K612" s="245">
        <v>4700</v>
      </c>
      <c r="L612" s="248" t="s">
        <v>1941</v>
      </c>
    </row>
    <row r="613" spans="1:12">
      <c r="A613" s="246" t="s">
        <v>1923</v>
      </c>
      <c r="B613" s="244">
        <v>2570</v>
      </c>
      <c r="C613" s="241" t="s">
        <v>447</v>
      </c>
      <c r="D613" s="241" t="s">
        <v>488</v>
      </c>
      <c r="E613" s="244" t="s">
        <v>496</v>
      </c>
      <c r="F613" s="244" t="s">
        <v>26</v>
      </c>
      <c r="G613" s="244" t="s">
        <v>22</v>
      </c>
      <c r="H613" s="244">
        <v>0</v>
      </c>
      <c r="I613" s="244">
        <v>1</v>
      </c>
      <c r="J613" s="242">
        <f>Table47[[#This Row],[ทดแทนจำนวน]]+Table47[[#This Row],[เพิ่มประสิทธิภาพจำนวน]]</f>
        <v>1</v>
      </c>
      <c r="K613" s="245">
        <v>9900</v>
      </c>
      <c r="L613" s="248" t="s">
        <v>1941</v>
      </c>
    </row>
    <row r="614" spans="1:12">
      <c r="A614" s="246" t="s">
        <v>1924</v>
      </c>
      <c r="B614" s="244">
        <v>2570</v>
      </c>
      <c r="C614" s="241" t="s">
        <v>447</v>
      </c>
      <c r="D614" s="241" t="s">
        <v>488</v>
      </c>
      <c r="E614" s="244" t="s">
        <v>495</v>
      </c>
      <c r="F614" s="244" t="s">
        <v>26</v>
      </c>
      <c r="G614" s="244" t="s">
        <v>22</v>
      </c>
      <c r="H614" s="244">
        <v>0</v>
      </c>
      <c r="I614" s="244">
        <v>1</v>
      </c>
      <c r="J614" s="242">
        <f>Table47[[#This Row],[ทดแทนจำนวน]]+Table47[[#This Row],[เพิ่มประสิทธิภาพจำนวน]]</f>
        <v>1</v>
      </c>
      <c r="K614" s="245">
        <v>27900</v>
      </c>
      <c r="L614" s="248" t="s">
        <v>1941</v>
      </c>
    </row>
    <row r="615" spans="1:12">
      <c r="A615" s="246" t="s">
        <v>1925</v>
      </c>
      <c r="B615" s="244">
        <v>2570</v>
      </c>
      <c r="C615" s="241" t="s">
        <v>447</v>
      </c>
      <c r="D615" s="241" t="s">
        <v>488</v>
      </c>
      <c r="E615" s="244" t="s">
        <v>494</v>
      </c>
      <c r="F615" s="244" t="s">
        <v>26</v>
      </c>
      <c r="G615" s="244" t="s">
        <v>22</v>
      </c>
      <c r="H615" s="244">
        <v>0</v>
      </c>
      <c r="I615" s="244">
        <v>1</v>
      </c>
      <c r="J615" s="242">
        <f>Table47[[#This Row],[ทดแทนจำนวน]]+Table47[[#This Row],[เพิ่มประสิทธิภาพจำนวน]]</f>
        <v>1</v>
      </c>
      <c r="K615" s="245">
        <v>350</v>
      </c>
      <c r="L615" s="248" t="s">
        <v>1941</v>
      </c>
    </row>
    <row r="616" spans="1:12">
      <c r="A616" s="246" t="s">
        <v>1926</v>
      </c>
      <c r="B616" s="244">
        <v>2570</v>
      </c>
      <c r="C616" s="241" t="s">
        <v>447</v>
      </c>
      <c r="D616" s="241" t="s">
        <v>488</v>
      </c>
      <c r="E616" s="244" t="s">
        <v>493</v>
      </c>
      <c r="F616" s="244" t="s">
        <v>26</v>
      </c>
      <c r="G616" s="244" t="s">
        <v>22</v>
      </c>
      <c r="H616" s="244">
        <v>0</v>
      </c>
      <c r="I616" s="244">
        <v>1</v>
      </c>
      <c r="J616" s="242">
        <f>Table47[[#This Row],[ทดแทนจำนวน]]+Table47[[#This Row],[เพิ่มประสิทธิภาพจำนวน]]</f>
        <v>1</v>
      </c>
      <c r="K616" s="245">
        <v>23900</v>
      </c>
      <c r="L616" s="248" t="s">
        <v>1941</v>
      </c>
    </row>
    <row r="617" spans="1:12">
      <c r="A617" s="246" t="s">
        <v>1927</v>
      </c>
      <c r="B617" s="244">
        <v>2570</v>
      </c>
      <c r="C617" s="241" t="s">
        <v>447</v>
      </c>
      <c r="D617" s="241" t="s">
        <v>488</v>
      </c>
      <c r="E617" s="244" t="s">
        <v>492</v>
      </c>
      <c r="F617" s="244" t="s">
        <v>26</v>
      </c>
      <c r="G617" s="244" t="s">
        <v>22</v>
      </c>
      <c r="H617" s="244">
        <v>0</v>
      </c>
      <c r="I617" s="244">
        <v>20</v>
      </c>
      <c r="J617" s="242">
        <f>Table47[[#This Row],[ทดแทนจำนวน]]+Table47[[#This Row],[เพิ่มประสิทธิภาพจำนวน]]</f>
        <v>20</v>
      </c>
      <c r="K617" s="245">
        <v>458000</v>
      </c>
      <c r="L617" s="248" t="s">
        <v>1941</v>
      </c>
    </row>
    <row r="618" spans="1:12">
      <c r="A618" s="246" t="s">
        <v>1928</v>
      </c>
      <c r="B618" s="244">
        <v>2570</v>
      </c>
      <c r="C618" s="241" t="s">
        <v>447</v>
      </c>
      <c r="D618" s="241" t="s">
        <v>488</v>
      </c>
      <c r="E618" s="244" t="s">
        <v>491</v>
      </c>
      <c r="F618" s="244" t="s">
        <v>26</v>
      </c>
      <c r="G618" s="244" t="s">
        <v>22</v>
      </c>
      <c r="H618" s="244">
        <v>0</v>
      </c>
      <c r="I618" s="244">
        <v>1</v>
      </c>
      <c r="J618" s="242">
        <f>Table47[[#This Row],[ทดแทนจำนวน]]+Table47[[#This Row],[เพิ่มประสิทธิภาพจำนวน]]</f>
        <v>1</v>
      </c>
      <c r="K618" s="245">
        <v>99900</v>
      </c>
      <c r="L618" s="248" t="s">
        <v>1941</v>
      </c>
    </row>
    <row r="619" spans="1:12">
      <c r="A619" s="246" t="s">
        <v>1929</v>
      </c>
      <c r="B619" s="244">
        <v>2570</v>
      </c>
      <c r="C619" s="241" t="s">
        <v>447</v>
      </c>
      <c r="D619" s="241" t="s">
        <v>488</v>
      </c>
      <c r="E619" s="244" t="s">
        <v>490</v>
      </c>
      <c r="F619" s="244" t="s">
        <v>26</v>
      </c>
      <c r="G619" s="244" t="s">
        <v>22</v>
      </c>
      <c r="H619" s="244">
        <v>0</v>
      </c>
      <c r="I619" s="244">
        <v>1</v>
      </c>
      <c r="J619" s="242">
        <f>Table47[[#This Row],[ทดแทนจำนวน]]+Table47[[#This Row],[เพิ่มประสิทธิภาพจำนวน]]</f>
        <v>1</v>
      </c>
      <c r="K619" s="245">
        <v>24000</v>
      </c>
      <c r="L619" s="248" t="s">
        <v>1941</v>
      </c>
    </row>
    <row r="620" spans="1:12">
      <c r="A620" s="246" t="s">
        <v>1930</v>
      </c>
      <c r="B620" s="244">
        <v>2570</v>
      </c>
      <c r="C620" s="241" t="s">
        <v>447</v>
      </c>
      <c r="D620" s="241" t="s">
        <v>488</v>
      </c>
      <c r="E620" s="244" t="s">
        <v>489</v>
      </c>
      <c r="F620" s="244" t="s">
        <v>26</v>
      </c>
      <c r="G620" s="244" t="s">
        <v>22</v>
      </c>
      <c r="H620" s="244">
        <v>0</v>
      </c>
      <c r="I620" s="244">
        <v>7</v>
      </c>
      <c r="J620" s="242">
        <f>Table47[[#This Row],[ทดแทนจำนวน]]+Table47[[#This Row],[เพิ่มประสิทธิภาพจำนวน]]</f>
        <v>7</v>
      </c>
      <c r="K620" s="245">
        <v>20930</v>
      </c>
      <c r="L620" s="248" t="s">
        <v>1941</v>
      </c>
    </row>
    <row r="621" spans="1:12">
      <c r="A621" s="246" t="s">
        <v>1931</v>
      </c>
      <c r="B621" s="244">
        <v>2570</v>
      </c>
      <c r="C621" s="241" t="s">
        <v>447</v>
      </c>
      <c r="D621" s="241" t="s">
        <v>488</v>
      </c>
      <c r="E621" s="244" t="s">
        <v>487</v>
      </c>
      <c r="F621" s="244" t="s">
        <v>26</v>
      </c>
      <c r="G621" s="244" t="s">
        <v>22</v>
      </c>
      <c r="H621" s="244">
        <v>0</v>
      </c>
      <c r="I621" s="244">
        <v>6</v>
      </c>
      <c r="J621" s="242">
        <f>Table47[[#This Row],[ทดแทนจำนวน]]+Table47[[#This Row],[เพิ่มประสิทธิภาพจำนวน]]</f>
        <v>6</v>
      </c>
      <c r="K621" s="245">
        <v>11340</v>
      </c>
      <c r="L621" s="248" t="s">
        <v>1941</v>
      </c>
    </row>
    <row r="622" spans="1:12">
      <c r="A622" s="246" t="s">
        <v>1932</v>
      </c>
      <c r="B622" s="244">
        <v>2570</v>
      </c>
      <c r="C622" s="241" t="s">
        <v>447</v>
      </c>
      <c r="D622" s="241" t="s">
        <v>477</v>
      </c>
      <c r="E622" s="244" t="s">
        <v>486</v>
      </c>
      <c r="F622" s="244" t="s">
        <v>26</v>
      </c>
      <c r="G622" s="244" t="s">
        <v>22</v>
      </c>
      <c r="H622" s="244">
        <v>0</v>
      </c>
      <c r="I622" s="244">
        <v>2</v>
      </c>
      <c r="J622" s="242">
        <f>Table47[[#This Row],[ทดแทนจำนวน]]+Table47[[#This Row],[เพิ่มประสิทธิภาพจำนวน]]</f>
        <v>2</v>
      </c>
      <c r="K622" s="245">
        <v>43800</v>
      </c>
      <c r="L622" s="248" t="s">
        <v>1941</v>
      </c>
    </row>
    <row r="623" spans="1:12">
      <c r="A623" s="246" t="s">
        <v>1933</v>
      </c>
      <c r="B623" s="244">
        <v>2570</v>
      </c>
      <c r="C623" s="241" t="s">
        <v>447</v>
      </c>
      <c r="D623" s="241" t="s">
        <v>477</v>
      </c>
      <c r="E623" s="244" t="s">
        <v>485</v>
      </c>
      <c r="F623" s="244" t="s">
        <v>26</v>
      </c>
      <c r="G623" s="244" t="s">
        <v>22</v>
      </c>
      <c r="H623" s="244">
        <v>0</v>
      </c>
      <c r="I623" s="244">
        <v>2</v>
      </c>
      <c r="J623" s="242">
        <f>Table47[[#This Row],[ทดแทนจำนวน]]+Table47[[#This Row],[เพิ่มประสิทธิภาพจำนวน]]</f>
        <v>2</v>
      </c>
      <c r="K623" s="245">
        <v>20000</v>
      </c>
      <c r="L623" s="248" t="s">
        <v>1941</v>
      </c>
    </row>
    <row r="624" spans="1:12">
      <c r="A624" s="246" t="s">
        <v>1934</v>
      </c>
      <c r="B624" s="244">
        <v>2570</v>
      </c>
      <c r="C624" s="241" t="s">
        <v>447</v>
      </c>
      <c r="D624" s="241" t="s">
        <v>479</v>
      </c>
      <c r="E624" s="244" t="s">
        <v>484</v>
      </c>
      <c r="F624" s="244" t="s">
        <v>26</v>
      </c>
      <c r="G624" s="244" t="s">
        <v>22</v>
      </c>
      <c r="H624" s="244">
        <v>0</v>
      </c>
      <c r="I624" s="244">
        <v>1</v>
      </c>
      <c r="J624" s="242">
        <f>Table47[[#This Row],[ทดแทนจำนวน]]+Table47[[#This Row],[เพิ่มประสิทธิภาพจำนวน]]</f>
        <v>1</v>
      </c>
      <c r="K624" s="245">
        <v>26900</v>
      </c>
      <c r="L624" s="248" t="s">
        <v>1941</v>
      </c>
    </row>
    <row r="625" spans="1:12">
      <c r="A625" s="246" t="s">
        <v>1935</v>
      </c>
      <c r="B625" s="244">
        <v>2570</v>
      </c>
      <c r="C625" s="241" t="s">
        <v>447</v>
      </c>
      <c r="D625" s="241" t="s">
        <v>479</v>
      </c>
      <c r="E625" s="244" t="s">
        <v>483</v>
      </c>
      <c r="F625" s="244" t="s">
        <v>26</v>
      </c>
      <c r="G625" s="244" t="s">
        <v>22</v>
      </c>
      <c r="H625" s="244">
        <v>0</v>
      </c>
      <c r="I625" s="244">
        <v>11</v>
      </c>
      <c r="J625" s="242">
        <f>Table47[[#This Row],[ทดแทนจำนวน]]+Table47[[#This Row],[เพิ่มประสิทธิภาพจำนวน]]</f>
        <v>11</v>
      </c>
      <c r="K625" s="245">
        <v>43890</v>
      </c>
      <c r="L625" s="248" t="s">
        <v>1941</v>
      </c>
    </row>
    <row r="626" spans="1:12">
      <c r="A626" s="246" t="s">
        <v>1936</v>
      </c>
      <c r="B626" s="244">
        <v>2570</v>
      </c>
      <c r="C626" s="241" t="s">
        <v>447</v>
      </c>
      <c r="D626" s="241" t="s">
        <v>479</v>
      </c>
      <c r="E626" s="244" t="s">
        <v>482</v>
      </c>
      <c r="F626" s="244" t="s">
        <v>26</v>
      </c>
      <c r="G626" s="244" t="s">
        <v>22</v>
      </c>
      <c r="H626" s="244">
        <v>0</v>
      </c>
      <c r="I626" s="244">
        <v>11</v>
      </c>
      <c r="J626" s="242">
        <f>Table47[[#This Row],[ทดแทนจำนวน]]+Table47[[#This Row],[เพิ่มประสิทธิภาพจำนวน]]</f>
        <v>11</v>
      </c>
      <c r="K626" s="245">
        <v>18590</v>
      </c>
      <c r="L626" s="248" t="s">
        <v>1941</v>
      </c>
    </row>
    <row r="627" spans="1:12">
      <c r="A627" s="246" t="s">
        <v>1937</v>
      </c>
      <c r="B627" s="244">
        <v>2570</v>
      </c>
      <c r="C627" s="241" t="s">
        <v>447</v>
      </c>
      <c r="D627" s="241" t="s">
        <v>479</v>
      </c>
      <c r="E627" s="244" t="s">
        <v>481</v>
      </c>
      <c r="F627" s="244" t="s">
        <v>26</v>
      </c>
      <c r="G627" s="244" t="s">
        <v>22</v>
      </c>
      <c r="H627" s="244">
        <v>0</v>
      </c>
      <c r="I627" s="244">
        <v>1</v>
      </c>
      <c r="J627" s="242">
        <f>Table47[[#This Row],[ทดแทนจำนวน]]+Table47[[#This Row],[เพิ่มประสิทธิภาพจำนวน]]</f>
        <v>1</v>
      </c>
      <c r="K627" s="245">
        <v>36000</v>
      </c>
      <c r="L627" s="248" t="s">
        <v>1941</v>
      </c>
    </row>
    <row r="628" spans="1:12">
      <c r="A628" s="246" t="s">
        <v>1938</v>
      </c>
      <c r="B628" s="244">
        <v>2570</v>
      </c>
      <c r="C628" s="241" t="s">
        <v>447</v>
      </c>
      <c r="D628" s="241" t="s">
        <v>479</v>
      </c>
      <c r="E628" s="244" t="s">
        <v>480</v>
      </c>
      <c r="F628" s="244" t="s">
        <v>26</v>
      </c>
      <c r="G628" s="244" t="s">
        <v>22</v>
      </c>
      <c r="H628" s="244">
        <v>0</v>
      </c>
      <c r="I628" s="244">
        <v>1</v>
      </c>
      <c r="J628" s="242">
        <f>Table47[[#This Row],[ทดแทนจำนวน]]+Table47[[#This Row],[เพิ่มประสิทธิภาพจำนวน]]</f>
        <v>1</v>
      </c>
      <c r="K628" s="245">
        <v>35900</v>
      </c>
      <c r="L628" s="248" t="s">
        <v>1941</v>
      </c>
    </row>
    <row r="629" spans="1:12">
      <c r="A629" s="246" t="s">
        <v>1939</v>
      </c>
      <c r="B629" s="244">
        <v>2570</v>
      </c>
      <c r="C629" s="241" t="s">
        <v>447</v>
      </c>
      <c r="D629" s="241" t="s">
        <v>479</v>
      </c>
      <c r="E629" s="244" t="s">
        <v>478</v>
      </c>
      <c r="F629" s="244" t="s">
        <v>26</v>
      </c>
      <c r="G629" s="244" t="s">
        <v>22</v>
      </c>
      <c r="H629" s="244">
        <v>0</v>
      </c>
      <c r="I629" s="244">
        <v>1</v>
      </c>
      <c r="J629" s="242">
        <f>Table47[[#This Row],[ทดแทนจำนวน]]+Table47[[#This Row],[เพิ่มประสิทธิภาพจำนวน]]</f>
        <v>1</v>
      </c>
      <c r="K629" s="245">
        <v>2900</v>
      </c>
      <c r="L629" s="248" t="s">
        <v>1941</v>
      </c>
    </row>
    <row r="630" spans="1:12">
      <c r="A630" s="252" t="s">
        <v>1940</v>
      </c>
      <c r="B630" s="253">
        <v>2570</v>
      </c>
      <c r="C630" s="254" t="s">
        <v>447</v>
      </c>
      <c r="D630" s="254" t="s">
        <v>477</v>
      </c>
      <c r="E630" s="253" t="s">
        <v>473</v>
      </c>
      <c r="F630" s="253" t="s">
        <v>174</v>
      </c>
      <c r="G630" s="253" t="s">
        <v>172</v>
      </c>
      <c r="H630" s="253">
        <v>1</v>
      </c>
      <c r="I630" s="253">
        <v>0</v>
      </c>
      <c r="J630" s="242">
        <f>Table47[[#This Row],[ทดแทนจำนวน]]+Table47[[#This Row],[เพิ่มประสิทธิภาพจำนวน]]</f>
        <v>1</v>
      </c>
      <c r="K630" s="255">
        <v>48600</v>
      </c>
      <c r="L630" s="256" t="s">
        <v>589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DC1A6D-9BD3-4722-98B1-10D1C4C69841}">
  <sheetPr>
    <tabColor rgb="FF7030A0"/>
  </sheetPr>
  <dimension ref="A1:BH460"/>
  <sheetViews>
    <sheetView topLeftCell="B1" zoomScale="70" zoomScaleNormal="70" zoomScaleSheetLayoutView="78" workbookViewId="0">
      <pane ySplit="2" topLeftCell="A450" activePane="bottomLeft" state="frozen"/>
      <selection pane="bottomLeft" activeCell="S456" sqref="S456"/>
    </sheetView>
  </sheetViews>
  <sheetFormatPr defaultRowHeight="21"/>
  <cols>
    <col min="1" max="2" width="13" style="76" customWidth="1"/>
    <col min="3" max="3" width="16.5703125" style="77" bestFit="1" customWidth="1"/>
    <col min="4" max="4" width="15.140625" style="77" bestFit="1" customWidth="1"/>
    <col min="5" max="5" width="15.42578125" style="77" bestFit="1" customWidth="1"/>
    <col min="6" max="6" width="15.140625" style="77" bestFit="1" customWidth="1"/>
    <col min="7" max="7" width="47.85546875" style="77" bestFit="1" customWidth="1"/>
    <col min="8" max="8" width="15.85546875" style="77" customWidth="1"/>
    <col min="9" max="9" width="13" style="77" customWidth="1"/>
    <col min="10" max="10" width="13" style="82" customWidth="1"/>
    <col min="11" max="11" width="14.28515625" style="82" customWidth="1"/>
    <col min="12" max="12" width="16.140625" style="81" bestFit="1" customWidth="1"/>
    <col min="13" max="16" width="14.28515625" style="79" customWidth="1"/>
    <col min="17" max="17" width="14.28515625" style="80" customWidth="1"/>
    <col min="18" max="18" width="14.28515625" style="79" customWidth="1"/>
    <col min="19" max="19" width="21.85546875" style="79" bestFit="1" customWidth="1"/>
    <col min="20" max="20" width="19.42578125" style="78" customWidth="1"/>
    <col min="21" max="21" width="54.85546875" style="77" customWidth="1"/>
    <col min="22" max="22" width="17.28515625" style="219" customWidth="1"/>
    <col min="23" max="23" width="9.140625" style="219"/>
    <col min="24" max="16384" width="9.140625" style="76"/>
  </cols>
  <sheetData>
    <row r="1" spans="1:60" s="136" customFormat="1">
      <c r="A1" s="237" t="s">
        <v>1284</v>
      </c>
      <c r="B1" s="237" t="s">
        <v>1533</v>
      </c>
      <c r="C1" s="222" t="s">
        <v>1285</v>
      </c>
      <c r="D1" s="222" t="s">
        <v>1286</v>
      </c>
      <c r="E1" s="222" t="s">
        <v>1287</v>
      </c>
      <c r="F1" s="222" t="s">
        <v>1288</v>
      </c>
      <c r="G1" s="222" t="s">
        <v>1289</v>
      </c>
      <c r="H1" s="222" t="s">
        <v>1290</v>
      </c>
      <c r="I1" s="222" t="s">
        <v>1291</v>
      </c>
      <c r="J1" s="222" t="s">
        <v>1292</v>
      </c>
      <c r="K1" s="222" t="s">
        <v>1293</v>
      </c>
      <c r="L1" s="223" t="s">
        <v>1294</v>
      </c>
      <c r="M1" s="222" t="s">
        <v>1295</v>
      </c>
      <c r="N1" s="222" t="s">
        <v>1296</v>
      </c>
      <c r="O1" s="222" t="s">
        <v>1297</v>
      </c>
      <c r="P1" s="222" t="s">
        <v>1298</v>
      </c>
      <c r="Q1" s="222" t="s">
        <v>1299</v>
      </c>
      <c r="R1" s="222" t="s">
        <v>1300</v>
      </c>
      <c r="S1" s="222" t="s">
        <v>1301</v>
      </c>
      <c r="T1" s="223" t="s">
        <v>1302</v>
      </c>
      <c r="U1" s="224" t="s">
        <v>1303</v>
      </c>
      <c r="V1" s="216"/>
      <c r="W1" s="216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</row>
    <row r="2" spans="1:60" s="136" customFormat="1" ht="84">
      <c r="A2" s="230" t="s">
        <v>1276</v>
      </c>
      <c r="B2" s="230" t="s">
        <v>1310</v>
      </c>
      <c r="C2" s="175" t="s">
        <v>1275</v>
      </c>
      <c r="D2" s="175" t="s">
        <v>1274</v>
      </c>
      <c r="E2" s="175" t="s">
        <v>1142</v>
      </c>
      <c r="F2" s="175" t="s">
        <v>1273</v>
      </c>
      <c r="G2" s="175" t="s">
        <v>4</v>
      </c>
      <c r="H2" s="175" t="s">
        <v>5</v>
      </c>
      <c r="I2" s="175"/>
      <c r="J2" s="175" t="s">
        <v>2</v>
      </c>
      <c r="K2" s="175" t="s">
        <v>1</v>
      </c>
      <c r="L2" s="174" t="s">
        <v>1272</v>
      </c>
      <c r="M2" s="175" t="s">
        <v>1271</v>
      </c>
      <c r="N2" s="175" t="s">
        <v>1270</v>
      </c>
      <c r="O2" s="175" t="s">
        <v>1269</v>
      </c>
      <c r="P2" s="175" t="s">
        <v>1268</v>
      </c>
      <c r="Q2" s="175" t="s">
        <v>1267</v>
      </c>
      <c r="R2" s="175" t="s">
        <v>1266</v>
      </c>
      <c r="S2" s="175" t="s">
        <v>1265</v>
      </c>
      <c r="T2" s="174" t="s">
        <v>1264</v>
      </c>
      <c r="U2" s="173" t="s">
        <v>1263</v>
      </c>
      <c r="V2" s="216"/>
      <c r="W2" s="216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</row>
    <row r="3" spans="1:60" s="136" customFormat="1" ht="147">
      <c r="A3" s="231" t="s">
        <v>447</v>
      </c>
      <c r="B3" s="231">
        <v>2570</v>
      </c>
      <c r="C3" s="118" t="s">
        <v>527</v>
      </c>
      <c r="D3" s="118" t="s">
        <v>621</v>
      </c>
      <c r="E3" s="118" t="s">
        <v>620</v>
      </c>
      <c r="F3" s="118" t="s">
        <v>1255</v>
      </c>
      <c r="G3" s="118" t="s">
        <v>1262</v>
      </c>
      <c r="H3" s="113" t="s">
        <v>66</v>
      </c>
      <c r="I3" s="113"/>
      <c r="J3" s="113" t="s">
        <v>64</v>
      </c>
      <c r="K3" s="113" t="s">
        <v>63</v>
      </c>
      <c r="L3" s="121">
        <f>M3*T3</f>
        <v>5028000</v>
      </c>
      <c r="M3" s="116">
        <f>Q3+R3</f>
        <v>3</v>
      </c>
      <c r="N3" s="113" t="s">
        <v>533</v>
      </c>
      <c r="O3" s="114"/>
      <c r="P3" s="114"/>
      <c r="Q3" s="113">
        <v>3</v>
      </c>
      <c r="R3" s="113"/>
      <c r="S3" s="113" t="s">
        <v>1261</v>
      </c>
      <c r="T3" s="120">
        <v>1676000</v>
      </c>
      <c r="U3" s="111" t="s">
        <v>1260</v>
      </c>
      <c r="V3" s="216"/>
      <c r="W3" s="216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</row>
    <row r="4" spans="1:60" s="136" customFormat="1" ht="126">
      <c r="A4" s="231" t="s">
        <v>447</v>
      </c>
      <c r="B4" s="231">
        <v>2570</v>
      </c>
      <c r="C4" s="118" t="s">
        <v>527</v>
      </c>
      <c r="D4" s="118" t="s">
        <v>621</v>
      </c>
      <c r="E4" s="118" t="s">
        <v>620</v>
      </c>
      <c r="F4" s="118" t="s">
        <v>1255</v>
      </c>
      <c r="G4" s="118" t="s">
        <v>1152</v>
      </c>
      <c r="H4" s="113" t="s">
        <v>66</v>
      </c>
      <c r="I4" s="113"/>
      <c r="J4" s="113" t="s">
        <v>64</v>
      </c>
      <c r="K4" s="113" t="s">
        <v>63</v>
      </c>
      <c r="L4" s="121">
        <f>M4*T4</f>
        <v>2996000</v>
      </c>
      <c r="M4" s="116">
        <f>Q4+R4</f>
        <v>2</v>
      </c>
      <c r="N4" s="113" t="s">
        <v>533</v>
      </c>
      <c r="O4" s="114"/>
      <c r="P4" s="114" t="s">
        <v>472</v>
      </c>
      <c r="Q4" s="113">
        <v>2</v>
      </c>
      <c r="R4" s="113"/>
      <c r="S4" s="113" t="s">
        <v>1259</v>
      </c>
      <c r="T4" s="120">
        <v>1498000</v>
      </c>
      <c r="U4" s="111" t="s">
        <v>1258</v>
      </c>
      <c r="V4" s="216"/>
      <c r="W4" s="216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</row>
    <row r="5" spans="1:60" s="124" customFormat="1" ht="126">
      <c r="A5" s="231" t="s">
        <v>447</v>
      </c>
      <c r="B5" s="231">
        <v>2570</v>
      </c>
      <c r="C5" s="118" t="s">
        <v>527</v>
      </c>
      <c r="D5" s="118" t="s">
        <v>621</v>
      </c>
      <c r="E5" s="118" t="s">
        <v>620</v>
      </c>
      <c r="F5" s="118" t="s">
        <v>1255</v>
      </c>
      <c r="G5" s="118" t="s">
        <v>1152</v>
      </c>
      <c r="H5" s="113" t="s">
        <v>66</v>
      </c>
      <c r="I5" s="113"/>
      <c r="J5" s="113" t="s">
        <v>64</v>
      </c>
      <c r="K5" s="113" t="s">
        <v>63</v>
      </c>
      <c r="L5" s="121">
        <f>M5*T5</f>
        <v>1498000</v>
      </c>
      <c r="M5" s="116">
        <f>Q5+R5</f>
        <v>1</v>
      </c>
      <c r="N5" s="113" t="s">
        <v>533</v>
      </c>
      <c r="O5" s="114"/>
      <c r="P5" s="114" t="s">
        <v>472</v>
      </c>
      <c r="Q5" s="113">
        <v>1</v>
      </c>
      <c r="R5" s="113"/>
      <c r="S5" s="113" t="s">
        <v>1257</v>
      </c>
      <c r="T5" s="120">
        <v>1498000</v>
      </c>
      <c r="U5" s="111" t="s">
        <v>1256</v>
      </c>
      <c r="V5" s="217"/>
      <c r="W5" s="217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</row>
    <row r="6" spans="1:60" s="136" customFormat="1" ht="139.5">
      <c r="A6" s="232" t="s">
        <v>447</v>
      </c>
      <c r="B6" s="231">
        <v>2570</v>
      </c>
      <c r="C6" s="100" t="s">
        <v>555</v>
      </c>
      <c r="D6" s="100" t="s">
        <v>621</v>
      </c>
      <c r="E6" s="100" t="s">
        <v>620</v>
      </c>
      <c r="F6" s="100" t="s">
        <v>1255</v>
      </c>
      <c r="G6" s="100" t="s">
        <v>1254</v>
      </c>
      <c r="H6" s="96" t="s">
        <v>66</v>
      </c>
      <c r="I6" s="96"/>
      <c r="J6" s="96" t="s">
        <v>64</v>
      </c>
      <c r="K6" s="96" t="s">
        <v>63</v>
      </c>
      <c r="L6" s="99">
        <f>M6*T6</f>
        <v>172000</v>
      </c>
      <c r="M6" s="98">
        <f>Q6+R6</f>
        <v>8</v>
      </c>
      <c r="N6" s="96" t="s">
        <v>558</v>
      </c>
      <c r="O6" s="97" t="s">
        <v>472</v>
      </c>
      <c r="P6" s="97"/>
      <c r="Q6" s="96"/>
      <c r="R6" s="96">
        <v>8</v>
      </c>
      <c r="S6" s="96"/>
      <c r="T6" s="95">
        <v>21500</v>
      </c>
      <c r="U6" s="131" t="s">
        <v>1253</v>
      </c>
      <c r="V6" s="216"/>
      <c r="W6" s="216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</row>
    <row r="7" spans="1:60" s="136" customFormat="1" ht="189">
      <c r="A7" s="231" t="s">
        <v>447</v>
      </c>
      <c r="B7" s="231">
        <v>2570</v>
      </c>
      <c r="C7" s="118" t="s">
        <v>527</v>
      </c>
      <c r="D7" s="118" t="s">
        <v>1167</v>
      </c>
      <c r="E7" s="118" t="s">
        <v>1166</v>
      </c>
      <c r="F7" s="118" t="s">
        <v>1165</v>
      </c>
      <c r="G7" s="118" t="s">
        <v>1152</v>
      </c>
      <c r="H7" s="113" t="s">
        <v>70</v>
      </c>
      <c r="I7" s="113"/>
      <c r="J7" s="113" t="s">
        <v>64</v>
      </c>
      <c r="K7" s="113" t="s">
        <v>63</v>
      </c>
      <c r="L7" s="121">
        <v>1498000</v>
      </c>
      <c r="M7" s="116">
        <v>1</v>
      </c>
      <c r="N7" s="113" t="s">
        <v>533</v>
      </c>
      <c r="O7" s="114"/>
      <c r="P7" s="114" t="s">
        <v>472</v>
      </c>
      <c r="Q7" s="113">
        <v>1</v>
      </c>
      <c r="R7" s="113"/>
      <c r="S7" s="113" t="s">
        <v>1252</v>
      </c>
      <c r="T7" s="120">
        <v>1498000</v>
      </c>
      <c r="U7" s="111" t="s">
        <v>1251</v>
      </c>
      <c r="V7" s="216"/>
      <c r="W7" s="216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</row>
    <row r="8" spans="1:60" s="136" customFormat="1" ht="189">
      <c r="A8" s="231" t="s">
        <v>447</v>
      </c>
      <c r="B8" s="231">
        <v>2570</v>
      </c>
      <c r="C8" s="118" t="s">
        <v>527</v>
      </c>
      <c r="D8" s="118" t="s">
        <v>1167</v>
      </c>
      <c r="E8" s="118" t="s">
        <v>1166</v>
      </c>
      <c r="F8" s="118" t="s">
        <v>1165</v>
      </c>
      <c r="G8" s="118" t="s">
        <v>1152</v>
      </c>
      <c r="H8" s="113" t="s">
        <v>70</v>
      </c>
      <c r="I8" s="113"/>
      <c r="J8" s="113" t="s">
        <v>64</v>
      </c>
      <c r="K8" s="113" t="s">
        <v>63</v>
      </c>
      <c r="L8" s="121">
        <v>1498000</v>
      </c>
      <c r="M8" s="116">
        <v>1</v>
      </c>
      <c r="N8" s="113" t="s">
        <v>533</v>
      </c>
      <c r="O8" s="114"/>
      <c r="P8" s="114" t="s">
        <v>472</v>
      </c>
      <c r="Q8" s="113">
        <v>1</v>
      </c>
      <c r="R8" s="113"/>
      <c r="S8" s="113" t="s">
        <v>1250</v>
      </c>
      <c r="T8" s="120">
        <v>1498000</v>
      </c>
      <c r="U8" s="111" t="s">
        <v>1249</v>
      </c>
      <c r="V8" s="216"/>
      <c r="W8" s="216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</row>
    <row r="9" spans="1:60" s="136" customFormat="1" ht="189">
      <c r="A9" s="231" t="s">
        <v>447</v>
      </c>
      <c r="B9" s="231">
        <v>2570</v>
      </c>
      <c r="C9" s="118" t="s">
        <v>527</v>
      </c>
      <c r="D9" s="118" t="s">
        <v>1167</v>
      </c>
      <c r="E9" s="118" t="s">
        <v>1166</v>
      </c>
      <c r="F9" s="118" t="s">
        <v>1165</v>
      </c>
      <c r="G9" s="118" t="s">
        <v>1152</v>
      </c>
      <c r="H9" s="113" t="s">
        <v>70</v>
      </c>
      <c r="I9" s="113"/>
      <c r="J9" s="113" t="s">
        <v>64</v>
      </c>
      <c r="K9" s="113" t="s">
        <v>63</v>
      </c>
      <c r="L9" s="121">
        <v>1498000</v>
      </c>
      <c r="M9" s="116">
        <v>1</v>
      </c>
      <c r="N9" s="113" t="s">
        <v>533</v>
      </c>
      <c r="O9" s="114"/>
      <c r="P9" s="114" t="s">
        <v>472</v>
      </c>
      <c r="Q9" s="113">
        <v>1</v>
      </c>
      <c r="R9" s="113"/>
      <c r="S9" s="113" t="s">
        <v>1248</v>
      </c>
      <c r="T9" s="120">
        <v>1498000</v>
      </c>
      <c r="U9" s="111" t="s">
        <v>1247</v>
      </c>
      <c r="V9" s="216"/>
      <c r="W9" s="216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</row>
    <row r="10" spans="1:60" s="136" customFormat="1" ht="189">
      <c r="A10" s="231" t="s">
        <v>447</v>
      </c>
      <c r="B10" s="231">
        <v>2570</v>
      </c>
      <c r="C10" s="118" t="s">
        <v>527</v>
      </c>
      <c r="D10" s="118" t="s">
        <v>1167</v>
      </c>
      <c r="E10" s="118" t="s">
        <v>1166</v>
      </c>
      <c r="F10" s="118" t="s">
        <v>1165</v>
      </c>
      <c r="G10" s="118" t="s">
        <v>1246</v>
      </c>
      <c r="H10" s="113" t="s">
        <v>70</v>
      </c>
      <c r="I10" s="113"/>
      <c r="J10" s="113" t="s">
        <v>64</v>
      </c>
      <c r="K10" s="113" t="s">
        <v>63</v>
      </c>
      <c r="L10" s="121">
        <v>1172000</v>
      </c>
      <c r="M10" s="116">
        <v>1</v>
      </c>
      <c r="N10" s="113" t="s">
        <v>533</v>
      </c>
      <c r="O10" s="114" t="s">
        <v>472</v>
      </c>
      <c r="P10" s="114"/>
      <c r="Q10" s="113">
        <v>1</v>
      </c>
      <c r="R10" s="113"/>
      <c r="S10" s="113" t="s">
        <v>1245</v>
      </c>
      <c r="T10" s="120">
        <v>1172000</v>
      </c>
      <c r="U10" s="111" t="s">
        <v>1244</v>
      </c>
      <c r="V10" s="216"/>
      <c r="W10" s="216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</row>
    <row r="11" spans="1:60" s="124" customFormat="1" ht="189">
      <c r="A11" s="231" t="s">
        <v>447</v>
      </c>
      <c r="B11" s="231">
        <v>2570</v>
      </c>
      <c r="C11" s="118" t="s">
        <v>527</v>
      </c>
      <c r="D11" s="118" t="s">
        <v>1167</v>
      </c>
      <c r="E11" s="118" t="s">
        <v>1166</v>
      </c>
      <c r="F11" s="118" t="s">
        <v>1165</v>
      </c>
      <c r="G11" s="118" t="s">
        <v>1243</v>
      </c>
      <c r="H11" s="113" t="s">
        <v>70</v>
      </c>
      <c r="I11" s="113"/>
      <c r="J11" s="113" t="s">
        <v>64</v>
      </c>
      <c r="K11" s="113" t="s">
        <v>63</v>
      </c>
      <c r="L11" s="121">
        <v>35900</v>
      </c>
      <c r="M11" s="116">
        <v>1</v>
      </c>
      <c r="N11" s="113" t="s">
        <v>629</v>
      </c>
      <c r="O11" s="114" t="s">
        <v>472</v>
      </c>
      <c r="P11" s="114"/>
      <c r="Q11" s="113">
        <v>1</v>
      </c>
      <c r="R11" s="113"/>
      <c r="S11" s="169" t="s">
        <v>1242</v>
      </c>
      <c r="T11" s="120">
        <v>35900</v>
      </c>
      <c r="U11" s="111" t="s">
        <v>1241</v>
      </c>
      <c r="V11" s="217"/>
      <c r="W11" s="217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</row>
    <row r="12" spans="1:60" s="124" customFormat="1" ht="162.75">
      <c r="A12" s="232" t="s">
        <v>447</v>
      </c>
      <c r="B12" s="231">
        <v>2570</v>
      </c>
      <c r="C12" s="100" t="s">
        <v>538</v>
      </c>
      <c r="D12" s="100" t="s">
        <v>1167</v>
      </c>
      <c r="E12" s="100" t="s">
        <v>1166</v>
      </c>
      <c r="F12" s="100" t="s">
        <v>1165</v>
      </c>
      <c r="G12" s="100" t="s">
        <v>1240</v>
      </c>
      <c r="H12" s="96" t="s">
        <v>114</v>
      </c>
      <c r="I12" s="96"/>
      <c r="J12" s="96" t="s">
        <v>110</v>
      </c>
      <c r="K12" s="96" t="s">
        <v>63</v>
      </c>
      <c r="L12" s="99">
        <v>51000</v>
      </c>
      <c r="M12" s="98">
        <v>3</v>
      </c>
      <c r="N12" s="96" t="s">
        <v>558</v>
      </c>
      <c r="O12" s="97" t="s">
        <v>472</v>
      </c>
      <c r="P12" s="97"/>
      <c r="Q12" s="96">
        <v>3</v>
      </c>
      <c r="R12" s="96"/>
      <c r="S12" s="96" t="s">
        <v>1239</v>
      </c>
      <c r="T12" s="95">
        <v>17000</v>
      </c>
      <c r="U12" s="94" t="s">
        <v>1238</v>
      </c>
      <c r="V12" s="217"/>
      <c r="W12" s="217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</row>
    <row r="13" spans="1:60" s="124" customFormat="1" ht="186">
      <c r="A13" s="232" t="s">
        <v>447</v>
      </c>
      <c r="B13" s="231">
        <v>2570</v>
      </c>
      <c r="C13" s="100" t="s">
        <v>538</v>
      </c>
      <c r="D13" s="100" t="s">
        <v>1167</v>
      </c>
      <c r="E13" s="100" t="s">
        <v>1166</v>
      </c>
      <c r="F13" s="100" t="s">
        <v>1165</v>
      </c>
      <c r="G13" s="100" t="s">
        <v>1237</v>
      </c>
      <c r="H13" s="96" t="s">
        <v>114</v>
      </c>
      <c r="I13" s="96"/>
      <c r="J13" s="96" t="s">
        <v>110</v>
      </c>
      <c r="K13" s="96" t="s">
        <v>63</v>
      </c>
      <c r="L13" s="99">
        <v>19000</v>
      </c>
      <c r="M13" s="98">
        <v>2</v>
      </c>
      <c r="N13" s="96" t="s">
        <v>558</v>
      </c>
      <c r="O13" s="97" t="s">
        <v>472</v>
      </c>
      <c r="P13" s="97"/>
      <c r="Q13" s="107"/>
      <c r="R13" s="96"/>
      <c r="S13" s="96"/>
      <c r="T13" s="95">
        <v>9500</v>
      </c>
      <c r="U13" s="94" t="s">
        <v>1236</v>
      </c>
      <c r="V13" s="217"/>
      <c r="W13" s="217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</row>
    <row r="14" spans="1:60" s="124" customFormat="1" ht="209.25">
      <c r="A14" s="232" t="s">
        <v>447</v>
      </c>
      <c r="B14" s="231">
        <v>2570</v>
      </c>
      <c r="C14" s="100" t="s">
        <v>538</v>
      </c>
      <c r="D14" s="100" t="s">
        <v>1167</v>
      </c>
      <c r="E14" s="100" t="s">
        <v>1166</v>
      </c>
      <c r="F14" s="100" t="s">
        <v>1165</v>
      </c>
      <c r="G14" s="100" t="s">
        <v>1235</v>
      </c>
      <c r="H14" s="96" t="s">
        <v>114</v>
      </c>
      <c r="I14" s="96"/>
      <c r="J14" s="96" t="s">
        <v>110</v>
      </c>
      <c r="K14" s="96" t="s">
        <v>63</v>
      </c>
      <c r="L14" s="99">
        <v>102400</v>
      </c>
      <c r="M14" s="98">
        <v>8</v>
      </c>
      <c r="N14" s="96" t="s">
        <v>558</v>
      </c>
      <c r="O14" s="97"/>
      <c r="P14" s="97" t="s">
        <v>472</v>
      </c>
      <c r="Q14" s="107"/>
      <c r="R14" s="96">
        <v>8</v>
      </c>
      <c r="S14" s="96"/>
      <c r="T14" s="95">
        <v>12800</v>
      </c>
      <c r="U14" s="94" t="s">
        <v>1234</v>
      </c>
      <c r="V14" s="217"/>
      <c r="W14" s="217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</row>
    <row r="15" spans="1:60" s="136" customFormat="1" ht="232.5">
      <c r="A15" s="232" t="s">
        <v>447</v>
      </c>
      <c r="B15" s="231">
        <v>2570</v>
      </c>
      <c r="C15" s="100" t="s">
        <v>555</v>
      </c>
      <c r="D15" s="100" t="s">
        <v>1167</v>
      </c>
      <c r="E15" s="100" t="s">
        <v>1166</v>
      </c>
      <c r="F15" s="100" t="s">
        <v>1165</v>
      </c>
      <c r="G15" s="100" t="s">
        <v>1233</v>
      </c>
      <c r="H15" s="96" t="s">
        <v>114</v>
      </c>
      <c r="I15" s="96"/>
      <c r="J15" s="96" t="s">
        <v>110</v>
      </c>
      <c r="K15" s="96" t="s">
        <v>63</v>
      </c>
      <c r="L15" s="99">
        <v>236000</v>
      </c>
      <c r="M15" s="98">
        <v>5</v>
      </c>
      <c r="N15" s="96" t="s">
        <v>558</v>
      </c>
      <c r="O15" s="97" t="s">
        <v>472</v>
      </c>
      <c r="P15" s="97"/>
      <c r="Q15" s="96">
        <v>5</v>
      </c>
      <c r="R15" s="96"/>
      <c r="S15" s="96" t="s">
        <v>1232</v>
      </c>
      <c r="T15" s="95">
        <v>47200</v>
      </c>
      <c r="U15" s="94" t="s">
        <v>1231</v>
      </c>
      <c r="V15" s="216"/>
      <c r="W15" s="216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</row>
    <row r="16" spans="1:60" s="124" customFormat="1" ht="189">
      <c r="A16" s="231" t="s">
        <v>447</v>
      </c>
      <c r="B16" s="231">
        <v>2570</v>
      </c>
      <c r="C16" s="118" t="s">
        <v>527</v>
      </c>
      <c r="D16" s="118" t="s">
        <v>1167</v>
      </c>
      <c r="E16" s="118" t="s">
        <v>1166</v>
      </c>
      <c r="F16" s="118" t="s">
        <v>1165</v>
      </c>
      <c r="G16" s="118" t="s">
        <v>1230</v>
      </c>
      <c r="H16" s="113" t="s">
        <v>114</v>
      </c>
      <c r="I16" s="113"/>
      <c r="J16" s="113" t="s">
        <v>110</v>
      </c>
      <c r="K16" s="113" t="s">
        <v>63</v>
      </c>
      <c r="L16" s="121">
        <v>1329000</v>
      </c>
      <c r="M16" s="116">
        <v>1</v>
      </c>
      <c r="N16" s="113" t="s">
        <v>533</v>
      </c>
      <c r="O16" s="114"/>
      <c r="P16" s="114" t="s">
        <v>472</v>
      </c>
      <c r="Q16" s="113">
        <v>1</v>
      </c>
      <c r="R16" s="113"/>
      <c r="S16" s="113" t="s">
        <v>1229</v>
      </c>
      <c r="T16" s="120">
        <v>1329000</v>
      </c>
      <c r="U16" s="111" t="s">
        <v>1228</v>
      </c>
      <c r="V16" s="217"/>
      <c r="W16" s="217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</row>
    <row r="17" spans="1:60" s="136" customFormat="1" ht="162.75">
      <c r="A17" s="232" t="s">
        <v>447</v>
      </c>
      <c r="B17" s="231">
        <v>2570</v>
      </c>
      <c r="C17" s="100" t="s">
        <v>477</v>
      </c>
      <c r="D17" s="100" t="s">
        <v>1167</v>
      </c>
      <c r="E17" s="100" t="s">
        <v>1166</v>
      </c>
      <c r="F17" s="100" t="s">
        <v>1165</v>
      </c>
      <c r="G17" s="100" t="s">
        <v>1227</v>
      </c>
      <c r="H17" s="96" t="s">
        <v>21</v>
      </c>
      <c r="I17" s="96"/>
      <c r="J17" s="96" t="s">
        <v>14</v>
      </c>
      <c r="K17" s="96" t="s">
        <v>13</v>
      </c>
      <c r="L17" s="99">
        <v>39900</v>
      </c>
      <c r="M17" s="98">
        <v>1</v>
      </c>
      <c r="N17" s="96" t="s">
        <v>558</v>
      </c>
      <c r="O17" s="97"/>
      <c r="P17" s="97" t="s">
        <v>472</v>
      </c>
      <c r="Q17" s="107"/>
      <c r="R17" s="96">
        <v>1</v>
      </c>
      <c r="S17" s="96"/>
      <c r="T17" s="95">
        <v>39900</v>
      </c>
      <c r="U17" s="94" t="s">
        <v>1226</v>
      </c>
      <c r="V17" s="216"/>
      <c r="W17" s="216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</row>
    <row r="18" spans="1:60" s="136" customFormat="1" ht="189">
      <c r="A18" s="231" t="s">
        <v>447</v>
      </c>
      <c r="B18" s="231">
        <v>2570</v>
      </c>
      <c r="C18" s="118" t="s">
        <v>527</v>
      </c>
      <c r="D18" s="118" t="s">
        <v>1167</v>
      </c>
      <c r="E18" s="118" t="s">
        <v>1166</v>
      </c>
      <c r="F18" s="118" t="s">
        <v>1165</v>
      </c>
      <c r="G18" s="118" t="s">
        <v>1225</v>
      </c>
      <c r="H18" s="113" t="s">
        <v>21</v>
      </c>
      <c r="I18" s="113"/>
      <c r="J18" s="113" t="s">
        <v>14</v>
      </c>
      <c r="K18" s="113" t="s">
        <v>13</v>
      </c>
      <c r="L18" s="121">
        <v>1207900</v>
      </c>
      <c r="M18" s="116">
        <v>1</v>
      </c>
      <c r="N18" s="113" t="s">
        <v>533</v>
      </c>
      <c r="O18" s="114" t="s">
        <v>472</v>
      </c>
      <c r="P18" s="114"/>
      <c r="Q18" s="113">
        <v>1</v>
      </c>
      <c r="R18" s="113"/>
      <c r="S18" s="169" t="s">
        <v>1224</v>
      </c>
      <c r="T18" s="120">
        <v>1207900</v>
      </c>
      <c r="U18" s="111" t="s">
        <v>1223</v>
      </c>
      <c r="V18" s="216"/>
      <c r="W18" s="216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</row>
    <row r="19" spans="1:60" s="124" customFormat="1" ht="189">
      <c r="A19" s="231" t="s">
        <v>447</v>
      </c>
      <c r="B19" s="231">
        <v>2570</v>
      </c>
      <c r="C19" s="118" t="s">
        <v>527</v>
      </c>
      <c r="D19" s="118" t="s">
        <v>1167</v>
      </c>
      <c r="E19" s="118" t="s">
        <v>1166</v>
      </c>
      <c r="F19" s="118" t="s">
        <v>1165</v>
      </c>
      <c r="G19" s="118" t="s">
        <v>1222</v>
      </c>
      <c r="H19" s="113" t="s">
        <v>21</v>
      </c>
      <c r="I19" s="113"/>
      <c r="J19" s="113" t="s">
        <v>14</v>
      </c>
      <c r="K19" s="113" t="s">
        <v>13</v>
      </c>
      <c r="L19" s="121">
        <v>1500000</v>
      </c>
      <c r="M19" s="116">
        <v>1</v>
      </c>
      <c r="N19" s="113" t="s">
        <v>533</v>
      </c>
      <c r="O19" s="114"/>
      <c r="P19" s="114" t="s">
        <v>472</v>
      </c>
      <c r="Q19" s="113">
        <v>1</v>
      </c>
      <c r="R19" s="113"/>
      <c r="S19" s="169" t="s">
        <v>1221</v>
      </c>
      <c r="T19" s="120">
        <v>1500000</v>
      </c>
      <c r="U19" s="111" t="s">
        <v>1220</v>
      </c>
      <c r="V19" s="217"/>
      <c r="W19" s="217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</row>
    <row r="20" spans="1:60" s="124" customFormat="1" ht="162.75">
      <c r="A20" s="232" t="s">
        <v>447</v>
      </c>
      <c r="B20" s="231">
        <v>2570</v>
      </c>
      <c r="C20" s="100" t="s">
        <v>538</v>
      </c>
      <c r="D20" s="100" t="s">
        <v>1167</v>
      </c>
      <c r="E20" s="100" t="s">
        <v>1166</v>
      </c>
      <c r="F20" s="100" t="s">
        <v>1165</v>
      </c>
      <c r="G20" s="100" t="s">
        <v>1219</v>
      </c>
      <c r="H20" s="96" t="s">
        <v>21</v>
      </c>
      <c r="I20" s="96"/>
      <c r="J20" s="96" t="s">
        <v>14</v>
      </c>
      <c r="K20" s="96" t="s">
        <v>13</v>
      </c>
      <c r="L20" s="99">
        <v>8500</v>
      </c>
      <c r="M20" s="98">
        <v>1</v>
      </c>
      <c r="N20" s="96" t="s">
        <v>561</v>
      </c>
      <c r="O20" s="97" t="s">
        <v>472</v>
      </c>
      <c r="P20" s="97"/>
      <c r="Q20" s="96">
        <v>1</v>
      </c>
      <c r="R20" s="96"/>
      <c r="S20" s="172" t="s">
        <v>1218</v>
      </c>
      <c r="T20" s="95">
        <v>8500</v>
      </c>
      <c r="U20" s="94" t="s">
        <v>1217</v>
      </c>
      <c r="V20" s="217"/>
      <c r="W20" s="217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  <c r="BH20" s="125"/>
    </row>
    <row r="21" spans="1:60" s="124" customFormat="1" ht="232.5">
      <c r="A21" s="232" t="s">
        <v>447</v>
      </c>
      <c r="B21" s="231">
        <v>2570</v>
      </c>
      <c r="C21" s="100" t="s">
        <v>538</v>
      </c>
      <c r="D21" s="100" t="s">
        <v>1167</v>
      </c>
      <c r="E21" s="100" t="s">
        <v>1166</v>
      </c>
      <c r="F21" s="100" t="s">
        <v>1165</v>
      </c>
      <c r="G21" s="100" t="s">
        <v>1216</v>
      </c>
      <c r="H21" s="96" t="s">
        <v>21</v>
      </c>
      <c r="I21" s="96"/>
      <c r="J21" s="96" t="s">
        <v>14</v>
      </c>
      <c r="K21" s="96" t="s">
        <v>13</v>
      </c>
      <c r="L21" s="99">
        <v>192600</v>
      </c>
      <c r="M21" s="98">
        <v>1</v>
      </c>
      <c r="N21" s="96" t="s">
        <v>821</v>
      </c>
      <c r="O21" s="97"/>
      <c r="P21" s="97" t="s">
        <v>472</v>
      </c>
      <c r="Q21" s="107"/>
      <c r="R21" s="96">
        <v>1</v>
      </c>
      <c r="S21" s="96"/>
      <c r="T21" s="95">
        <v>192600</v>
      </c>
      <c r="U21" s="94" t="s">
        <v>1215</v>
      </c>
      <c r="V21" s="217"/>
      <c r="W21" s="217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</row>
    <row r="22" spans="1:60" s="124" customFormat="1" ht="409.5">
      <c r="A22" s="232" t="s">
        <v>447</v>
      </c>
      <c r="B22" s="231">
        <v>2570</v>
      </c>
      <c r="C22" s="100" t="s">
        <v>555</v>
      </c>
      <c r="D22" s="100" t="s">
        <v>1167</v>
      </c>
      <c r="E22" s="100" t="s">
        <v>1166</v>
      </c>
      <c r="F22" s="100" t="s">
        <v>1165</v>
      </c>
      <c r="G22" s="100" t="s">
        <v>1214</v>
      </c>
      <c r="H22" s="96" t="s">
        <v>162</v>
      </c>
      <c r="I22" s="96"/>
      <c r="J22" s="96" t="s">
        <v>160</v>
      </c>
      <c r="K22" s="96" t="s">
        <v>149</v>
      </c>
      <c r="L22" s="99">
        <v>40800</v>
      </c>
      <c r="M22" s="98">
        <v>24</v>
      </c>
      <c r="N22" s="96" t="s">
        <v>934</v>
      </c>
      <c r="O22" s="97"/>
      <c r="P22" s="97" t="s">
        <v>472</v>
      </c>
      <c r="Q22" s="96">
        <v>24</v>
      </c>
      <c r="R22" s="96"/>
      <c r="S22" s="96" t="s">
        <v>1213</v>
      </c>
      <c r="T22" s="95">
        <v>1700</v>
      </c>
      <c r="U22" s="94" t="s">
        <v>1212</v>
      </c>
      <c r="V22" s="217"/>
      <c r="W22" s="217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</row>
    <row r="23" spans="1:60" s="124" customFormat="1" ht="162.75">
      <c r="A23" s="232" t="s">
        <v>447</v>
      </c>
      <c r="B23" s="231">
        <v>2570</v>
      </c>
      <c r="C23" s="100" t="s">
        <v>555</v>
      </c>
      <c r="D23" s="100" t="s">
        <v>1167</v>
      </c>
      <c r="E23" s="100" t="s">
        <v>1166</v>
      </c>
      <c r="F23" s="100" t="s">
        <v>1165</v>
      </c>
      <c r="G23" s="100" t="s">
        <v>1211</v>
      </c>
      <c r="H23" s="96" t="s">
        <v>162</v>
      </c>
      <c r="I23" s="96"/>
      <c r="J23" s="96" t="s">
        <v>160</v>
      </c>
      <c r="K23" s="96" t="s">
        <v>149</v>
      </c>
      <c r="L23" s="99">
        <v>34200</v>
      </c>
      <c r="M23" s="98">
        <v>18</v>
      </c>
      <c r="N23" s="96" t="s">
        <v>553</v>
      </c>
      <c r="O23" s="97"/>
      <c r="P23" s="97" t="s">
        <v>472</v>
      </c>
      <c r="Q23" s="107"/>
      <c r="R23" s="96">
        <v>18</v>
      </c>
      <c r="S23" s="96"/>
      <c r="T23" s="95">
        <v>1900</v>
      </c>
      <c r="U23" s="94" t="s">
        <v>1210</v>
      </c>
      <c r="V23" s="217"/>
      <c r="W23" s="217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  <c r="BG23" s="125"/>
      <c r="BH23" s="125"/>
    </row>
    <row r="24" spans="1:60" s="136" customFormat="1" ht="162.75">
      <c r="A24" s="232" t="s">
        <v>447</v>
      </c>
      <c r="B24" s="231">
        <v>2570</v>
      </c>
      <c r="C24" s="100" t="s">
        <v>555</v>
      </c>
      <c r="D24" s="100" t="s">
        <v>1167</v>
      </c>
      <c r="E24" s="100" t="s">
        <v>1166</v>
      </c>
      <c r="F24" s="100" t="s">
        <v>1165</v>
      </c>
      <c r="G24" s="100" t="s">
        <v>1209</v>
      </c>
      <c r="H24" s="96" t="s">
        <v>162</v>
      </c>
      <c r="I24" s="96"/>
      <c r="J24" s="96" t="s">
        <v>160</v>
      </c>
      <c r="K24" s="96" t="s">
        <v>149</v>
      </c>
      <c r="L24" s="99">
        <v>24000</v>
      </c>
      <c r="M24" s="98">
        <v>1</v>
      </c>
      <c r="N24" s="96" t="s">
        <v>596</v>
      </c>
      <c r="O24" s="97"/>
      <c r="P24" s="97" t="s">
        <v>472</v>
      </c>
      <c r="Q24" s="96">
        <v>1</v>
      </c>
      <c r="R24" s="96"/>
      <c r="S24" s="96" t="s">
        <v>1208</v>
      </c>
      <c r="T24" s="95">
        <v>24000</v>
      </c>
      <c r="U24" s="94" t="s">
        <v>1207</v>
      </c>
      <c r="V24" s="216"/>
      <c r="W24" s="216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</row>
    <row r="25" spans="1:60" s="124" customFormat="1" ht="189">
      <c r="A25" s="231" t="s">
        <v>447</v>
      </c>
      <c r="B25" s="231">
        <v>2570</v>
      </c>
      <c r="C25" s="118" t="s">
        <v>527</v>
      </c>
      <c r="D25" s="118" t="s">
        <v>1167</v>
      </c>
      <c r="E25" s="118" t="s">
        <v>1166</v>
      </c>
      <c r="F25" s="118" t="s">
        <v>1165</v>
      </c>
      <c r="G25" s="118" t="s">
        <v>526</v>
      </c>
      <c r="H25" s="113" t="s">
        <v>162</v>
      </c>
      <c r="I25" s="113"/>
      <c r="J25" s="113" t="s">
        <v>160</v>
      </c>
      <c r="K25" s="113" t="s">
        <v>149</v>
      </c>
      <c r="L25" s="117">
        <v>1450000</v>
      </c>
      <c r="M25" s="116">
        <v>1</v>
      </c>
      <c r="N25" s="113" t="s">
        <v>533</v>
      </c>
      <c r="O25" s="114"/>
      <c r="P25" s="114" t="s">
        <v>472</v>
      </c>
      <c r="Q25" s="113">
        <v>1</v>
      </c>
      <c r="R25" s="113"/>
      <c r="S25" s="113" t="s">
        <v>1206</v>
      </c>
      <c r="T25" s="112" t="s">
        <v>1205</v>
      </c>
      <c r="U25" s="111" t="s">
        <v>1204</v>
      </c>
      <c r="V25" s="217"/>
      <c r="W25" s="217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</row>
    <row r="26" spans="1:60" s="136" customFormat="1" ht="162.75">
      <c r="A26" s="232" t="s">
        <v>447</v>
      </c>
      <c r="B26" s="231">
        <v>2570</v>
      </c>
      <c r="C26" s="100" t="s">
        <v>538</v>
      </c>
      <c r="D26" s="100" t="s">
        <v>1167</v>
      </c>
      <c r="E26" s="100" t="s">
        <v>1166</v>
      </c>
      <c r="F26" s="100" t="s">
        <v>1165</v>
      </c>
      <c r="G26" s="100" t="s">
        <v>1203</v>
      </c>
      <c r="H26" s="96" t="s">
        <v>162</v>
      </c>
      <c r="I26" s="96"/>
      <c r="J26" s="96" t="s">
        <v>160</v>
      </c>
      <c r="K26" s="96" t="s">
        <v>149</v>
      </c>
      <c r="L26" s="99">
        <v>26000</v>
      </c>
      <c r="M26" s="98">
        <v>1</v>
      </c>
      <c r="N26" s="96" t="s">
        <v>561</v>
      </c>
      <c r="O26" s="96"/>
      <c r="P26" s="97" t="s">
        <v>472</v>
      </c>
      <c r="Q26" s="96">
        <v>1</v>
      </c>
      <c r="R26" s="96"/>
      <c r="S26" s="96" t="s">
        <v>1202</v>
      </c>
      <c r="T26" s="95" t="s">
        <v>1201</v>
      </c>
      <c r="U26" s="94" t="s">
        <v>1200</v>
      </c>
      <c r="V26" s="216"/>
      <c r="W26" s="216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7"/>
      <c r="BF26" s="137"/>
      <c r="BG26" s="137"/>
      <c r="BH26" s="137"/>
    </row>
    <row r="27" spans="1:60" s="124" customFormat="1" ht="294">
      <c r="A27" s="231" t="s">
        <v>447</v>
      </c>
      <c r="B27" s="231">
        <v>2570</v>
      </c>
      <c r="C27" s="118" t="s">
        <v>527</v>
      </c>
      <c r="D27" s="118" t="s">
        <v>1167</v>
      </c>
      <c r="E27" s="118" t="s">
        <v>1166</v>
      </c>
      <c r="F27" s="118" t="s">
        <v>1165</v>
      </c>
      <c r="G27" s="171" t="s">
        <v>1199</v>
      </c>
      <c r="H27" s="113" t="s">
        <v>408</v>
      </c>
      <c r="I27" s="113"/>
      <c r="J27" s="113" t="s">
        <v>166</v>
      </c>
      <c r="K27" s="113" t="s">
        <v>149</v>
      </c>
      <c r="L27" s="121">
        <v>1172000</v>
      </c>
      <c r="M27" s="116">
        <v>1</v>
      </c>
      <c r="N27" s="113" t="s">
        <v>533</v>
      </c>
      <c r="O27" s="114" t="s">
        <v>472</v>
      </c>
      <c r="P27" s="114"/>
      <c r="Q27" s="113">
        <v>1</v>
      </c>
      <c r="R27" s="113"/>
      <c r="S27" s="113" t="s">
        <v>1198</v>
      </c>
      <c r="T27" s="120">
        <v>1172000</v>
      </c>
      <c r="U27" s="111" t="s">
        <v>1197</v>
      </c>
      <c r="V27" s="217"/>
      <c r="W27" s="217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</row>
    <row r="28" spans="1:60" s="124" customFormat="1" ht="162.75">
      <c r="A28" s="232" t="s">
        <v>447</v>
      </c>
      <c r="B28" s="231">
        <v>2570</v>
      </c>
      <c r="C28" s="100" t="s">
        <v>615</v>
      </c>
      <c r="D28" s="100" t="s">
        <v>1167</v>
      </c>
      <c r="E28" s="100" t="s">
        <v>1166</v>
      </c>
      <c r="F28" s="100" t="s">
        <v>1165</v>
      </c>
      <c r="G28" s="100" t="s">
        <v>1196</v>
      </c>
      <c r="H28" s="96" t="s">
        <v>408</v>
      </c>
      <c r="I28" s="96"/>
      <c r="J28" s="96" t="s">
        <v>166</v>
      </c>
      <c r="K28" s="96" t="s">
        <v>149</v>
      </c>
      <c r="L28" s="99">
        <v>3200</v>
      </c>
      <c r="M28" s="98">
        <v>1</v>
      </c>
      <c r="N28" s="96" t="s">
        <v>558</v>
      </c>
      <c r="O28" s="96"/>
      <c r="P28" s="97" t="s">
        <v>472</v>
      </c>
      <c r="Q28" s="107"/>
      <c r="R28" s="96">
        <v>1</v>
      </c>
      <c r="S28" s="96"/>
      <c r="T28" s="95">
        <v>3200</v>
      </c>
      <c r="U28" s="94" t="s">
        <v>1195</v>
      </c>
      <c r="V28" s="217"/>
      <c r="W28" s="217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</row>
    <row r="29" spans="1:60" s="124" customFormat="1" ht="186">
      <c r="A29" s="232" t="s">
        <v>447</v>
      </c>
      <c r="B29" s="231">
        <v>2570</v>
      </c>
      <c r="C29" s="100" t="s">
        <v>538</v>
      </c>
      <c r="D29" s="100" t="s">
        <v>1167</v>
      </c>
      <c r="E29" s="100" t="s">
        <v>1166</v>
      </c>
      <c r="F29" s="100" t="s">
        <v>1165</v>
      </c>
      <c r="G29" s="100" t="s">
        <v>1194</v>
      </c>
      <c r="H29" s="96" t="s">
        <v>207</v>
      </c>
      <c r="I29" s="96"/>
      <c r="J29" s="96" t="s">
        <v>205</v>
      </c>
      <c r="K29" s="96" t="s">
        <v>63</v>
      </c>
      <c r="L29" s="99">
        <v>53500</v>
      </c>
      <c r="M29" s="98">
        <v>1</v>
      </c>
      <c r="N29" s="96" t="s">
        <v>558</v>
      </c>
      <c r="O29" s="96"/>
      <c r="P29" s="97" t="s">
        <v>472</v>
      </c>
      <c r="Q29" s="107"/>
      <c r="R29" s="96">
        <v>1</v>
      </c>
      <c r="S29" s="96"/>
      <c r="T29" s="95">
        <v>53500</v>
      </c>
      <c r="U29" s="94" t="s">
        <v>1193</v>
      </c>
      <c r="V29" s="217"/>
      <c r="W29" s="217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</row>
    <row r="30" spans="1:60" s="124" customFormat="1" ht="162.75">
      <c r="A30" s="232" t="s">
        <v>447</v>
      </c>
      <c r="B30" s="231">
        <v>2570</v>
      </c>
      <c r="C30" s="100" t="s">
        <v>555</v>
      </c>
      <c r="D30" s="100" t="s">
        <v>1167</v>
      </c>
      <c r="E30" s="100" t="s">
        <v>1166</v>
      </c>
      <c r="F30" s="100" t="s">
        <v>1165</v>
      </c>
      <c r="G30" s="100" t="s">
        <v>1192</v>
      </c>
      <c r="H30" s="96" t="s">
        <v>207</v>
      </c>
      <c r="I30" s="96"/>
      <c r="J30" s="96" t="s">
        <v>205</v>
      </c>
      <c r="K30" s="96" t="s">
        <v>63</v>
      </c>
      <c r="L30" s="99">
        <v>498000</v>
      </c>
      <c r="M30" s="98">
        <v>200</v>
      </c>
      <c r="N30" s="96" t="s">
        <v>561</v>
      </c>
      <c r="O30" s="96"/>
      <c r="P30" s="97" t="s">
        <v>472</v>
      </c>
      <c r="Q30" s="107"/>
      <c r="R30" s="96">
        <v>200</v>
      </c>
      <c r="S30" s="96"/>
      <c r="T30" s="95">
        <v>2490</v>
      </c>
      <c r="U30" s="94" t="s">
        <v>1191</v>
      </c>
      <c r="V30" s="217"/>
      <c r="W30" s="217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</row>
    <row r="31" spans="1:60" s="124" customFormat="1" ht="209.25">
      <c r="A31" s="232" t="s">
        <v>447</v>
      </c>
      <c r="B31" s="231">
        <v>2570</v>
      </c>
      <c r="C31" s="100" t="s">
        <v>555</v>
      </c>
      <c r="D31" s="100" t="s">
        <v>1167</v>
      </c>
      <c r="E31" s="100" t="s">
        <v>1166</v>
      </c>
      <c r="F31" s="100" t="s">
        <v>1165</v>
      </c>
      <c r="G31" s="100" t="s">
        <v>1190</v>
      </c>
      <c r="H31" s="96" t="s">
        <v>207</v>
      </c>
      <c r="I31" s="96"/>
      <c r="J31" s="96" t="s">
        <v>205</v>
      </c>
      <c r="K31" s="96" t="s">
        <v>63</v>
      </c>
      <c r="L31" s="99">
        <v>63000</v>
      </c>
      <c r="M31" s="98">
        <v>1</v>
      </c>
      <c r="N31" s="96" t="s">
        <v>558</v>
      </c>
      <c r="O31" s="97" t="s">
        <v>472</v>
      </c>
      <c r="P31" s="97"/>
      <c r="Q31" s="107"/>
      <c r="R31" s="96">
        <v>1</v>
      </c>
      <c r="S31" s="96"/>
      <c r="T31" s="95">
        <v>63000</v>
      </c>
      <c r="U31" s="94" t="s">
        <v>1189</v>
      </c>
      <c r="V31" s="217"/>
      <c r="W31" s="217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</row>
    <row r="32" spans="1:60" s="124" customFormat="1" ht="162.75">
      <c r="A32" s="232" t="s">
        <v>447</v>
      </c>
      <c r="B32" s="231">
        <v>2570</v>
      </c>
      <c r="C32" s="100" t="s">
        <v>538</v>
      </c>
      <c r="D32" s="100" t="s">
        <v>1167</v>
      </c>
      <c r="E32" s="100" t="s">
        <v>1166</v>
      </c>
      <c r="F32" s="100" t="s">
        <v>1165</v>
      </c>
      <c r="G32" s="100" t="s">
        <v>1188</v>
      </c>
      <c r="H32" s="96" t="s">
        <v>1178</v>
      </c>
      <c r="I32" s="96"/>
      <c r="J32" s="96" t="s">
        <v>46</v>
      </c>
      <c r="K32" s="96" t="s">
        <v>40</v>
      </c>
      <c r="L32" s="99">
        <v>165000</v>
      </c>
      <c r="M32" s="98">
        <v>1</v>
      </c>
      <c r="N32" s="96" t="s">
        <v>596</v>
      </c>
      <c r="O32" s="96"/>
      <c r="P32" s="97" t="s">
        <v>472</v>
      </c>
      <c r="Q32" s="107"/>
      <c r="R32" s="96">
        <v>1</v>
      </c>
      <c r="S32" s="96"/>
      <c r="T32" s="95">
        <v>165000</v>
      </c>
      <c r="U32" s="94" t="s">
        <v>1187</v>
      </c>
      <c r="V32" s="217"/>
      <c r="W32" s="217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</row>
    <row r="33" spans="1:60" s="124" customFormat="1" ht="186">
      <c r="A33" s="232" t="s">
        <v>447</v>
      </c>
      <c r="B33" s="231">
        <v>2570</v>
      </c>
      <c r="C33" s="100" t="s">
        <v>615</v>
      </c>
      <c r="D33" s="100" t="s">
        <v>1167</v>
      </c>
      <c r="E33" s="100" t="s">
        <v>1166</v>
      </c>
      <c r="F33" s="100" t="s">
        <v>1165</v>
      </c>
      <c r="G33" s="100" t="s">
        <v>1186</v>
      </c>
      <c r="H33" s="96" t="s">
        <v>1178</v>
      </c>
      <c r="I33" s="96"/>
      <c r="J33" s="96" t="s">
        <v>46</v>
      </c>
      <c r="K33" s="96" t="s">
        <v>40</v>
      </c>
      <c r="L33" s="99">
        <v>38000</v>
      </c>
      <c r="M33" s="98">
        <v>1</v>
      </c>
      <c r="N33" s="98" t="s">
        <v>558</v>
      </c>
      <c r="O33" s="97" t="s">
        <v>472</v>
      </c>
      <c r="P33" s="97"/>
      <c r="Q33" s="98">
        <v>1</v>
      </c>
      <c r="R33" s="98"/>
      <c r="S33" s="96" t="s">
        <v>1185</v>
      </c>
      <c r="T33" s="95">
        <v>38000</v>
      </c>
      <c r="U33" s="94" t="s">
        <v>1184</v>
      </c>
      <c r="V33" s="217"/>
      <c r="W33" s="217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</row>
    <row r="34" spans="1:60" s="124" customFormat="1" ht="209.25">
      <c r="A34" s="232" t="s">
        <v>447</v>
      </c>
      <c r="B34" s="231">
        <v>2570</v>
      </c>
      <c r="C34" s="100" t="s">
        <v>538</v>
      </c>
      <c r="D34" s="100" t="s">
        <v>1167</v>
      </c>
      <c r="E34" s="100" t="s">
        <v>1166</v>
      </c>
      <c r="F34" s="100" t="s">
        <v>1165</v>
      </c>
      <c r="G34" s="100" t="s">
        <v>1183</v>
      </c>
      <c r="H34" s="96" t="s">
        <v>1178</v>
      </c>
      <c r="I34" s="96"/>
      <c r="J34" s="96" t="s">
        <v>46</v>
      </c>
      <c r="K34" s="96" t="s">
        <v>40</v>
      </c>
      <c r="L34" s="99">
        <v>57950</v>
      </c>
      <c r="M34" s="98">
        <v>5</v>
      </c>
      <c r="N34" s="96" t="s">
        <v>558</v>
      </c>
      <c r="O34" s="96"/>
      <c r="P34" s="97" t="s">
        <v>472</v>
      </c>
      <c r="Q34" s="107"/>
      <c r="R34" s="96">
        <v>5</v>
      </c>
      <c r="S34" s="96"/>
      <c r="T34" s="95">
        <v>11590</v>
      </c>
      <c r="U34" s="94" t="s">
        <v>1182</v>
      </c>
      <c r="V34" s="217"/>
      <c r="W34" s="217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</row>
    <row r="35" spans="1:60" s="124" customFormat="1" ht="209.25">
      <c r="A35" s="232" t="s">
        <v>447</v>
      </c>
      <c r="B35" s="231">
        <v>2570</v>
      </c>
      <c r="C35" s="100" t="s">
        <v>555</v>
      </c>
      <c r="D35" s="100" t="s">
        <v>1167</v>
      </c>
      <c r="E35" s="100" t="s">
        <v>1166</v>
      </c>
      <c r="F35" s="100" t="s">
        <v>1165</v>
      </c>
      <c r="G35" s="100" t="s">
        <v>1181</v>
      </c>
      <c r="H35" s="96" t="s">
        <v>1178</v>
      </c>
      <c r="I35" s="96"/>
      <c r="J35" s="96" t="s">
        <v>46</v>
      </c>
      <c r="K35" s="96" t="s">
        <v>40</v>
      </c>
      <c r="L35" s="99">
        <v>37500</v>
      </c>
      <c r="M35" s="98">
        <v>5</v>
      </c>
      <c r="N35" s="96" t="s">
        <v>1180</v>
      </c>
      <c r="O35" s="97" t="s">
        <v>472</v>
      </c>
      <c r="P35" s="97"/>
      <c r="Q35" s="107"/>
      <c r="R35" s="96">
        <v>5</v>
      </c>
      <c r="S35" s="96"/>
      <c r="T35" s="95">
        <v>7500</v>
      </c>
      <c r="U35" s="94" t="s">
        <v>1179</v>
      </c>
      <c r="V35" s="217"/>
      <c r="W35" s="217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</row>
    <row r="36" spans="1:60" s="124" customFormat="1" ht="162.75">
      <c r="A36" s="232" t="s">
        <v>447</v>
      </c>
      <c r="B36" s="231">
        <v>2570</v>
      </c>
      <c r="C36" s="100" t="s">
        <v>538</v>
      </c>
      <c r="D36" s="100" t="s">
        <v>1167</v>
      </c>
      <c r="E36" s="100" t="s">
        <v>1166</v>
      </c>
      <c r="F36" s="100" t="s">
        <v>1165</v>
      </c>
      <c r="G36" s="100" t="s">
        <v>545</v>
      </c>
      <c r="H36" s="96" t="s">
        <v>1178</v>
      </c>
      <c r="I36" s="96"/>
      <c r="J36" s="96" t="s">
        <v>46</v>
      </c>
      <c r="K36" s="96" t="s">
        <v>40</v>
      </c>
      <c r="L36" s="99">
        <v>9500</v>
      </c>
      <c r="M36" s="98">
        <v>1</v>
      </c>
      <c r="N36" s="96" t="s">
        <v>558</v>
      </c>
      <c r="O36" s="97" t="s">
        <v>472</v>
      </c>
      <c r="P36" s="97"/>
      <c r="Q36" s="107"/>
      <c r="R36" s="96">
        <v>1</v>
      </c>
      <c r="S36" s="96"/>
      <c r="T36" s="95">
        <v>9500</v>
      </c>
      <c r="U36" s="94" t="s">
        <v>1177</v>
      </c>
      <c r="V36" s="217"/>
      <c r="W36" s="217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</row>
    <row r="37" spans="1:60" s="124" customFormat="1" ht="162.75">
      <c r="A37" s="232" t="s">
        <v>447</v>
      </c>
      <c r="B37" s="231">
        <v>2570</v>
      </c>
      <c r="C37" s="100" t="s">
        <v>615</v>
      </c>
      <c r="D37" s="100" t="s">
        <v>1167</v>
      </c>
      <c r="E37" s="100" t="s">
        <v>1166</v>
      </c>
      <c r="F37" s="100" t="s">
        <v>1165</v>
      </c>
      <c r="G37" s="100" t="s">
        <v>1176</v>
      </c>
      <c r="H37" s="96" t="s">
        <v>405</v>
      </c>
      <c r="I37" s="96"/>
      <c r="J37" s="96" t="s">
        <v>172</v>
      </c>
      <c r="K37" s="96" t="s">
        <v>149</v>
      </c>
      <c r="L37" s="99">
        <v>9700</v>
      </c>
      <c r="M37" s="98">
        <v>1</v>
      </c>
      <c r="N37" s="96" t="s">
        <v>558</v>
      </c>
      <c r="O37" s="97" t="s">
        <v>472</v>
      </c>
      <c r="P37" s="97"/>
      <c r="Q37" s="96">
        <v>1</v>
      </c>
      <c r="R37" s="96"/>
      <c r="S37" s="96" t="s">
        <v>1175</v>
      </c>
      <c r="T37" s="95">
        <v>9700</v>
      </c>
      <c r="U37" s="94" t="s">
        <v>1174</v>
      </c>
      <c r="V37" s="217"/>
      <c r="W37" s="217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</row>
    <row r="38" spans="1:60" s="124" customFormat="1" ht="162.75">
      <c r="A38" s="232" t="s">
        <v>447</v>
      </c>
      <c r="B38" s="231">
        <v>2570</v>
      </c>
      <c r="C38" s="100" t="s">
        <v>615</v>
      </c>
      <c r="D38" s="100" t="s">
        <v>1167</v>
      </c>
      <c r="E38" s="100" t="s">
        <v>1166</v>
      </c>
      <c r="F38" s="100" t="s">
        <v>1165</v>
      </c>
      <c r="G38" s="100" t="s">
        <v>1173</v>
      </c>
      <c r="H38" s="96" t="s">
        <v>213</v>
      </c>
      <c r="I38" s="96"/>
      <c r="J38" s="96" t="s">
        <v>130</v>
      </c>
      <c r="K38" s="96" t="s">
        <v>63</v>
      </c>
      <c r="L38" s="99">
        <v>19800</v>
      </c>
      <c r="M38" s="98">
        <v>1</v>
      </c>
      <c r="N38" s="96" t="s">
        <v>558</v>
      </c>
      <c r="O38" s="96"/>
      <c r="P38" s="97" t="s">
        <v>472</v>
      </c>
      <c r="Q38" s="96">
        <v>1</v>
      </c>
      <c r="R38" s="96"/>
      <c r="S38" s="96" t="s">
        <v>1172</v>
      </c>
      <c r="T38" s="95">
        <v>19800</v>
      </c>
      <c r="U38" s="94" t="s">
        <v>1171</v>
      </c>
      <c r="V38" s="217"/>
      <c r="W38" s="217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</row>
    <row r="39" spans="1:60" s="124" customFormat="1" ht="209.25">
      <c r="A39" s="232" t="s">
        <v>447</v>
      </c>
      <c r="B39" s="231">
        <v>2570</v>
      </c>
      <c r="C39" s="100" t="s">
        <v>615</v>
      </c>
      <c r="D39" s="100" t="s">
        <v>1167</v>
      </c>
      <c r="E39" s="100" t="s">
        <v>1166</v>
      </c>
      <c r="F39" s="100" t="s">
        <v>1165</v>
      </c>
      <c r="G39" s="100" t="s">
        <v>1170</v>
      </c>
      <c r="H39" s="96" t="s">
        <v>213</v>
      </c>
      <c r="I39" s="96"/>
      <c r="J39" s="96" t="s">
        <v>130</v>
      </c>
      <c r="K39" s="96" t="s">
        <v>63</v>
      </c>
      <c r="L39" s="99">
        <v>46200</v>
      </c>
      <c r="M39" s="98">
        <v>1</v>
      </c>
      <c r="N39" s="96" t="s">
        <v>558</v>
      </c>
      <c r="O39" s="96"/>
      <c r="P39" s="97" t="s">
        <v>472</v>
      </c>
      <c r="Q39" s="96">
        <v>1</v>
      </c>
      <c r="R39" s="96"/>
      <c r="S39" s="96" t="s">
        <v>1169</v>
      </c>
      <c r="T39" s="95">
        <v>46200</v>
      </c>
      <c r="U39" s="94" t="s">
        <v>1168</v>
      </c>
      <c r="V39" s="217"/>
      <c r="W39" s="217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</row>
    <row r="40" spans="1:60" s="124" customFormat="1" ht="162.75">
      <c r="A40" s="232" t="s">
        <v>447</v>
      </c>
      <c r="B40" s="231">
        <v>2570</v>
      </c>
      <c r="C40" s="100" t="s">
        <v>477</v>
      </c>
      <c r="D40" s="100" t="s">
        <v>1167</v>
      </c>
      <c r="E40" s="100" t="s">
        <v>1166</v>
      </c>
      <c r="F40" s="100" t="s">
        <v>1165</v>
      </c>
      <c r="G40" s="100" t="s">
        <v>1164</v>
      </c>
      <c r="H40" s="96" t="s">
        <v>213</v>
      </c>
      <c r="I40" s="96"/>
      <c r="J40" s="96" t="s">
        <v>130</v>
      </c>
      <c r="K40" s="96" t="s">
        <v>63</v>
      </c>
      <c r="L40" s="99">
        <v>34900</v>
      </c>
      <c r="M40" s="98">
        <v>1</v>
      </c>
      <c r="N40" s="96" t="s">
        <v>558</v>
      </c>
      <c r="O40" s="96"/>
      <c r="P40" s="97" t="s">
        <v>472</v>
      </c>
      <c r="Q40" s="96">
        <v>1</v>
      </c>
      <c r="R40" s="96"/>
      <c r="S40" s="96" t="s">
        <v>1163</v>
      </c>
      <c r="T40" s="95">
        <v>34900</v>
      </c>
      <c r="U40" s="94" t="s">
        <v>1162</v>
      </c>
      <c r="V40" s="217"/>
      <c r="W40" s="217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</row>
    <row r="41" spans="1:60" s="124" customFormat="1" ht="162.75">
      <c r="A41" s="232" t="s">
        <v>447</v>
      </c>
      <c r="B41" s="231">
        <v>2570</v>
      </c>
      <c r="C41" s="100" t="s">
        <v>479</v>
      </c>
      <c r="D41" s="100" t="s">
        <v>1160</v>
      </c>
      <c r="E41" s="100" t="s">
        <v>1159</v>
      </c>
      <c r="F41" s="100" t="s">
        <v>1064</v>
      </c>
      <c r="G41" s="100" t="s">
        <v>1161</v>
      </c>
      <c r="H41" s="96" t="s">
        <v>70</v>
      </c>
      <c r="I41" s="96"/>
      <c r="J41" s="96" t="s">
        <v>64</v>
      </c>
      <c r="K41" s="96" t="s">
        <v>63</v>
      </c>
      <c r="L41" s="99">
        <f>M41*T41</f>
        <v>3073000</v>
      </c>
      <c r="M41" s="98">
        <f>Q41+R41</f>
        <v>1</v>
      </c>
      <c r="N41" s="107" t="s">
        <v>1142</v>
      </c>
      <c r="O41" s="96"/>
      <c r="P41" s="97" t="s">
        <v>472</v>
      </c>
      <c r="Q41" s="107"/>
      <c r="R41" s="107">
        <v>1</v>
      </c>
      <c r="S41" s="96"/>
      <c r="T41" s="95">
        <v>3073000</v>
      </c>
      <c r="U41" s="170"/>
      <c r="V41" s="217"/>
      <c r="W41" s="217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</row>
    <row r="42" spans="1:60" s="136" customFormat="1" ht="139.5">
      <c r="A42" s="232" t="s">
        <v>447</v>
      </c>
      <c r="B42" s="231">
        <v>2570</v>
      </c>
      <c r="C42" s="100" t="s">
        <v>479</v>
      </c>
      <c r="D42" s="100" t="s">
        <v>1160</v>
      </c>
      <c r="E42" s="100" t="s">
        <v>1159</v>
      </c>
      <c r="F42" s="100" t="s">
        <v>1064</v>
      </c>
      <c r="G42" s="100" t="s">
        <v>1158</v>
      </c>
      <c r="H42" s="96" t="s">
        <v>70</v>
      </c>
      <c r="I42" s="96"/>
      <c r="J42" s="96" t="s">
        <v>64</v>
      </c>
      <c r="K42" s="96" t="s">
        <v>63</v>
      </c>
      <c r="L42" s="99">
        <f>M42*T42</f>
        <v>748800</v>
      </c>
      <c r="M42" s="98">
        <f>Q42+R42</f>
        <v>1</v>
      </c>
      <c r="N42" s="107" t="s">
        <v>1142</v>
      </c>
      <c r="O42" s="96"/>
      <c r="P42" s="97" t="s">
        <v>472</v>
      </c>
      <c r="Q42" s="107">
        <v>1</v>
      </c>
      <c r="R42" s="96"/>
      <c r="S42" s="96"/>
      <c r="T42" s="95">
        <v>748800</v>
      </c>
      <c r="U42" s="170"/>
      <c r="V42" s="216"/>
      <c r="W42" s="216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</row>
    <row r="43" spans="1:60" s="136" customFormat="1" ht="126">
      <c r="A43" s="231" t="s">
        <v>447</v>
      </c>
      <c r="B43" s="231">
        <v>2570</v>
      </c>
      <c r="C43" s="118" t="s">
        <v>527</v>
      </c>
      <c r="D43" s="118" t="s">
        <v>621</v>
      </c>
      <c r="E43" s="118" t="s">
        <v>1157</v>
      </c>
      <c r="F43" s="118" t="s">
        <v>1156</v>
      </c>
      <c r="G43" s="118" t="s">
        <v>1155</v>
      </c>
      <c r="H43" s="113" t="s">
        <v>460</v>
      </c>
      <c r="I43" s="113"/>
      <c r="J43" s="113" t="s">
        <v>64</v>
      </c>
      <c r="K43" s="113" t="s">
        <v>63</v>
      </c>
      <c r="L43" s="117">
        <f>M43*T43</f>
        <v>1498000</v>
      </c>
      <c r="M43" s="116">
        <f>Q43+R43</f>
        <v>1</v>
      </c>
      <c r="N43" s="113"/>
      <c r="O43" s="114"/>
      <c r="P43" s="114" t="s">
        <v>472</v>
      </c>
      <c r="Q43" s="113">
        <v>1</v>
      </c>
      <c r="R43" s="113"/>
      <c r="S43" s="113" t="s">
        <v>1154</v>
      </c>
      <c r="T43" s="112">
        <v>1498000</v>
      </c>
      <c r="U43" s="111" t="s">
        <v>1153</v>
      </c>
      <c r="V43" s="216"/>
      <c r="W43" s="216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</row>
    <row r="44" spans="1:60" s="136" customFormat="1" ht="147">
      <c r="A44" s="231" t="s">
        <v>447</v>
      </c>
      <c r="B44" s="231">
        <v>2570</v>
      </c>
      <c r="C44" s="118" t="s">
        <v>527</v>
      </c>
      <c r="D44" s="118" t="s">
        <v>476</v>
      </c>
      <c r="E44" s="118" t="s">
        <v>1149</v>
      </c>
      <c r="F44" s="118" t="s">
        <v>1148</v>
      </c>
      <c r="G44" s="118" t="s">
        <v>1152</v>
      </c>
      <c r="H44" s="113" t="s">
        <v>448</v>
      </c>
      <c r="I44" s="113"/>
      <c r="J44" s="113" t="s">
        <v>64</v>
      </c>
      <c r="K44" s="113" t="s">
        <v>63</v>
      </c>
      <c r="L44" s="117">
        <v>1498000</v>
      </c>
      <c r="M44" s="116">
        <v>1</v>
      </c>
      <c r="N44" s="113" t="s">
        <v>533</v>
      </c>
      <c r="O44" s="114"/>
      <c r="P44" s="114" t="s">
        <v>472</v>
      </c>
      <c r="Q44" s="113">
        <v>1</v>
      </c>
      <c r="R44" s="113"/>
      <c r="S44" s="113" t="s">
        <v>1151</v>
      </c>
      <c r="T44" s="112">
        <v>1498000</v>
      </c>
      <c r="U44" s="111" t="s">
        <v>1150</v>
      </c>
      <c r="V44" s="216"/>
      <c r="W44" s="216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</row>
    <row r="45" spans="1:60" s="124" customFormat="1" ht="168">
      <c r="A45" s="231" t="s">
        <v>447</v>
      </c>
      <c r="B45" s="231">
        <v>2570</v>
      </c>
      <c r="C45" s="118" t="s">
        <v>527</v>
      </c>
      <c r="D45" s="118" t="s">
        <v>476</v>
      </c>
      <c r="E45" s="118" t="s">
        <v>1149</v>
      </c>
      <c r="F45" s="118" t="s">
        <v>1148</v>
      </c>
      <c r="G45" s="118" t="s">
        <v>1147</v>
      </c>
      <c r="H45" s="113" t="s">
        <v>448</v>
      </c>
      <c r="I45" s="113"/>
      <c r="J45" s="113" t="s">
        <v>64</v>
      </c>
      <c r="K45" s="113" t="s">
        <v>63</v>
      </c>
      <c r="L45" s="121">
        <v>918000</v>
      </c>
      <c r="M45" s="116">
        <v>1</v>
      </c>
      <c r="N45" s="113" t="s">
        <v>533</v>
      </c>
      <c r="O45" s="114" t="s">
        <v>472</v>
      </c>
      <c r="P45" s="114"/>
      <c r="Q45" s="113"/>
      <c r="R45" s="113">
        <v>1</v>
      </c>
      <c r="S45" s="113"/>
      <c r="T45" s="120">
        <v>918000</v>
      </c>
      <c r="U45" s="111" t="s">
        <v>1146</v>
      </c>
      <c r="V45" s="217"/>
      <c r="W45" s="217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</row>
    <row r="46" spans="1:60" s="136" customFormat="1" ht="409.5">
      <c r="A46" s="232" t="s">
        <v>447</v>
      </c>
      <c r="B46" s="231">
        <v>2570</v>
      </c>
      <c r="C46" s="100" t="s">
        <v>479</v>
      </c>
      <c r="D46" s="100" t="s">
        <v>476</v>
      </c>
      <c r="E46" s="100" t="s">
        <v>1145</v>
      </c>
      <c r="F46" s="100" t="s">
        <v>1144</v>
      </c>
      <c r="G46" s="100" t="s">
        <v>1143</v>
      </c>
      <c r="H46" s="96" t="s">
        <v>448</v>
      </c>
      <c r="I46" s="96"/>
      <c r="J46" s="96" t="s">
        <v>64</v>
      </c>
      <c r="K46" s="96" t="s">
        <v>63</v>
      </c>
      <c r="L46" s="99">
        <v>2000000</v>
      </c>
      <c r="M46" s="98">
        <v>1</v>
      </c>
      <c r="N46" s="96" t="s">
        <v>1142</v>
      </c>
      <c r="O46" s="97"/>
      <c r="P46" s="97" t="s">
        <v>472</v>
      </c>
      <c r="Q46" s="96"/>
      <c r="R46" s="96">
        <v>1</v>
      </c>
      <c r="S46" s="96"/>
      <c r="T46" s="95">
        <v>2000000</v>
      </c>
      <c r="U46" s="94" t="s">
        <v>1141</v>
      </c>
      <c r="V46" s="216"/>
      <c r="W46" s="216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</row>
    <row r="47" spans="1:60" s="136" customFormat="1" ht="126">
      <c r="A47" s="231" t="s">
        <v>447</v>
      </c>
      <c r="B47" s="231">
        <v>2570</v>
      </c>
      <c r="C47" s="118" t="s">
        <v>527</v>
      </c>
      <c r="D47" s="118"/>
      <c r="E47" s="118" t="s">
        <v>1140</v>
      </c>
      <c r="F47" s="118" t="s">
        <v>1139</v>
      </c>
      <c r="G47" s="118" t="s">
        <v>1138</v>
      </c>
      <c r="H47" s="113" t="s">
        <v>448</v>
      </c>
      <c r="I47" s="113" t="s">
        <v>1281</v>
      </c>
      <c r="J47" s="113" t="s">
        <v>64</v>
      </c>
      <c r="K47" s="113" t="s">
        <v>63</v>
      </c>
      <c r="L47" s="121">
        <f>M47*T47</f>
        <v>4000000</v>
      </c>
      <c r="M47" s="116">
        <f>Q47+R47</f>
        <v>2</v>
      </c>
      <c r="N47" s="113" t="s">
        <v>533</v>
      </c>
      <c r="O47" s="114"/>
      <c r="P47" s="114" t="s">
        <v>472</v>
      </c>
      <c r="Q47" s="113"/>
      <c r="R47" s="113">
        <v>2</v>
      </c>
      <c r="S47" s="113"/>
      <c r="T47" s="120">
        <v>2000000</v>
      </c>
      <c r="U47" s="111" t="s">
        <v>1137</v>
      </c>
      <c r="V47" s="216"/>
      <c r="W47" s="216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</row>
    <row r="48" spans="1:60" s="136" customFormat="1" ht="168">
      <c r="A48" s="231" t="s">
        <v>447</v>
      </c>
      <c r="B48" s="231">
        <v>2570</v>
      </c>
      <c r="C48" s="118" t="s">
        <v>527</v>
      </c>
      <c r="D48" s="118"/>
      <c r="E48" s="118" t="s">
        <v>1133</v>
      </c>
      <c r="F48" s="118" t="s">
        <v>1133</v>
      </c>
      <c r="G48" s="118" t="s">
        <v>1136</v>
      </c>
      <c r="H48" s="113" t="s">
        <v>448</v>
      </c>
      <c r="I48" s="113" t="s">
        <v>1282</v>
      </c>
      <c r="J48" s="113" t="s">
        <v>64</v>
      </c>
      <c r="K48" s="113" t="s">
        <v>63</v>
      </c>
      <c r="L48" s="121">
        <v>3290000</v>
      </c>
      <c r="M48" s="116">
        <v>1</v>
      </c>
      <c r="N48" s="113" t="s">
        <v>533</v>
      </c>
      <c r="O48" s="138"/>
      <c r="P48" s="114" t="s">
        <v>472</v>
      </c>
      <c r="Q48" s="113">
        <v>1</v>
      </c>
      <c r="R48" s="113"/>
      <c r="S48" s="169" t="s">
        <v>1135</v>
      </c>
      <c r="T48" s="120">
        <v>3290000</v>
      </c>
      <c r="U48" s="140" t="s">
        <v>1134</v>
      </c>
      <c r="V48" s="216"/>
      <c r="W48" s="216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</row>
    <row r="49" spans="1:60" s="124" customFormat="1" ht="168">
      <c r="A49" s="231" t="s">
        <v>447</v>
      </c>
      <c r="B49" s="231">
        <v>2570</v>
      </c>
      <c r="C49" s="118" t="s">
        <v>527</v>
      </c>
      <c r="D49" s="118"/>
      <c r="E49" s="118" t="s">
        <v>1133</v>
      </c>
      <c r="F49" s="118" t="s">
        <v>1133</v>
      </c>
      <c r="G49" s="118" t="s">
        <v>1132</v>
      </c>
      <c r="H49" s="113" t="s">
        <v>448</v>
      </c>
      <c r="I49" s="113" t="s">
        <v>1282</v>
      </c>
      <c r="J49" s="113" t="s">
        <v>64</v>
      </c>
      <c r="K49" s="113" t="s">
        <v>63</v>
      </c>
      <c r="L49" s="121">
        <v>1207900</v>
      </c>
      <c r="M49" s="116">
        <v>1</v>
      </c>
      <c r="N49" s="113" t="s">
        <v>533</v>
      </c>
      <c r="O49" s="138"/>
      <c r="P49" s="114" t="s">
        <v>472</v>
      </c>
      <c r="Q49" s="113">
        <v>1</v>
      </c>
      <c r="R49" s="113"/>
      <c r="S49" s="113" t="s">
        <v>1131</v>
      </c>
      <c r="T49" s="120">
        <v>1207900</v>
      </c>
      <c r="U49" s="111" t="s">
        <v>1130</v>
      </c>
      <c r="V49" s="217"/>
      <c r="W49" s="217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</row>
    <row r="50" spans="1:60" s="124" customFormat="1" ht="139.5">
      <c r="A50" s="232" t="s">
        <v>447</v>
      </c>
      <c r="B50" s="231">
        <v>2570</v>
      </c>
      <c r="C50" s="100" t="s">
        <v>555</v>
      </c>
      <c r="D50" s="100" t="s">
        <v>621</v>
      </c>
      <c r="E50" s="100" t="s">
        <v>620</v>
      </c>
      <c r="F50" s="100" t="s">
        <v>1064</v>
      </c>
      <c r="G50" s="100" t="s">
        <v>1127</v>
      </c>
      <c r="H50" s="100" t="s">
        <v>198</v>
      </c>
      <c r="I50" s="100"/>
      <c r="J50" s="96" t="s">
        <v>64</v>
      </c>
      <c r="K50" s="96" t="s">
        <v>63</v>
      </c>
      <c r="L50" s="99">
        <f t="shared" ref="L50:L113" si="0">M50*T50</f>
        <v>13700</v>
      </c>
      <c r="M50" s="98">
        <f t="shared" ref="M50:M113" si="1">Q50+R50</f>
        <v>1</v>
      </c>
      <c r="N50" s="96" t="s">
        <v>558</v>
      </c>
      <c r="O50" s="97" t="s">
        <v>472</v>
      </c>
      <c r="P50" s="97"/>
      <c r="Q50" s="96">
        <v>1</v>
      </c>
      <c r="R50" s="96"/>
      <c r="S50" s="96" t="s">
        <v>1129</v>
      </c>
      <c r="T50" s="95">
        <v>13700</v>
      </c>
      <c r="U50" s="94" t="s">
        <v>1128</v>
      </c>
      <c r="V50" s="217"/>
      <c r="W50" s="217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</row>
    <row r="51" spans="1:60" s="124" customFormat="1" ht="139.5">
      <c r="A51" s="232" t="s">
        <v>447</v>
      </c>
      <c r="B51" s="231">
        <v>2570</v>
      </c>
      <c r="C51" s="100" t="s">
        <v>555</v>
      </c>
      <c r="D51" s="100" t="s">
        <v>621</v>
      </c>
      <c r="E51" s="100" t="s">
        <v>620</v>
      </c>
      <c r="F51" s="100" t="s">
        <v>1064</v>
      </c>
      <c r="G51" s="100" t="s">
        <v>1127</v>
      </c>
      <c r="H51" s="100" t="s">
        <v>198</v>
      </c>
      <c r="I51" s="100"/>
      <c r="J51" s="96" t="s">
        <v>64</v>
      </c>
      <c r="K51" s="96" t="s">
        <v>63</v>
      </c>
      <c r="L51" s="99">
        <f t="shared" si="0"/>
        <v>13700</v>
      </c>
      <c r="M51" s="98">
        <f t="shared" si="1"/>
        <v>1</v>
      </c>
      <c r="N51" s="96" t="s">
        <v>558</v>
      </c>
      <c r="O51" s="97" t="s">
        <v>472</v>
      </c>
      <c r="P51" s="97"/>
      <c r="Q51" s="96">
        <v>1</v>
      </c>
      <c r="R51" s="96"/>
      <c r="S51" s="96" t="s">
        <v>1126</v>
      </c>
      <c r="T51" s="95">
        <v>13700</v>
      </c>
      <c r="U51" s="94" t="s">
        <v>1125</v>
      </c>
      <c r="V51" s="217"/>
      <c r="W51" s="217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</row>
    <row r="52" spans="1:60" s="124" customFormat="1" ht="139.5">
      <c r="A52" s="232" t="s">
        <v>447</v>
      </c>
      <c r="B52" s="231">
        <v>2570</v>
      </c>
      <c r="C52" s="100" t="s">
        <v>538</v>
      </c>
      <c r="D52" s="100" t="s">
        <v>621</v>
      </c>
      <c r="E52" s="100" t="s">
        <v>620</v>
      </c>
      <c r="F52" s="100" t="s">
        <v>1064</v>
      </c>
      <c r="G52" s="100" t="s">
        <v>1124</v>
      </c>
      <c r="H52" s="100" t="s">
        <v>198</v>
      </c>
      <c r="I52" s="100"/>
      <c r="J52" s="96" t="s">
        <v>64</v>
      </c>
      <c r="K52" s="96" t="s">
        <v>63</v>
      </c>
      <c r="L52" s="99">
        <f t="shared" si="0"/>
        <v>6500</v>
      </c>
      <c r="M52" s="98">
        <f t="shared" si="1"/>
        <v>1</v>
      </c>
      <c r="N52" s="96" t="s">
        <v>561</v>
      </c>
      <c r="O52" s="97" t="s">
        <v>472</v>
      </c>
      <c r="P52" s="97"/>
      <c r="Q52" s="96">
        <v>1</v>
      </c>
      <c r="R52" s="96"/>
      <c r="S52" s="96" t="s">
        <v>1123</v>
      </c>
      <c r="T52" s="95">
        <v>6500</v>
      </c>
      <c r="U52" s="94" t="s">
        <v>1122</v>
      </c>
      <c r="V52" s="217"/>
      <c r="W52" s="217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</row>
    <row r="53" spans="1:60" s="136" customFormat="1" ht="139.5">
      <c r="A53" s="232" t="s">
        <v>447</v>
      </c>
      <c r="B53" s="231">
        <v>2570</v>
      </c>
      <c r="C53" s="100" t="s">
        <v>538</v>
      </c>
      <c r="D53" s="100" t="s">
        <v>621</v>
      </c>
      <c r="E53" s="100" t="s">
        <v>620</v>
      </c>
      <c r="F53" s="100" t="s">
        <v>1064</v>
      </c>
      <c r="G53" s="100" t="s">
        <v>822</v>
      </c>
      <c r="H53" s="100" t="s">
        <v>198</v>
      </c>
      <c r="I53" s="100"/>
      <c r="J53" s="96" t="s">
        <v>64</v>
      </c>
      <c r="K53" s="96" t="s">
        <v>63</v>
      </c>
      <c r="L53" s="99">
        <f t="shared" si="0"/>
        <v>7600</v>
      </c>
      <c r="M53" s="98">
        <f t="shared" si="1"/>
        <v>1</v>
      </c>
      <c r="N53" s="96" t="s">
        <v>821</v>
      </c>
      <c r="O53" s="97" t="s">
        <v>472</v>
      </c>
      <c r="P53" s="97"/>
      <c r="Q53" s="96">
        <v>1</v>
      </c>
      <c r="R53" s="96"/>
      <c r="S53" s="96" t="s">
        <v>1121</v>
      </c>
      <c r="T53" s="95">
        <v>7600</v>
      </c>
      <c r="U53" s="131" t="s">
        <v>1120</v>
      </c>
      <c r="V53" s="216"/>
      <c r="W53" s="216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</row>
    <row r="54" spans="1:60" s="124" customFormat="1" ht="126">
      <c r="A54" s="231" t="s">
        <v>447</v>
      </c>
      <c r="B54" s="231">
        <v>2570</v>
      </c>
      <c r="C54" s="118" t="s">
        <v>527</v>
      </c>
      <c r="D54" s="118" t="s">
        <v>621</v>
      </c>
      <c r="E54" s="118" t="s">
        <v>620</v>
      </c>
      <c r="F54" s="118" t="s">
        <v>1064</v>
      </c>
      <c r="G54" s="168" t="s">
        <v>1119</v>
      </c>
      <c r="H54" s="118" t="s">
        <v>198</v>
      </c>
      <c r="I54" s="118"/>
      <c r="J54" s="113" t="s">
        <v>64</v>
      </c>
      <c r="K54" s="113" t="s">
        <v>63</v>
      </c>
      <c r="L54" s="117">
        <f t="shared" si="0"/>
        <v>849500</v>
      </c>
      <c r="M54" s="116">
        <f t="shared" si="1"/>
        <v>1</v>
      </c>
      <c r="N54" s="113" t="s">
        <v>533</v>
      </c>
      <c r="O54" s="114" t="s">
        <v>472</v>
      </c>
      <c r="P54" s="114"/>
      <c r="Q54" s="113">
        <v>1</v>
      </c>
      <c r="R54" s="113"/>
      <c r="S54" s="113" t="s">
        <v>1118</v>
      </c>
      <c r="T54" s="112">
        <v>849500</v>
      </c>
      <c r="U54" s="111" t="s">
        <v>1117</v>
      </c>
      <c r="V54" s="217"/>
      <c r="W54" s="217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</row>
    <row r="55" spans="1:60" s="124" customFormat="1" ht="139.5">
      <c r="A55" s="232" t="s">
        <v>447</v>
      </c>
      <c r="B55" s="231">
        <v>2570</v>
      </c>
      <c r="C55" s="100" t="s">
        <v>477</v>
      </c>
      <c r="D55" s="100" t="s">
        <v>621</v>
      </c>
      <c r="E55" s="100" t="s">
        <v>620</v>
      </c>
      <c r="F55" s="100" t="s">
        <v>1064</v>
      </c>
      <c r="G55" s="100" t="s">
        <v>1116</v>
      </c>
      <c r="H55" s="100" t="s">
        <v>198</v>
      </c>
      <c r="I55" s="100"/>
      <c r="J55" s="96" t="s">
        <v>64</v>
      </c>
      <c r="K55" s="96" t="s">
        <v>63</v>
      </c>
      <c r="L55" s="99">
        <f t="shared" si="0"/>
        <v>432000</v>
      </c>
      <c r="M55" s="98">
        <f t="shared" si="1"/>
        <v>2</v>
      </c>
      <c r="N55" s="96"/>
      <c r="O55" s="97"/>
      <c r="P55" s="97" t="s">
        <v>472</v>
      </c>
      <c r="Q55" s="96"/>
      <c r="R55" s="96">
        <v>2</v>
      </c>
      <c r="S55" s="96"/>
      <c r="T55" s="95">
        <v>216000</v>
      </c>
      <c r="U55" s="94" t="s">
        <v>1115</v>
      </c>
      <c r="V55" s="217"/>
      <c r="W55" s="217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</row>
    <row r="56" spans="1:60" s="124" customFormat="1" ht="139.5">
      <c r="A56" s="232" t="s">
        <v>447</v>
      </c>
      <c r="B56" s="231">
        <v>2570</v>
      </c>
      <c r="C56" s="100" t="s">
        <v>477</v>
      </c>
      <c r="D56" s="100" t="s">
        <v>621</v>
      </c>
      <c r="E56" s="100" t="s">
        <v>620</v>
      </c>
      <c r="F56" s="100" t="s">
        <v>1064</v>
      </c>
      <c r="G56" s="100" t="s">
        <v>1114</v>
      </c>
      <c r="H56" s="100" t="s">
        <v>198</v>
      </c>
      <c r="I56" s="100"/>
      <c r="J56" s="96" t="s">
        <v>64</v>
      </c>
      <c r="K56" s="96" t="s">
        <v>63</v>
      </c>
      <c r="L56" s="99">
        <f t="shared" si="0"/>
        <v>70190</v>
      </c>
      <c r="M56" s="98">
        <f t="shared" si="1"/>
        <v>1</v>
      </c>
      <c r="N56" s="96"/>
      <c r="O56" s="97"/>
      <c r="P56" s="97" t="s">
        <v>472</v>
      </c>
      <c r="Q56" s="96"/>
      <c r="R56" s="96">
        <v>1</v>
      </c>
      <c r="S56" s="96"/>
      <c r="T56" s="95">
        <v>70190</v>
      </c>
      <c r="U56" s="94" t="s">
        <v>1113</v>
      </c>
      <c r="V56" s="217"/>
      <c r="W56" s="217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  <c r="AV56" s="125"/>
      <c r="AW56" s="125"/>
      <c r="AX56" s="125"/>
      <c r="AY56" s="125"/>
      <c r="AZ56" s="125"/>
      <c r="BA56" s="125"/>
      <c r="BB56" s="125"/>
      <c r="BC56" s="125"/>
      <c r="BD56" s="125"/>
      <c r="BE56" s="125"/>
      <c r="BF56" s="125"/>
      <c r="BG56" s="125"/>
      <c r="BH56" s="125"/>
    </row>
    <row r="57" spans="1:60" s="124" customFormat="1" ht="139.5">
      <c r="A57" s="232" t="s">
        <v>447</v>
      </c>
      <c r="B57" s="231">
        <v>2570</v>
      </c>
      <c r="C57" s="100" t="s">
        <v>477</v>
      </c>
      <c r="D57" s="100" t="s">
        <v>621</v>
      </c>
      <c r="E57" s="100" t="s">
        <v>620</v>
      </c>
      <c r="F57" s="100" t="s">
        <v>1064</v>
      </c>
      <c r="G57" s="100" t="s">
        <v>1112</v>
      </c>
      <c r="H57" s="100" t="s">
        <v>198</v>
      </c>
      <c r="I57" s="100"/>
      <c r="J57" s="96" t="s">
        <v>64</v>
      </c>
      <c r="K57" s="96" t="s">
        <v>63</v>
      </c>
      <c r="L57" s="99">
        <f t="shared" si="0"/>
        <v>2200</v>
      </c>
      <c r="M57" s="98">
        <f t="shared" si="1"/>
        <v>2</v>
      </c>
      <c r="N57" s="96"/>
      <c r="O57" s="97"/>
      <c r="P57" s="97" t="s">
        <v>472</v>
      </c>
      <c r="Q57" s="96"/>
      <c r="R57" s="96">
        <v>2</v>
      </c>
      <c r="S57" s="96"/>
      <c r="T57" s="95">
        <v>1100</v>
      </c>
      <c r="U57" s="94" t="s">
        <v>1111</v>
      </c>
      <c r="V57" s="217"/>
      <c r="W57" s="217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  <c r="AV57" s="125"/>
      <c r="AW57" s="125"/>
      <c r="AX57" s="125"/>
      <c r="AY57" s="125"/>
      <c r="AZ57" s="125"/>
      <c r="BA57" s="125"/>
      <c r="BB57" s="125"/>
      <c r="BC57" s="125"/>
      <c r="BD57" s="125"/>
      <c r="BE57" s="125"/>
      <c r="BF57" s="125"/>
      <c r="BG57" s="125"/>
      <c r="BH57" s="125"/>
    </row>
    <row r="58" spans="1:60" s="124" customFormat="1" ht="139.5">
      <c r="A58" s="232" t="s">
        <v>447</v>
      </c>
      <c r="B58" s="231">
        <v>2570</v>
      </c>
      <c r="C58" s="100" t="s">
        <v>477</v>
      </c>
      <c r="D58" s="100" t="s">
        <v>621</v>
      </c>
      <c r="E58" s="100" t="s">
        <v>620</v>
      </c>
      <c r="F58" s="100" t="s">
        <v>1064</v>
      </c>
      <c r="G58" s="100" t="s">
        <v>1110</v>
      </c>
      <c r="H58" s="100" t="s">
        <v>198</v>
      </c>
      <c r="I58" s="100"/>
      <c r="J58" s="96" t="s">
        <v>64</v>
      </c>
      <c r="K58" s="96" t="s">
        <v>63</v>
      </c>
      <c r="L58" s="99">
        <f t="shared" si="0"/>
        <v>19200</v>
      </c>
      <c r="M58" s="98">
        <f t="shared" si="1"/>
        <v>4</v>
      </c>
      <c r="N58" s="96"/>
      <c r="O58" s="96"/>
      <c r="P58" s="97" t="s">
        <v>472</v>
      </c>
      <c r="Q58" s="96"/>
      <c r="R58" s="96">
        <v>4</v>
      </c>
      <c r="S58" s="96"/>
      <c r="T58" s="95">
        <v>4800</v>
      </c>
      <c r="U58" s="94" t="s">
        <v>1109</v>
      </c>
      <c r="V58" s="217"/>
      <c r="W58" s="217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  <c r="AZ58" s="125"/>
      <c r="BA58" s="125"/>
      <c r="BB58" s="125"/>
      <c r="BC58" s="125"/>
      <c r="BD58" s="125"/>
      <c r="BE58" s="125"/>
      <c r="BF58" s="125"/>
      <c r="BG58" s="125"/>
      <c r="BH58" s="125"/>
    </row>
    <row r="59" spans="1:60" s="124" customFormat="1" ht="139.5">
      <c r="A59" s="232" t="s">
        <v>447</v>
      </c>
      <c r="B59" s="231">
        <v>2570</v>
      </c>
      <c r="C59" s="100" t="s">
        <v>477</v>
      </c>
      <c r="D59" s="100" t="s">
        <v>621</v>
      </c>
      <c r="E59" s="100" t="s">
        <v>620</v>
      </c>
      <c r="F59" s="100" t="s">
        <v>1064</v>
      </c>
      <c r="G59" s="100" t="s">
        <v>1108</v>
      </c>
      <c r="H59" s="100" t="s">
        <v>198</v>
      </c>
      <c r="I59" s="100"/>
      <c r="J59" s="96" t="s">
        <v>64</v>
      </c>
      <c r="K59" s="96" t="s">
        <v>63</v>
      </c>
      <c r="L59" s="99">
        <f t="shared" si="0"/>
        <v>18000</v>
      </c>
      <c r="M59" s="98">
        <f t="shared" si="1"/>
        <v>3</v>
      </c>
      <c r="N59" s="96"/>
      <c r="O59" s="96"/>
      <c r="P59" s="97" t="s">
        <v>472</v>
      </c>
      <c r="Q59" s="96"/>
      <c r="R59" s="96">
        <v>3</v>
      </c>
      <c r="S59" s="96"/>
      <c r="T59" s="95">
        <v>6000</v>
      </c>
      <c r="U59" s="94" t="s">
        <v>1107</v>
      </c>
      <c r="V59" s="217"/>
      <c r="W59" s="217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5"/>
      <c r="AW59" s="125"/>
      <c r="AX59" s="125"/>
      <c r="AY59" s="125"/>
      <c r="AZ59" s="125"/>
      <c r="BA59" s="125"/>
      <c r="BB59" s="125"/>
      <c r="BC59" s="125"/>
      <c r="BD59" s="125"/>
      <c r="BE59" s="125"/>
      <c r="BF59" s="125"/>
      <c r="BG59" s="125"/>
      <c r="BH59" s="125"/>
    </row>
    <row r="60" spans="1:60" s="124" customFormat="1" ht="139.5">
      <c r="A60" s="232" t="s">
        <v>447</v>
      </c>
      <c r="B60" s="231">
        <v>2570</v>
      </c>
      <c r="C60" s="100" t="s">
        <v>477</v>
      </c>
      <c r="D60" s="100" t="s">
        <v>621</v>
      </c>
      <c r="E60" s="100" t="s">
        <v>620</v>
      </c>
      <c r="F60" s="100" t="s">
        <v>1064</v>
      </c>
      <c r="G60" s="100" t="s">
        <v>1106</v>
      </c>
      <c r="H60" s="100" t="s">
        <v>198</v>
      </c>
      <c r="I60" s="100"/>
      <c r="J60" s="96" t="s">
        <v>64</v>
      </c>
      <c r="K60" s="96" t="s">
        <v>63</v>
      </c>
      <c r="L60" s="99">
        <f t="shared" si="0"/>
        <v>35000</v>
      </c>
      <c r="M60" s="98">
        <f t="shared" si="1"/>
        <v>2</v>
      </c>
      <c r="N60" s="96"/>
      <c r="O60" s="96"/>
      <c r="P60" s="97" t="s">
        <v>472</v>
      </c>
      <c r="Q60" s="96"/>
      <c r="R60" s="96">
        <v>2</v>
      </c>
      <c r="S60" s="96"/>
      <c r="T60" s="95">
        <v>17500</v>
      </c>
      <c r="U60" s="109" t="s">
        <v>1105</v>
      </c>
      <c r="V60" s="217"/>
      <c r="W60" s="217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5"/>
      <c r="BG60" s="125"/>
      <c r="BH60" s="125"/>
    </row>
    <row r="61" spans="1:60" s="124" customFormat="1" ht="139.5">
      <c r="A61" s="232" t="s">
        <v>447</v>
      </c>
      <c r="B61" s="231">
        <v>2570</v>
      </c>
      <c r="C61" s="100" t="s">
        <v>477</v>
      </c>
      <c r="D61" s="100" t="s">
        <v>621</v>
      </c>
      <c r="E61" s="100" t="s">
        <v>620</v>
      </c>
      <c r="F61" s="100" t="s">
        <v>1064</v>
      </c>
      <c r="G61" s="100" t="s">
        <v>1104</v>
      </c>
      <c r="H61" s="100" t="s">
        <v>198</v>
      </c>
      <c r="I61" s="100"/>
      <c r="J61" s="96" t="s">
        <v>64</v>
      </c>
      <c r="K61" s="96" t="s">
        <v>63</v>
      </c>
      <c r="L61" s="99">
        <f t="shared" si="0"/>
        <v>8000</v>
      </c>
      <c r="M61" s="98">
        <f t="shared" si="1"/>
        <v>2</v>
      </c>
      <c r="N61" s="96"/>
      <c r="O61" s="96"/>
      <c r="P61" s="97" t="s">
        <v>472</v>
      </c>
      <c r="Q61" s="96"/>
      <c r="R61" s="96">
        <v>2</v>
      </c>
      <c r="S61" s="96"/>
      <c r="T61" s="95">
        <v>4000</v>
      </c>
      <c r="U61" s="94" t="s">
        <v>1103</v>
      </c>
      <c r="V61" s="217"/>
      <c r="W61" s="217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  <c r="BG61" s="125"/>
      <c r="BH61" s="125"/>
    </row>
    <row r="62" spans="1:60" s="124" customFormat="1" ht="139.5">
      <c r="A62" s="232" t="s">
        <v>447</v>
      </c>
      <c r="B62" s="231">
        <v>2570</v>
      </c>
      <c r="C62" s="100" t="s">
        <v>477</v>
      </c>
      <c r="D62" s="100" t="s">
        <v>621</v>
      </c>
      <c r="E62" s="100" t="s">
        <v>620</v>
      </c>
      <c r="F62" s="100" t="s">
        <v>1064</v>
      </c>
      <c r="G62" s="100" t="s">
        <v>1102</v>
      </c>
      <c r="H62" s="100" t="s">
        <v>198</v>
      </c>
      <c r="I62" s="100"/>
      <c r="J62" s="96" t="s">
        <v>64</v>
      </c>
      <c r="K62" s="96" t="s">
        <v>63</v>
      </c>
      <c r="L62" s="99">
        <f t="shared" si="0"/>
        <v>12600</v>
      </c>
      <c r="M62" s="98">
        <f t="shared" si="1"/>
        <v>1</v>
      </c>
      <c r="N62" s="96"/>
      <c r="O62" s="96"/>
      <c r="P62" s="97" t="s">
        <v>472</v>
      </c>
      <c r="Q62" s="96"/>
      <c r="R62" s="96">
        <v>1</v>
      </c>
      <c r="S62" s="96"/>
      <c r="T62" s="95">
        <v>12600</v>
      </c>
      <c r="U62" s="94" t="s">
        <v>1101</v>
      </c>
      <c r="V62" s="217"/>
      <c r="W62" s="217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</row>
    <row r="63" spans="1:60" s="124" customFormat="1" ht="139.5">
      <c r="A63" s="232" t="s">
        <v>447</v>
      </c>
      <c r="B63" s="231">
        <v>2570</v>
      </c>
      <c r="C63" s="100" t="s">
        <v>477</v>
      </c>
      <c r="D63" s="100" t="s">
        <v>621</v>
      </c>
      <c r="E63" s="100" t="s">
        <v>620</v>
      </c>
      <c r="F63" s="100" t="s">
        <v>1064</v>
      </c>
      <c r="G63" s="100" t="s">
        <v>1100</v>
      </c>
      <c r="H63" s="100" t="s">
        <v>198</v>
      </c>
      <c r="I63" s="100"/>
      <c r="J63" s="96" t="s">
        <v>64</v>
      </c>
      <c r="K63" s="96" t="s">
        <v>63</v>
      </c>
      <c r="L63" s="99">
        <f t="shared" si="0"/>
        <v>25800</v>
      </c>
      <c r="M63" s="98">
        <f t="shared" si="1"/>
        <v>2</v>
      </c>
      <c r="N63" s="96"/>
      <c r="O63" s="96"/>
      <c r="P63" s="97" t="s">
        <v>472</v>
      </c>
      <c r="Q63" s="96"/>
      <c r="R63" s="96">
        <v>2</v>
      </c>
      <c r="S63" s="96"/>
      <c r="T63" s="95">
        <v>12900</v>
      </c>
      <c r="U63" s="94" t="s">
        <v>1099</v>
      </c>
      <c r="V63" s="217"/>
      <c r="W63" s="217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125"/>
      <c r="BD63" s="125"/>
      <c r="BE63" s="125"/>
      <c r="BF63" s="125"/>
      <c r="BG63" s="125"/>
      <c r="BH63" s="125"/>
    </row>
    <row r="64" spans="1:60" s="124" customFormat="1" ht="139.5">
      <c r="A64" s="232" t="s">
        <v>447</v>
      </c>
      <c r="B64" s="231">
        <v>2570</v>
      </c>
      <c r="C64" s="100" t="s">
        <v>477</v>
      </c>
      <c r="D64" s="100" t="s">
        <v>621</v>
      </c>
      <c r="E64" s="100" t="s">
        <v>620</v>
      </c>
      <c r="F64" s="100" t="s">
        <v>1064</v>
      </c>
      <c r="G64" s="100" t="s">
        <v>1098</v>
      </c>
      <c r="H64" s="100" t="s">
        <v>198</v>
      </c>
      <c r="I64" s="100"/>
      <c r="J64" s="96" t="s">
        <v>64</v>
      </c>
      <c r="K64" s="96" t="s">
        <v>63</v>
      </c>
      <c r="L64" s="99">
        <f t="shared" si="0"/>
        <v>120000</v>
      </c>
      <c r="M64" s="98">
        <f t="shared" si="1"/>
        <v>2</v>
      </c>
      <c r="N64" s="96"/>
      <c r="O64" s="96"/>
      <c r="P64" s="97" t="s">
        <v>472</v>
      </c>
      <c r="Q64" s="96"/>
      <c r="R64" s="96">
        <v>2</v>
      </c>
      <c r="S64" s="96"/>
      <c r="T64" s="95">
        <v>60000</v>
      </c>
      <c r="U64" s="94" t="s">
        <v>1097</v>
      </c>
      <c r="V64" s="217"/>
      <c r="W64" s="217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5"/>
      <c r="AX64" s="125"/>
      <c r="AY64" s="125"/>
      <c r="AZ64" s="125"/>
      <c r="BA64" s="125"/>
      <c r="BB64" s="125"/>
      <c r="BC64" s="125"/>
      <c r="BD64" s="125"/>
      <c r="BE64" s="125"/>
      <c r="BF64" s="125"/>
      <c r="BG64" s="125"/>
      <c r="BH64" s="125"/>
    </row>
    <row r="65" spans="1:60" s="124" customFormat="1" ht="139.5">
      <c r="A65" s="233" t="s">
        <v>447</v>
      </c>
      <c r="B65" s="231">
        <v>2570</v>
      </c>
      <c r="C65" s="166" t="s">
        <v>477</v>
      </c>
      <c r="D65" s="100" t="s">
        <v>621</v>
      </c>
      <c r="E65" s="100" t="s">
        <v>620</v>
      </c>
      <c r="F65" s="100" t="s">
        <v>1064</v>
      </c>
      <c r="G65" s="166" t="s">
        <v>1096</v>
      </c>
      <c r="H65" s="166" t="s">
        <v>198</v>
      </c>
      <c r="I65" s="166"/>
      <c r="J65" s="163" t="s">
        <v>64</v>
      </c>
      <c r="K65" s="163" t="s">
        <v>63</v>
      </c>
      <c r="L65" s="99">
        <f t="shared" si="0"/>
        <v>30000</v>
      </c>
      <c r="M65" s="165">
        <f t="shared" si="1"/>
        <v>2</v>
      </c>
      <c r="N65" s="163"/>
      <c r="O65" s="163"/>
      <c r="P65" s="164" t="s">
        <v>472</v>
      </c>
      <c r="Q65" s="163"/>
      <c r="R65" s="163">
        <v>2</v>
      </c>
      <c r="S65" s="163"/>
      <c r="T65" s="162">
        <v>15000</v>
      </c>
      <c r="U65" s="94" t="s">
        <v>1095</v>
      </c>
      <c r="V65" s="217"/>
      <c r="W65" s="217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5"/>
      <c r="AW65" s="125"/>
      <c r="AX65" s="125"/>
      <c r="AY65" s="125"/>
      <c r="AZ65" s="125"/>
      <c r="BA65" s="125"/>
      <c r="BB65" s="125"/>
      <c r="BC65" s="125"/>
      <c r="BD65" s="125"/>
      <c r="BE65" s="125"/>
      <c r="BF65" s="125"/>
      <c r="BG65" s="125"/>
      <c r="BH65" s="125"/>
    </row>
    <row r="66" spans="1:60" s="124" customFormat="1" ht="139.5">
      <c r="A66" s="233" t="s">
        <v>447</v>
      </c>
      <c r="B66" s="231">
        <v>2570</v>
      </c>
      <c r="C66" s="166" t="s">
        <v>477</v>
      </c>
      <c r="D66" s="100" t="s">
        <v>621</v>
      </c>
      <c r="E66" s="100" t="s">
        <v>620</v>
      </c>
      <c r="F66" s="100" t="s">
        <v>1064</v>
      </c>
      <c r="G66" s="166" t="s">
        <v>1094</v>
      </c>
      <c r="H66" s="166" t="s">
        <v>198</v>
      </c>
      <c r="I66" s="166"/>
      <c r="J66" s="163" t="s">
        <v>64</v>
      </c>
      <c r="K66" s="163" t="s">
        <v>63</v>
      </c>
      <c r="L66" s="99">
        <f t="shared" si="0"/>
        <v>1400</v>
      </c>
      <c r="M66" s="165">
        <f t="shared" si="1"/>
        <v>2</v>
      </c>
      <c r="N66" s="163"/>
      <c r="O66" s="163"/>
      <c r="P66" s="164" t="s">
        <v>472</v>
      </c>
      <c r="Q66" s="163"/>
      <c r="R66" s="163">
        <v>2</v>
      </c>
      <c r="S66" s="163"/>
      <c r="T66" s="162">
        <v>700</v>
      </c>
      <c r="U66" s="94" t="s">
        <v>1093</v>
      </c>
      <c r="V66" s="217"/>
      <c r="W66" s="217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5"/>
      <c r="AW66" s="125"/>
      <c r="AX66" s="125"/>
      <c r="AY66" s="125"/>
      <c r="AZ66" s="125"/>
      <c r="BA66" s="125"/>
      <c r="BB66" s="125"/>
      <c r="BC66" s="125"/>
      <c r="BD66" s="125"/>
      <c r="BE66" s="125"/>
      <c r="BF66" s="125"/>
      <c r="BG66" s="125"/>
      <c r="BH66" s="125"/>
    </row>
    <row r="67" spans="1:60" s="124" customFormat="1" ht="139.5">
      <c r="A67" s="233" t="s">
        <v>447</v>
      </c>
      <c r="B67" s="231">
        <v>2570</v>
      </c>
      <c r="C67" s="166" t="s">
        <v>477</v>
      </c>
      <c r="D67" s="100" t="s">
        <v>621</v>
      </c>
      <c r="E67" s="100" t="s">
        <v>620</v>
      </c>
      <c r="F67" s="100" t="s">
        <v>1064</v>
      </c>
      <c r="G67" s="166" t="s">
        <v>1092</v>
      </c>
      <c r="H67" s="166" t="s">
        <v>198</v>
      </c>
      <c r="I67" s="166"/>
      <c r="J67" s="163" t="s">
        <v>64</v>
      </c>
      <c r="K67" s="163" t="s">
        <v>63</v>
      </c>
      <c r="L67" s="99">
        <f t="shared" si="0"/>
        <v>45000</v>
      </c>
      <c r="M67" s="165">
        <f t="shared" si="1"/>
        <v>1</v>
      </c>
      <c r="N67" s="163"/>
      <c r="O67" s="163"/>
      <c r="P67" s="164" t="s">
        <v>472</v>
      </c>
      <c r="Q67" s="163"/>
      <c r="R67" s="163">
        <v>1</v>
      </c>
      <c r="S67" s="163"/>
      <c r="T67" s="162">
        <v>45000</v>
      </c>
      <c r="U67" s="94" t="s">
        <v>1091</v>
      </c>
      <c r="V67" s="217"/>
      <c r="W67" s="217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/>
      <c r="AV67" s="125"/>
      <c r="AW67" s="125"/>
      <c r="AX67" s="125"/>
      <c r="AY67" s="125"/>
      <c r="AZ67" s="125"/>
      <c r="BA67" s="125"/>
      <c r="BB67" s="125"/>
      <c r="BC67" s="125"/>
      <c r="BD67" s="125"/>
      <c r="BE67" s="125"/>
      <c r="BF67" s="125"/>
      <c r="BG67" s="125"/>
      <c r="BH67" s="125"/>
    </row>
    <row r="68" spans="1:60" s="124" customFormat="1" ht="139.5">
      <c r="A68" s="233" t="s">
        <v>447</v>
      </c>
      <c r="B68" s="231">
        <v>2570</v>
      </c>
      <c r="C68" s="166" t="s">
        <v>477</v>
      </c>
      <c r="D68" s="100" t="s">
        <v>621</v>
      </c>
      <c r="E68" s="100" t="s">
        <v>620</v>
      </c>
      <c r="F68" s="100" t="s">
        <v>1064</v>
      </c>
      <c r="G68" s="166" t="s">
        <v>1090</v>
      </c>
      <c r="H68" s="166" t="s">
        <v>198</v>
      </c>
      <c r="I68" s="166"/>
      <c r="J68" s="163" t="s">
        <v>64</v>
      </c>
      <c r="K68" s="163" t="s">
        <v>63</v>
      </c>
      <c r="L68" s="99">
        <f t="shared" si="0"/>
        <v>10000</v>
      </c>
      <c r="M68" s="165">
        <f t="shared" si="1"/>
        <v>5</v>
      </c>
      <c r="N68" s="163"/>
      <c r="O68" s="163"/>
      <c r="P68" s="164" t="s">
        <v>472</v>
      </c>
      <c r="Q68" s="163"/>
      <c r="R68" s="163">
        <v>5</v>
      </c>
      <c r="S68" s="163"/>
      <c r="T68" s="162">
        <v>2000</v>
      </c>
      <c r="U68" s="94" t="s">
        <v>1089</v>
      </c>
      <c r="V68" s="217"/>
      <c r="W68" s="217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125"/>
      <c r="BA68" s="125"/>
      <c r="BB68" s="125"/>
      <c r="BC68" s="125"/>
      <c r="BD68" s="125"/>
      <c r="BE68" s="125"/>
      <c r="BF68" s="125"/>
      <c r="BG68" s="125"/>
      <c r="BH68" s="125"/>
    </row>
    <row r="69" spans="1:60" s="124" customFormat="1" ht="139.5">
      <c r="A69" s="233" t="s">
        <v>447</v>
      </c>
      <c r="B69" s="231">
        <v>2570</v>
      </c>
      <c r="C69" s="166" t="s">
        <v>477</v>
      </c>
      <c r="D69" s="100" t="s">
        <v>621</v>
      </c>
      <c r="E69" s="100" t="s">
        <v>620</v>
      </c>
      <c r="F69" s="100" t="s">
        <v>1064</v>
      </c>
      <c r="G69" s="166" t="s">
        <v>1088</v>
      </c>
      <c r="H69" s="166" t="s">
        <v>198</v>
      </c>
      <c r="I69" s="166"/>
      <c r="J69" s="163" t="s">
        <v>64</v>
      </c>
      <c r="K69" s="163" t="s">
        <v>63</v>
      </c>
      <c r="L69" s="99">
        <f t="shared" si="0"/>
        <v>6000</v>
      </c>
      <c r="M69" s="165">
        <f t="shared" si="1"/>
        <v>1</v>
      </c>
      <c r="N69" s="163"/>
      <c r="O69" s="163"/>
      <c r="P69" s="164" t="s">
        <v>472</v>
      </c>
      <c r="Q69" s="163"/>
      <c r="R69" s="163">
        <v>1</v>
      </c>
      <c r="S69" s="163"/>
      <c r="T69" s="162">
        <v>6000</v>
      </c>
      <c r="U69" s="94" t="s">
        <v>1087</v>
      </c>
      <c r="V69" s="217"/>
      <c r="W69" s="217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/>
      <c r="AX69" s="125"/>
      <c r="AY69" s="125"/>
      <c r="AZ69" s="125"/>
      <c r="BA69" s="125"/>
      <c r="BB69" s="125"/>
      <c r="BC69" s="125"/>
      <c r="BD69" s="125"/>
      <c r="BE69" s="125"/>
      <c r="BF69" s="125"/>
      <c r="BG69" s="125"/>
      <c r="BH69" s="125"/>
    </row>
    <row r="70" spans="1:60" s="124" customFormat="1" ht="139.5">
      <c r="A70" s="233" t="s">
        <v>447</v>
      </c>
      <c r="B70" s="231">
        <v>2570</v>
      </c>
      <c r="C70" s="166" t="s">
        <v>477</v>
      </c>
      <c r="D70" s="100" t="s">
        <v>621</v>
      </c>
      <c r="E70" s="100" t="s">
        <v>620</v>
      </c>
      <c r="F70" s="100" t="s">
        <v>1064</v>
      </c>
      <c r="G70" s="167" t="s">
        <v>1086</v>
      </c>
      <c r="H70" s="166" t="s">
        <v>198</v>
      </c>
      <c r="I70" s="166"/>
      <c r="J70" s="163" t="s">
        <v>64</v>
      </c>
      <c r="K70" s="163" t="s">
        <v>63</v>
      </c>
      <c r="L70" s="99">
        <f t="shared" si="0"/>
        <v>14000</v>
      </c>
      <c r="M70" s="165">
        <f t="shared" si="1"/>
        <v>2</v>
      </c>
      <c r="N70" s="163"/>
      <c r="O70" s="163"/>
      <c r="P70" s="164" t="s">
        <v>472</v>
      </c>
      <c r="Q70" s="163"/>
      <c r="R70" s="163">
        <v>2</v>
      </c>
      <c r="S70" s="163"/>
      <c r="T70" s="162">
        <v>7000</v>
      </c>
      <c r="U70" s="94" t="s">
        <v>1085</v>
      </c>
      <c r="V70" s="217"/>
      <c r="W70" s="217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  <c r="AV70" s="125"/>
      <c r="AW70" s="125"/>
      <c r="AX70" s="125"/>
      <c r="AY70" s="125"/>
      <c r="AZ70" s="125"/>
      <c r="BA70" s="125"/>
      <c r="BB70" s="125"/>
      <c r="BC70" s="125"/>
      <c r="BD70" s="125"/>
      <c r="BE70" s="125"/>
      <c r="BF70" s="125"/>
      <c r="BG70" s="125"/>
      <c r="BH70" s="125"/>
    </row>
    <row r="71" spans="1:60" s="124" customFormat="1" ht="139.5">
      <c r="A71" s="232" t="s">
        <v>447</v>
      </c>
      <c r="B71" s="231">
        <v>2570</v>
      </c>
      <c r="C71" s="100" t="s">
        <v>477</v>
      </c>
      <c r="D71" s="100" t="s">
        <v>621</v>
      </c>
      <c r="E71" s="100" t="s">
        <v>620</v>
      </c>
      <c r="F71" s="100" t="s">
        <v>1064</v>
      </c>
      <c r="G71" s="100" t="s">
        <v>1084</v>
      </c>
      <c r="H71" s="100" t="s">
        <v>198</v>
      </c>
      <c r="I71" s="100"/>
      <c r="J71" s="96" t="s">
        <v>64</v>
      </c>
      <c r="K71" s="96" t="s">
        <v>63</v>
      </c>
      <c r="L71" s="99">
        <f t="shared" si="0"/>
        <v>40000</v>
      </c>
      <c r="M71" s="98">
        <f t="shared" si="1"/>
        <v>2</v>
      </c>
      <c r="N71" s="96"/>
      <c r="O71" s="96"/>
      <c r="P71" s="97" t="s">
        <v>472</v>
      </c>
      <c r="Q71" s="96"/>
      <c r="R71" s="96">
        <v>2</v>
      </c>
      <c r="S71" s="96"/>
      <c r="T71" s="95">
        <v>20000</v>
      </c>
      <c r="U71" s="94" t="s">
        <v>1083</v>
      </c>
      <c r="V71" s="217"/>
      <c r="W71" s="217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</row>
    <row r="72" spans="1:60" s="124" customFormat="1" ht="139.5">
      <c r="A72" s="232" t="s">
        <v>447</v>
      </c>
      <c r="B72" s="231">
        <v>2570</v>
      </c>
      <c r="C72" s="100" t="s">
        <v>477</v>
      </c>
      <c r="D72" s="100" t="s">
        <v>621</v>
      </c>
      <c r="E72" s="100" t="s">
        <v>620</v>
      </c>
      <c r="F72" s="100" t="s">
        <v>1064</v>
      </c>
      <c r="G72" s="100" t="s">
        <v>1082</v>
      </c>
      <c r="H72" s="100" t="s">
        <v>198</v>
      </c>
      <c r="I72" s="100"/>
      <c r="J72" s="96" t="s">
        <v>64</v>
      </c>
      <c r="K72" s="96" t="s">
        <v>63</v>
      </c>
      <c r="L72" s="99">
        <f t="shared" si="0"/>
        <v>3000</v>
      </c>
      <c r="M72" s="98">
        <f t="shared" si="1"/>
        <v>1</v>
      </c>
      <c r="N72" s="96"/>
      <c r="O72" s="96"/>
      <c r="P72" s="97" t="s">
        <v>472</v>
      </c>
      <c r="Q72" s="96"/>
      <c r="R72" s="96">
        <v>1</v>
      </c>
      <c r="S72" s="96"/>
      <c r="T72" s="95">
        <v>3000</v>
      </c>
      <c r="U72" s="94" t="s">
        <v>1081</v>
      </c>
      <c r="V72" s="217"/>
      <c r="W72" s="217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  <c r="BE72" s="125"/>
      <c r="BF72" s="125"/>
      <c r="BG72" s="125"/>
      <c r="BH72" s="125"/>
    </row>
    <row r="73" spans="1:60" s="124" customFormat="1" ht="139.5">
      <c r="A73" s="232" t="s">
        <v>447</v>
      </c>
      <c r="B73" s="231">
        <v>2570</v>
      </c>
      <c r="C73" s="100" t="s">
        <v>477</v>
      </c>
      <c r="D73" s="100" t="s">
        <v>621</v>
      </c>
      <c r="E73" s="100" t="s">
        <v>620</v>
      </c>
      <c r="F73" s="100" t="s">
        <v>1064</v>
      </c>
      <c r="G73" s="100" t="s">
        <v>1080</v>
      </c>
      <c r="H73" s="100" t="s">
        <v>198</v>
      </c>
      <c r="I73" s="100"/>
      <c r="J73" s="96" t="s">
        <v>64</v>
      </c>
      <c r="K73" s="96" t="s">
        <v>63</v>
      </c>
      <c r="L73" s="99">
        <f t="shared" si="0"/>
        <v>4000</v>
      </c>
      <c r="M73" s="98">
        <f t="shared" si="1"/>
        <v>2</v>
      </c>
      <c r="N73" s="96"/>
      <c r="O73" s="96"/>
      <c r="P73" s="97" t="s">
        <v>472</v>
      </c>
      <c r="Q73" s="96"/>
      <c r="R73" s="96">
        <v>2</v>
      </c>
      <c r="S73" s="96"/>
      <c r="T73" s="95">
        <v>2000</v>
      </c>
      <c r="U73" s="94" t="s">
        <v>1079</v>
      </c>
      <c r="V73" s="217"/>
      <c r="W73" s="217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5"/>
      <c r="AV73" s="125"/>
      <c r="AW73" s="125"/>
      <c r="AX73" s="125"/>
      <c r="AY73" s="125"/>
      <c r="AZ73" s="125"/>
      <c r="BA73" s="125"/>
      <c r="BB73" s="125"/>
      <c r="BC73" s="125"/>
      <c r="BD73" s="125"/>
      <c r="BE73" s="125"/>
      <c r="BF73" s="125"/>
      <c r="BG73" s="125"/>
      <c r="BH73" s="125"/>
    </row>
    <row r="74" spans="1:60" s="124" customFormat="1" ht="139.5">
      <c r="A74" s="232" t="s">
        <v>447</v>
      </c>
      <c r="B74" s="231">
        <v>2570</v>
      </c>
      <c r="C74" s="100" t="s">
        <v>477</v>
      </c>
      <c r="D74" s="100" t="s">
        <v>621</v>
      </c>
      <c r="E74" s="100" t="s">
        <v>620</v>
      </c>
      <c r="F74" s="100" t="s">
        <v>1064</v>
      </c>
      <c r="G74" s="100" t="s">
        <v>1078</v>
      </c>
      <c r="H74" s="100" t="s">
        <v>198</v>
      </c>
      <c r="I74" s="100"/>
      <c r="J74" s="96" t="s">
        <v>64</v>
      </c>
      <c r="K74" s="96" t="s">
        <v>63</v>
      </c>
      <c r="L74" s="99">
        <f t="shared" si="0"/>
        <v>5000</v>
      </c>
      <c r="M74" s="98">
        <f t="shared" si="1"/>
        <v>2</v>
      </c>
      <c r="N74" s="96"/>
      <c r="O74" s="96"/>
      <c r="P74" s="97" t="s">
        <v>472</v>
      </c>
      <c r="Q74" s="96"/>
      <c r="R74" s="96">
        <v>2</v>
      </c>
      <c r="S74" s="96"/>
      <c r="T74" s="95">
        <v>2500</v>
      </c>
      <c r="U74" s="94" t="s">
        <v>1077</v>
      </c>
      <c r="V74" s="217"/>
      <c r="W74" s="217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25"/>
      <c r="BC74" s="125"/>
      <c r="BD74" s="125"/>
      <c r="BE74" s="125"/>
      <c r="BF74" s="125"/>
      <c r="BG74" s="125"/>
      <c r="BH74" s="125"/>
    </row>
    <row r="75" spans="1:60" s="124" customFormat="1" ht="139.5">
      <c r="A75" s="232" t="s">
        <v>447</v>
      </c>
      <c r="B75" s="231">
        <v>2570</v>
      </c>
      <c r="C75" s="100" t="s">
        <v>477</v>
      </c>
      <c r="D75" s="100" t="s">
        <v>621</v>
      </c>
      <c r="E75" s="100" t="s">
        <v>620</v>
      </c>
      <c r="F75" s="100" t="s">
        <v>1064</v>
      </c>
      <c r="G75" s="100" t="s">
        <v>1076</v>
      </c>
      <c r="H75" s="100" t="s">
        <v>198</v>
      </c>
      <c r="I75" s="100"/>
      <c r="J75" s="96" t="s">
        <v>64</v>
      </c>
      <c r="K75" s="96" t="s">
        <v>63</v>
      </c>
      <c r="L75" s="99">
        <f t="shared" si="0"/>
        <v>170000</v>
      </c>
      <c r="M75" s="98">
        <f t="shared" si="1"/>
        <v>2</v>
      </c>
      <c r="N75" s="98"/>
      <c r="O75" s="98"/>
      <c r="P75" s="97" t="s">
        <v>472</v>
      </c>
      <c r="Q75" s="98"/>
      <c r="R75" s="98">
        <v>2</v>
      </c>
      <c r="S75" s="98"/>
      <c r="T75" s="95">
        <v>85000</v>
      </c>
      <c r="U75" s="109" t="s">
        <v>1075</v>
      </c>
      <c r="V75" s="217"/>
      <c r="W75" s="217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5"/>
      <c r="AV75" s="125"/>
      <c r="AW75" s="125"/>
      <c r="AX75" s="125"/>
      <c r="AY75" s="125"/>
      <c r="AZ75" s="125"/>
      <c r="BA75" s="125"/>
      <c r="BB75" s="125"/>
      <c r="BC75" s="125"/>
      <c r="BD75" s="125"/>
      <c r="BE75" s="125"/>
      <c r="BF75" s="125"/>
      <c r="BG75" s="125"/>
      <c r="BH75" s="125"/>
    </row>
    <row r="76" spans="1:60" s="124" customFormat="1" ht="139.5">
      <c r="A76" s="232" t="s">
        <v>447</v>
      </c>
      <c r="B76" s="231">
        <v>2570</v>
      </c>
      <c r="C76" s="100" t="s">
        <v>477</v>
      </c>
      <c r="D76" s="100" t="s">
        <v>621</v>
      </c>
      <c r="E76" s="100" t="s">
        <v>620</v>
      </c>
      <c r="F76" s="100" t="s">
        <v>1064</v>
      </c>
      <c r="G76" s="100" t="s">
        <v>1074</v>
      </c>
      <c r="H76" s="100" t="s">
        <v>198</v>
      </c>
      <c r="I76" s="100"/>
      <c r="J76" s="96" t="s">
        <v>64</v>
      </c>
      <c r="K76" s="96" t="s">
        <v>63</v>
      </c>
      <c r="L76" s="99">
        <f t="shared" si="0"/>
        <v>9000</v>
      </c>
      <c r="M76" s="98">
        <f t="shared" si="1"/>
        <v>2</v>
      </c>
      <c r="N76" s="96"/>
      <c r="O76" s="96"/>
      <c r="P76" s="97" t="s">
        <v>472</v>
      </c>
      <c r="Q76" s="96"/>
      <c r="R76" s="96">
        <v>2</v>
      </c>
      <c r="S76" s="96"/>
      <c r="T76" s="95">
        <v>4500</v>
      </c>
      <c r="U76" s="94" t="s">
        <v>1073</v>
      </c>
      <c r="V76" s="217"/>
      <c r="W76" s="217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5"/>
      <c r="AV76" s="125"/>
      <c r="AW76" s="125"/>
      <c r="AX76" s="125"/>
      <c r="AY76" s="125"/>
      <c r="AZ76" s="125"/>
      <c r="BA76" s="125"/>
      <c r="BB76" s="125"/>
      <c r="BC76" s="125"/>
      <c r="BD76" s="125"/>
      <c r="BE76" s="125"/>
      <c r="BF76" s="125"/>
      <c r="BG76" s="125"/>
      <c r="BH76" s="125"/>
    </row>
    <row r="77" spans="1:60" s="124" customFormat="1" ht="139.5">
      <c r="A77" s="232" t="s">
        <v>447</v>
      </c>
      <c r="B77" s="231">
        <v>2570</v>
      </c>
      <c r="C77" s="100" t="s">
        <v>477</v>
      </c>
      <c r="D77" s="100" t="s">
        <v>621</v>
      </c>
      <c r="E77" s="100" t="s">
        <v>620</v>
      </c>
      <c r="F77" s="100" t="s">
        <v>1064</v>
      </c>
      <c r="G77" s="100" t="s">
        <v>1072</v>
      </c>
      <c r="H77" s="100" t="s">
        <v>198</v>
      </c>
      <c r="I77" s="100"/>
      <c r="J77" s="96" t="s">
        <v>64</v>
      </c>
      <c r="K77" s="96" t="s">
        <v>63</v>
      </c>
      <c r="L77" s="99">
        <f t="shared" si="0"/>
        <v>110000</v>
      </c>
      <c r="M77" s="98">
        <f t="shared" si="1"/>
        <v>2</v>
      </c>
      <c r="N77" s="96"/>
      <c r="O77" s="96"/>
      <c r="P77" s="97" t="s">
        <v>472</v>
      </c>
      <c r="Q77" s="96"/>
      <c r="R77" s="96">
        <v>2</v>
      </c>
      <c r="S77" s="96"/>
      <c r="T77" s="95">
        <v>55000</v>
      </c>
      <c r="U77" s="94" t="s">
        <v>1071</v>
      </c>
      <c r="V77" s="217"/>
      <c r="W77" s="217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5"/>
      <c r="AV77" s="125"/>
      <c r="AW77" s="125"/>
      <c r="AX77" s="125"/>
      <c r="AY77" s="125"/>
      <c r="AZ77" s="125"/>
      <c r="BA77" s="125"/>
      <c r="BB77" s="125"/>
      <c r="BC77" s="125"/>
      <c r="BD77" s="125"/>
      <c r="BE77" s="125"/>
      <c r="BF77" s="125"/>
      <c r="BG77" s="125"/>
      <c r="BH77" s="125"/>
    </row>
    <row r="78" spans="1:60" s="124" customFormat="1" ht="139.5">
      <c r="A78" s="232" t="s">
        <v>447</v>
      </c>
      <c r="B78" s="231">
        <v>2570</v>
      </c>
      <c r="C78" s="100" t="s">
        <v>477</v>
      </c>
      <c r="D78" s="100" t="s">
        <v>621</v>
      </c>
      <c r="E78" s="100" t="s">
        <v>620</v>
      </c>
      <c r="F78" s="100" t="s">
        <v>1064</v>
      </c>
      <c r="G78" s="100" t="s">
        <v>1070</v>
      </c>
      <c r="H78" s="100" t="s">
        <v>198</v>
      </c>
      <c r="I78" s="100"/>
      <c r="J78" s="96" t="s">
        <v>64</v>
      </c>
      <c r="K78" s="96" t="s">
        <v>63</v>
      </c>
      <c r="L78" s="99">
        <f t="shared" si="0"/>
        <v>22000</v>
      </c>
      <c r="M78" s="98">
        <f t="shared" si="1"/>
        <v>2</v>
      </c>
      <c r="N78" s="96"/>
      <c r="O78" s="96"/>
      <c r="P78" s="97" t="s">
        <v>472</v>
      </c>
      <c r="Q78" s="96"/>
      <c r="R78" s="96">
        <v>2</v>
      </c>
      <c r="S78" s="96"/>
      <c r="T78" s="95">
        <v>11000</v>
      </c>
      <c r="U78" s="94" t="s">
        <v>1069</v>
      </c>
      <c r="V78" s="217"/>
      <c r="W78" s="217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5"/>
      <c r="AV78" s="125"/>
      <c r="AW78" s="125"/>
      <c r="AX78" s="125"/>
      <c r="AY78" s="125"/>
      <c r="AZ78" s="125"/>
      <c r="BA78" s="125"/>
      <c r="BB78" s="125"/>
      <c r="BC78" s="125"/>
      <c r="BD78" s="125"/>
      <c r="BE78" s="125"/>
      <c r="BF78" s="125"/>
      <c r="BG78" s="125"/>
      <c r="BH78" s="125"/>
    </row>
    <row r="79" spans="1:60" s="124" customFormat="1" ht="139.5">
      <c r="A79" s="232" t="s">
        <v>447</v>
      </c>
      <c r="B79" s="231">
        <v>2570</v>
      </c>
      <c r="C79" s="100" t="s">
        <v>477</v>
      </c>
      <c r="D79" s="100" t="s">
        <v>621</v>
      </c>
      <c r="E79" s="100" t="s">
        <v>620</v>
      </c>
      <c r="F79" s="100" t="s">
        <v>1064</v>
      </c>
      <c r="G79" s="100" t="s">
        <v>1068</v>
      </c>
      <c r="H79" s="100" t="s">
        <v>198</v>
      </c>
      <c r="I79" s="100"/>
      <c r="J79" s="96" t="s">
        <v>64</v>
      </c>
      <c r="K79" s="96" t="s">
        <v>63</v>
      </c>
      <c r="L79" s="99">
        <f t="shared" si="0"/>
        <v>350000</v>
      </c>
      <c r="M79" s="98">
        <f t="shared" si="1"/>
        <v>2</v>
      </c>
      <c r="N79" s="96"/>
      <c r="O79" s="96"/>
      <c r="P79" s="97" t="s">
        <v>472</v>
      </c>
      <c r="Q79" s="96"/>
      <c r="R79" s="96">
        <v>2</v>
      </c>
      <c r="S79" s="96"/>
      <c r="T79" s="95">
        <v>175000</v>
      </c>
      <c r="U79" s="94" t="s">
        <v>1067</v>
      </c>
      <c r="V79" s="217"/>
      <c r="W79" s="217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5"/>
      <c r="AV79" s="125"/>
      <c r="AW79" s="125"/>
      <c r="AX79" s="125"/>
      <c r="AY79" s="125"/>
      <c r="AZ79" s="125"/>
      <c r="BA79" s="125"/>
      <c r="BB79" s="125"/>
      <c r="BC79" s="125"/>
      <c r="BD79" s="125"/>
      <c r="BE79" s="125"/>
      <c r="BF79" s="125"/>
      <c r="BG79" s="125"/>
      <c r="BH79" s="125"/>
    </row>
    <row r="80" spans="1:60" s="124" customFormat="1" ht="139.5">
      <c r="A80" s="232" t="s">
        <v>447</v>
      </c>
      <c r="B80" s="231">
        <v>2570</v>
      </c>
      <c r="C80" s="100" t="s">
        <v>477</v>
      </c>
      <c r="D80" s="100" t="s">
        <v>621</v>
      </c>
      <c r="E80" s="100" t="s">
        <v>620</v>
      </c>
      <c r="F80" s="100" t="s">
        <v>1064</v>
      </c>
      <c r="G80" s="100" t="s">
        <v>1066</v>
      </c>
      <c r="H80" s="100" t="s">
        <v>198</v>
      </c>
      <c r="I80" s="100"/>
      <c r="J80" s="96" t="s">
        <v>64</v>
      </c>
      <c r="K80" s="96" t="s">
        <v>63</v>
      </c>
      <c r="L80" s="99">
        <f t="shared" si="0"/>
        <v>148000</v>
      </c>
      <c r="M80" s="98">
        <f t="shared" si="1"/>
        <v>2</v>
      </c>
      <c r="N80" s="96"/>
      <c r="O80" s="96"/>
      <c r="P80" s="97" t="s">
        <v>472</v>
      </c>
      <c r="Q80" s="96"/>
      <c r="R80" s="96">
        <v>2</v>
      </c>
      <c r="S80" s="96"/>
      <c r="T80" s="95">
        <v>74000</v>
      </c>
      <c r="U80" s="94" t="s">
        <v>1065</v>
      </c>
      <c r="V80" s="217"/>
      <c r="W80" s="217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25"/>
      <c r="AU80" s="125"/>
      <c r="AV80" s="125"/>
      <c r="AW80" s="125"/>
      <c r="AX80" s="125"/>
      <c r="AY80" s="125"/>
      <c r="AZ80" s="125"/>
      <c r="BA80" s="125"/>
      <c r="BB80" s="125"/>
      <c r="BC80" s="125"/>
      <c r="BD80" s="125"/>
      <c r="BE80" s="125"/>
      <c r="BF80" s="125"/>
      <c r="BG80" s="125"/>
      <c r="BH80" s="125"/>
    </row>
    <row r="81" spans="1:60" s="124" customFormat="1" ht="139.5">
      <c r="A81" s="232" t="s">
        <v>447</v>
      </c>
      <c r="B81" s="231">
        <v>2570</v>
      </c>
      <c r="C81" s="100" t="s">
        <v>477</v>
      </c>
      <c r="D81" s="100" t="s">
        <v>621</v>
      </c>
      <c r="E81" s="100" t="s">
        <v>620</v>
      </c>
      <c r="F81" s="100" t="s">
        <v>1064</v>
      </c>
      <c r="G81" s="100" t="s">
        <v>1063</v>
      </c>
      <c r="H81" s="100" t="s">
        <v>198</v>
      </c>
      <c r="I81" s="100"/>
      <c r="J81" s="96" t="s">
        <v>64</v>
      </c>
      <c r="K81" s="96" t="s">
        <v>63</v>
      </c>
      <c r="L81" s="99">
        <f t="shared" si="0"/>
        <v>15000</v>
      </c>
      <c r="M81" s="98">
        <f t="shared" si="1"/>
        <v>1</v>
      </c>
      <c r="N81" s="96"/>
      <c r="O81" s="96"/>
      <c r="P81" s="97" t="s">
        <v>472</v>
      </c>
      <c r="Q81" s="96"/>
      <c r="R81" s="96">
        <v>1</v>
      </c>
      <c r="S81" s="96"/>
      <c r="T81" s="95">
        <v>15000</v>
      </c>
      <c r="U81" s="94" t="s">
        <v>1062</v>
      </c>
      <c r="V81" s="217"/>
      <c r="W81" s="217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</row>
    <row r="82" spans="1:60" s="124" customFormat="1" ht="116.25">
      <c r="A82" s="232" t="s">
        <v>447</v>
      </c>
      <c r="B82" s="231">
        <v>2570</v>
      </c>
      <c r="C82" s="100" t="s">
        <v>555</v>
      </c>
      <c r="D82" s="100"/>
      <c r="E82" s="100" t="s">
        <v>667</v>
      </c>
      <c r="F82" s="100" t="s">
        <v>666</v>
      </c>
      <c r="G82" s="100" t="s">
        <v>1061</v>
      </c>
      <c r="H82" s="100" t="s">
        <v>156</v>
      </c>
      <c r="I82" s="100"/>
      <c r="J82" s="161" t="s">
        <v>154</v>
      </c>
      <c r="K82" s="96" t="s">
        <v>149</v>
      </c>
      <c r="L82" s="99">
        <f t="shared" si="0"/>
        <v>180000</v>
      </c>
      <c r="M82" s="98">
        <f t="shared" si="1"/>
        <v>1</v>
      </c>
      <c r="N82" s="96" t="s">
        <v>558</v>
      </c>
      <c r="O82" s="97" t="s">
        <v>472</v>
      </c>
      <c r="P82" s="96"/>
      <c r="Q82" s="96"/>
      <c r="R82" s="96">
        <v>1</v>
      </c>
      <c r="S82" s="96"/>
      <c r="T82" s="95">
        <v>180000</v>
      </c>
      <c r="U82" s="94" t="s">
        <v>1048</v>
      </c>
      <c r="V82" s="217"/>
      <c r="W82" s="217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5"/>
      <c r="AV82" s="125"/>
      <c r="AW82" s="125"/>
      <c r="AX82" s="125"/>
      <c r="AY82" s="125"/>
      <c r="AZ82" s="125"/>
      <c r="BA82" s="125"/>
      <c r="BB82" s="125"/>
      <c r="BC82" s="125"/>
      <c r="BD82" s="125"/>
      <c r="BE82" s="125"/>
      <c r="BF82" s="125"/>
      <c r="BG82" s="125"/>
      <c r="BH82" s="125"/>
    </row>
    <row r="83" spans="1:60" s="124" customFormat="1" ht="116.25">
      <c r="A83" s="232" t="s">
        <v>447</v>
      </c>
      <c r="B83" s="231">
        <v>2570</v>
      </c>
      <c r="C83" s="100" t="s">
        <v>555</v>
      </c>
      <c r="D83" s="100"/>
      <c r="E83" s="100" t="s">
        <v>667</v>
      </c>
      <c r="F83" s="100" t="s">
        <v>666</v>
      </c>
      <c r="G83" s="100" t="s">
        <v>1061</v>
      </c>
      <c r="H83" s="100" t="s">
        <v>451</v>
      </c>
      <c r="I83" s="100"/>
      <c r="J83" s="96" t="s">
        <v>444</v>
      </c>
      <c r="K83" s="96" t="s">
        <v>13</v>
      </c>
      <c r="L83" s="99">
        <f t="shared" si="0"/>
        <v>180000</v>
      </c>
      <c r="M83" s="98">
        <f t="shared" si="1"/>
        <v>1</v>
      </c>
      <c r="N83" s="96" t="s">
        <v>558</v>
      </c>
      <c r="O83" s="97" t="s">
        <v>472</v>
      </c>
      <c r="P83" s="96"/>
      <c r="Q83" s="96"/>
      <c r="R83" s="96">
        <v>1</v>
      </c>
      <c r="S83" s="96"/>
      <c r="T83" s="95">
        <v>180000</v>
      </c>
      <c r="U83" s="94" t="s">
        <v>1060</v>
      </c>
      <c r="V83" s="217"/>
      <c r="W83" s="217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  <c r="AQ83" s="125"/>
      <c r="AR83" s="125"/>
      <c r="AS83" s="125"/>
      <c r="AT83" s="125"/>
      <c r="AU83" s="125"/>
      <c r="AV83" s="125"/>
      <c r="AW83" s="125"/>
      <c r="AX83" s="125"/>
      <c r="AY83" s="125"/>
      <c r="AZ83" s="125"/>
      <c r="BA83" s="125"/>
      <c r="BB83" s="125"/>
      <c r="BC83" s="125"/>
      <c r="BD83" s="125"/>
      <c r="BE83" s="125"/>
      <c r="BF83" s="125"/>
      <c r="BG83" s="125"/>
      <c r="BH83" s="125"/>
    </row>
    <row r="84" spans="1:60" s="124" customFormat="1" ht="116.25">
      <c r="A84" s="232" t="s">
        <v>447</v>
      </c>
      <c r="B84" s="231">
        <v>2570</v>
      </c>
      <c r="C84" s="100" t="s">
        <v>555</v>
      </c>
      <c r="D84" s="100"/>
      <c r="E84" s="100" t="s">
        <v>667</v>
      </c>
      <c r="F84" s="100" t="s">
        <v>666</v>
      </c>
      <c r="G84" s="100" t="s">
        <v>1057</v>
      </c>
      <c r="H84" s="100" t="s">
        <v>433</v>
      </c>
      <c r="I84" s="100"/>
      <c r="J84" s="96" t="s">
        <v>428</v>
      </c>
      <c r="K84" s="96" t="s">
        <v>63</v>
      </c>
      <c r="L84" s="99">
        <f t="shared" si="0"/>
        <v>200000</v>
      </c>
      <c r="M84" s="98">
        <f t="shared" si="1"/>
        <v>1</v>
      </c>
      <c r="N84" s="96" t="s">
        <v>558</v>
      </c>
      <c r="O84" s="97" t="s">
        <v>472</v>
      </c>
      <c r="P84" s="96"/>
      <c r="Q84" s="96"/>
      <c r="R84" s="96">
        <v>1</v>
      </c>
      <c r="S84" s="96"/>
      <c r="T84" s="95">
        <v>200000</v>
      </c>
      <c r="U84" s="94" t="s">
        <v>1048</v>
      </c>
      <c r="V84" s="217"/>
      <c r="W84" s="217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  <c r="BC84" s="125"/>
      <c r="BD84" s="125"/>
      <c r="BE84" s="125"/>
      <c r="BF84" s="125"/>
      <c r="BG84" s="125"/>
      <c r="BH84" s="125"/>
    </row>
    <row r="85" spans="1:60" s="124" customFormat="1" ht="116.25">
      <c r="A85" s="232" t="s">
        <v>447</v>
      </c>
      <c r="B85" s="231">
        <v>2570</v>
      </c>
      <c r="C85" s="100" t="s">
        <v>555</v>
      </c>
      <c r="D85" s="100"/>
      <c r="E85" s="100" t="s">
        <v>667</v>
      </c>
      <c r="F85" s="100" t="s">
        <v>666</v>
      </c>
      <c r="G85" s="100" t="s">
        <v>1057</v>
      </c>
      <c r="H85" s="100" t="s">
        <v>343</v>
      </c>
      <c r="I85" s="100"/>
      <c r="J85" s="96" t="s">
        <v>340</v>
      </c>
      <c r="K85" s="96" t="s">
        <v>63</v>
      </c>
      <c r="L85" s="99">
        <f t="shared" si="0"/>
        <v>200000</v>
      </c>
      <c r="M85" s="98">
        <f t="shared" si="1"/>
        <v>1</v>
      </c>
      <c r="N85" s="96" t="s">
        <v>558</v>
      </c>
      <c r="O85" s="97" t="s">
        <v>472</v>
      </c>
      <c r="P85" s="97"/>
      <c r="Q85" s="96">
        <v>1</v>
      </c>
      <c r="R85" s="96"/>
      <c r="S85" s="96" t="s">
        <v>1059</v>
      </c>
      <c r="T85" s="95">
        <v>200000</v>
      </c>
      <c r="U85" s="94" t="s">
        <v>1058</v>
      </c>
      <c r="V85" s="217"/>
      <c r="W85" s="217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5"/>
      <c r="AV85" s="125"/>
      <c r="AW85" s="125"/>
      <c r="AX85" s="125"/>
      <c r="AY85" s="125"/>
      <c r="AZ85" s="125"/>
      <c r="BA85" s="125"/>
      <c r="BB85" s="125"/>
      <c r="BC85" s="125"/>
      <c r="BD85" s="125"/>
      <c r="BE85" s="125"/>
      <c r="BF85" s="125"/>
      <c r="BG85" s="125"/>
      <c r="BH85" s="125"/>
    </row>
    <row r="86" spans="1:60" s="124" customFormat="1" ht="116.25">
      <c r="A86" s="232" t="s">
        <v>447</v>
      </c>
      <c r="B86" s="231">
        <v>2570</v>
      </c>
      <c r="C86" s="100" t="s">
        <v>555</v>
      </c>
      <c r="D86" s="100"/>
      <c r="E86" s="100" t="s">
        <v>667</v>
      </c>
      <c r="F86" s="100" t="s">
        <v>666</v>
      </c>
      <c r="G86" s="100" t="s">
        <v>1057</v>
      </c>
      <c r="H86" s="100" t="s">
        <v>356</v>
      </c>
      <c r="I86" s="100"/>
      <c r="J86" s="96" t="s">
        <v>357</v>
      </c>
      <c r="K86" s="96" t="s">
        <v>63</v>
      </c>
      <c r="L86" s="99">
        <f t="shared" si="0"/>
        <v>200000</v>
      </c>
      <c r="M86" s="98">
        <f t="shared" si="1"/>
        <v>1</v>
      </c>
      <c r="N86" s="96" t="s">
        <v>558</v>
      </c>
      <c r="O86" s="97" t="s">
        <v>472</v>
      </c>
      <c r="P86" s="97"/>
      <c r="Q86" s="96"/>
      <c r="R86" s="96">
        <v>1</v>
      </c>
      <c r="S86" s="98"/>
      <c r="T86" s="95">
        <v>200000</v>
      </c>
      <c r="U86" s="94" t="s">
        <v>1056</v>
      </c>
      <c r="V86" s="217"/>
      <c r="W86" s="217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/>
      <c r="AP86" s="125"/>
      <c r="AQ86" s="125"/>
      <c r="AR86" s="125"/>
      <c r="AS86" s="125"/>
      <c r="AT86" s="125"/>
      <c r="AU86" s="125"/>
      <c r="AV86" s="125"/>
      <c r="AW86" s="125"/>
      <c r="AX86" s="125"/>
      <c r="AY86" s="125"/>
      <c r="AZ86" s="125"/>
      <c r="BA86" s="125"/>
      <c r="BB86" s="125"/>
      <c r="BC86" s="125"/>
      <c r="BD86" s="125"/>
      <c r="BE86" s="125"/>
      <c r="BF86" s="125"/>
      <c r="BG86" s="125"/>
      <c r="BH86" s="125"/>
    </row>
    <row r="87" spans="1:60" s="124" customFormat="1" ht="116.25">
      <c r="A87" s="232" t="s">
        <v>447</v>
      </c>
      <c r="B87" s="231">
        <v>2570</v>
      </c>
      <c r="C87" s="100" t="s">
        <v>555</v>
      </c>
      <c r="D87" s="100"/>
      <c r="E87" s="100" t="s">
        <v>667</v>
      </c>
      <c r="F87" s="100" t="s">
        <v>666</v>
      </c>
      <c r="G87" s="100" t="s">
        <v>1055</v>
      </c>
      <c r="H87" s="100" t="s">
        <v>350</v>
      </c>
      <c r="I87" s="100"/>
      <c r="J87" s="135" t="s">
        <v>103</v>
      </c>
      <c r="K87" s="96" t="s">
        <v>63</v>
      </c>
      <c r="L87" s="99">
        <f t="shared" si="0"/>
        <v>250000</v>
      </c>
      <c r="M87" s="98">
        <f t="shared" si="1"/>
        <v>1</v>
      </c>
      <c r="N87" s="96" t="s">
        <v>558</v>
      </c>
      <c r="O87" s="97" t="s">
        <v>472</v>
      </c>
      <c r="P87" s="97"/>
      <c r="Q87" s="98"/>
      <c r="R87" s="98">
        <v>1</v>
      </c>
      <c r="S87" s="98"/>
      <c r="T87" s="95">
        <v>250000</v>
      </c>
      <c r="U87" s="109" t="s">
        <v>1048</v>
      </c>
      <c r="V87" s="217"/>
      <c r="W87" s="217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25"/>
      <c r="AQ87" s="125"/>
      <c r="AR87" s="125"/>
      <c r="AS87" s="125"/>
      <c r="AT87" s="125"/>
      <c r="AU87" s="125"/>
      <c r="AV87" s="125"/>
      <c r="AW87" s="125"/>
      <c r="AX87" s="125"/>
      <c r="AY87" s="125"/>
      <c r="AZ87" s="125"/>
      <c r="BA87" s="125"/>
      <c r="BB87" s="125"/>
      <c r="BC87" s="125"/>
      <c r="BD87" s="125"/>
      <c r="BE87" s="125"/>
      <c r="BF87" s="125"/>
      <c r="BG87" s="125"/>
      <c r="BH87" s="125"/>
    </row>
    <row r="88" spans="1:60" s="124" customFormat="1" ht="116.25">
      <c r="A88" s="232" t="s">
        <v>447</v>
      </c>
      <c r="B88" s="231">
        <v>2570</v>
      </c>
      <c r="C88" s="100" t="s">
        <v>555</v>
      </c>
      <c r="D88" s="100"/>
      <c r="E88" s="100" t="s">
        <v>667</v>
      </c>
      <c r="F88" s="100" t="s">
        <v>666</v>
      </c>
      <c r="G88" s="100" t="s">
        <v>1050</v>
      </c>
      <c r="H88" s="100" t="s">
        <v>145</v>
      </c>
      <c r="I88" s="100"/>
      <c r="J88" s="96" t="s">
        <v>143</v>
      </c>
      <c r="K88" s="96" t="s">
        <v>63</v>
      </c>
      <c r="L88" s="99">
        <f t="shared" si="0"/>
        <v>120000</v>
      </c>
      <c r="M88" s="98">
        <f t="shared" si="1"/>
        <v>1</v>
      </c>
      <c r="N88" s="96" t="s">
        <v>558</v>
      </c>
      <c r="O88" s="97" t="s">
        <v>472</v>
      </c>
      <c r="P88" s="97"/>
      <c r="Q88" s="98">
        <v>1</v>
      </c>
      <c r="R88" s="98"/>
      <c r="S88" s="96" t="s">
        <v>1054</v>
      </c>
      <c r="T88" s="95">
        <v>120000</v>
      </c>
      <c r="U88" s="131" t="s">
        <v>1053</v>
      </c>
      <c r="V88" s="217"/>
      <c r="W88" s="217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  <c r="AQ88" s="125"/>
      <c r="AR88" s="125"/>
      <c r="AS88" s="125"/>
      <c r="AT88" s="125"/>
      <c r="AU88" s="125"/>
      <c r="AV88" s="125"/>
      <c r="AW88" s="125"/>
      <c r="AX88" s="125"/>
      <c r="AY88" s="125"/>
      <c r="AZ88" s="125"/>
      <c r="BA88" s="125"/>
      <c r="BB88" s="125"/>
      <c r="BC88" s="125"/>
      <c r="BD88" s="125"/>
      <c r="BE88" s="125"/>
      <c r="BF88" s="125"/>
      <c r="BG88" s="125"/>
      <c r="BH88" s="125"/>
    </row>
    <row r="89" spans="1:60" s="124" customFormat="1" ht="116.25">
      <c r="A89" s="232" t="s">
        <v>447</v>
      </c>
      <c r="B89" s="231">
        <v>2570</v>
      </c>
      <c r="C89" s="100" t="s">
        <v>555</v>
      </c>
      <c r="D89" s="100"/>
      <c r="E89" s="100" t="s">
        <v>667</v>
      </c>
      <c r="F89" s="100" t="s">
        <v>666</v>
      </c>
      <c r="G89" s="100" t="s">
        <v>1050</v>
      </c>
      <c r="H89" s="100" t="s">
        <v>148</v>
      </c>
      <c r="I89" s="100"/>
      <c r="J89" s="96" t="s">
        <v>146</v>
      </c>
      <c r="K89" s="96" t="s">
        <v>63</v>
      </c>
      <c r="L89" s="99">
        <f t="shared" si="0"/>
        <v>120000</v>
      </c>
      <c r="M89" s="98">
        <f t="shared" si="1"/>
        <v>1</v>
      </c>
      <c r="N89" s="96" t="s">
        <v>558</v>
      </c>
      <c r="O89" s="97" t="s">
        <v>472</v>
      </c>
      <c r="P89" s="96"/>
      <c r="Q89" s="98">
        <v>1</v>
      </c>
      <c r="R89" s="96"/>
      <c r="S89" s="96" t="s">
        <v>1052</v>
      </c>
      <c r="T89" s="95">
        <v>120000</v>
      </c>
      <c r="U89" s="94" t="s">
        <v>1051</v>
      </c>
      <c r="V89" s="217"/>
      <c r="W89" s="217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125"/>
      <c r="AP89" s="125"/>
      <c r="AQ89" s="125"/>
      <c r="AR89" s="125"/>
      <c r="AS89" s="125"/>
      <c r="AT89" s="125"/>
      <c r="AU89" s="125"/>
      <c r="AV89" s="125"/>
      <c r="AW89" s="125"/>
      <c r="AX89" s="125"/>
      <c r="AY89" s="125"/>
      <c r="AZ89" s="125"/>
      <c r="BA89" s="125"/>
      <c r="BB89" s="125"/>
      <c r="BC89" s="125"/>
      <c r="BD89" s="125"/>
      <c r="BE89" s="125"/>
      <c r="BF89" s="125"/>
      <c r="BG89" s="125"/>
      <c r="BH89" s="125"/>
    </row>
    <row r="90" spans="1:60" s="124" customFormat="1" ht="116.25">
      <c r="A90" s="232" t="s">
        <v>447</v>
      </c>
      <c r="B90" s="231">
        <v>2570</v>
      </c>
      <c r="C90" s="100" t="s">
        <v>555</v>
      </c>
      <c r="D90" s="100"/>
      <c r="E90" s="100" t="s">
        <v>667</v>
      </c>
      <c r="F90" s="100" t="s">
        <v>666</v>
      </c>
      <c r="G90" s="100" t="s">
        <v>1050</v>
      </c>
      <c r="H90" s="100" t="s">
        <v>53</v>
      </c>
      <c r="I90" s="100"/>
      <c r="J90" s="100" t="s">
        <v>51</v>
      </c>
      <c r="K90" s="96" t="s">
        <v>40</v>
      </c>
      <c r="L90" s="99">
        <f t="shared" si="0"/>
        <v>120000</v>
      </c>
      <c r="M90" s="98">
        <f t="shared" si="1"/>
        <v>1</v>
      </c>
      <c r="N90" s="96" t="s">
        <v>558</v>
      </c>
      <c r="O90" s="97" t="s">
        <v>472</v>
      </c>
      <c r="P90" s="146"/>
      <c r="Q90" s="98"/>
      <c r="R90" s="96">
        <v>1</v>
      </c>
      <c r="S90" s="96"/>
      <c r="T90" s="95">
        <v>120000</v>
      </c>
      <c r="U90" s="94" t="s">
        <v>1048</v>
      </c>
      <c r="V90" s="217"/>
      <c r="W90" s="217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125"/>
      <c r="AP90" s="125"/>
      <c r="AQ90" s="125"/>
      <c r="AR90" s="125"/>
      <c r="AS90" s="125"/>
      <c r="AT90" s="125"/>
      <c r="AU90" s="125"/>
      <c r="AV90" s="125"/>
      <c r="AW90" s="125"/>
      <c r="AX90" s="125"/>
      <c r="AY90" s="125"/>
      <c r="AZ90" s="125"/>
      <c r="BA90" s="125"/>
      <c r="BB90" s="125"/>
      <c r="BC90" s="125"/>
      <c r="BD90" s="125"/>
      <c r="BE90" s="125"/>
      <c r="BF90" s="125"/>
      <c r="BG90" s="125"/>
      <c r="BH90" s="125"/>
    </row>
    <row r="91" spans="1:60" s="124" customFormat="1" ht="116.25">
      <c r="A91" s="232" t="s">
        <v>447</v>
      </c>
      <c r="B91" s="231">
        <v>2570</v>
      </c>
      <c r="C91" s="100" t="s">
        <v>555</v>
      </c>
      <c r="D91" s="100"/>
      <c r="E91" s="100" t="s">
        <v>667</v>
      </c>
      <c r="F91" s="100" t="s">
        <v>666</v>
      </c>
      <c r="G91" s="100" t="s">
        <v>1049</v>
      </c>
      <c r="H91" s="100" t="s">
        <v>156</v>
      </c>
      <c r="I91" s="100"/>
      <c r="J91" s="96" t="s">
        <v>154</v>
      </c>
      <c r="K91" s="96" t="s">
        <v>149</v>
      </c>
      <c r="L91" s="99">
        <f t="shared" si="0"/>
        <v>180000</v>
      </c>
      <c r="M91" s="98">
        <f t="shared" si="1"/>
        <v>1</v>
      </c>
      <c r="N91" s="98" t="s">
        <v>558</v>
      </c>
      <c r="O91" s="97" t="s">
        <v>472</v>
      </c>
      <c r="P91" s="97"/>
      <c r="Q91" s="98"/>
      <c r="R91" s="98">
        <v>1</v>
      </c>
      <c r="S91" s="98"/>
      <c r="T91" s="95">
        <v>180000</v>
      </c>
      <c r="U91" s="94" t="s">
        <v>1048</v>
      </c>
      <c r="V91" s="217"/>
      <c r="W91" s="217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25"/>
      <c r="AN91" s="125"/>
      <c r="AO91" s="125"/>
      <c r="AP91" s="125"/>
      <c r="AQ91" s="125"/>
      <c r="AR91" s="125"/>
      <c r="AS91" s="125"/>
      <c r="AT91" s="125"/>
      <c r="AU91" s="125"/>
      <c r="AV91" s="125"/>
      <c r="AW91" s="125"/>
      <c r="AX91" s="125"/>
      <c r="AY91" s="125"/>
      <c r="AZ91" s="125"/>
      <c r="BA91" s="125"/>
      <c r="BB91" s="125"/>
      <c r="BC91" s="125"/>
      <c r="BD91" s="125"/>
      <c r="BE91" s="125"/>
      <c r="BF91" s="125"/>
      <c r="BG91" s="125"/>
      <c r="BH91" s="125"/>
    </row>
    <row r="92" spans="1:60" s="124" customFormat="1" ht="116.25">
      <c r="A92" s="232" t="s">
        <v>447</v>
      </c>
      <c r="B92" s="231">
        <v>2570</v>
      </c>
      <c r="C92" s="100" t="s">
        <v>555</v>
      </c>
      <c r="D92" s="100"/>
      <c r="E92" s="100" t="s">
        <v>667</v>
      </c>
      <c r="F92" s="100" t="s">
        <v>666</v>
      </c>
      <c r="G92" s="100" t="s">
        <v>1046</v>
      </c>
      <c r="H92" s="100" t="s">
        <v>458</v>
      </c>
      <c r="I92" s="100"/>
      <c r="J92" s="100" t="s">
        <v>440</v>
      </c>
      <c r="K92" s="96" t="s">
        <v>40</v>
      </c>
      <c r="L92" s="99">
        <f t="shared" si="0"/>
        <v>8600</v>
      </c>
      <c r="M92" s="98">
        <f t="shared" si="1"/>
        <v>1</v>
      </c>
      <c r="N92" s="98" t="s">
        <v>558</v>
      </c>
      <c r="O92" s="97" t="s">
        <v>472</v>
      </c>
      <c r="P92" s="98"/>
      <c r="Q92" s="98"/>
      <c r="R92" s="98">
        <v>1</v>
      </c>
      <c r="S92" s="98"/>
      <c r="T92" s="95">
        <v>8600</v>
      </c>
      <c r="U92" s="131" t="s">
        <v>1047</v>
      </c>
      <c r="V92" s="217"/>
      <c r="W92" s="217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/>
      <c r="AQ92" s="125"/>
      <c r="AR92" s="125"/>
      <c r="AS92" s="125"/>
      <c r="AT92" s="125"/>
      <c r="AU92" s="125"/>
      <c r="AV92" s="125"/>
      <c r="AW92" s="125"/>
      <c r="AX92" s="125"/>
      <c r="AY92" s="125"/>
      <c r="AZ92" s="125"/>
      <c r="BA92" s="125"/>
      <c r="BB92" s="125"/>
      <c r="BC92" s="125"/>
      <c r="BD92" s="125"/>
      <c r="BE92" s="125"/>
      <c r="BF92" s="125"/>
      <c r="BG92" s="125"/>
      <c r="BH92" s="125"/>
    </row>
    <row r="93" spans="1:60" s="124" customFormat="1" ht="116.25">
      <c r="A93" s="232" t="s">
        <v>447</v>
      </c>
      <c r="B93" s="231">
        <v>2570</v>
      </c>
      <c r="C93" s="100" t="s">
        <v>555</v>
      </c>
      <c r="D93" s="100"/>
      <c r="E93" s="100" t="s">
        <v>667</v>
      </c>
      <c r="F93" s="100" t="s">
        <v>666</v>
      </c>
      <c r="G93" s="100" t="s">
        <v>1046</v>
      </c>
      <c r="H93" s="100" t="s">
        <v>381</v>
      </c>
      <c r="I93" s="100"/>
      <c r="J93" s="100" t="s">
        <v>379</v>
      </c>
      <c r="K93" s="96" t="s">
        <v>63</v>
      </c>
      <c r="L93" s="106">
        <f t="shared" si="0"/>
        <v>8000</v>
      </c>
      <c r="M93" s="98">
        <f t="shared" si="1"/>
        <v>1</v>
      </c>
      <c r="N93" s="98" t="s">
        <v>558</v>
      </c>
      <c r="O93" s="97"/>
      <c r="P93" s="108" t="s">
        <v>472</v>
      </c>
      <c r="Q93" s="98"/>
      <c r="R93" s="98">
        <v>1</v>
      </c>
      <c r="S93" s="98"/>
      <c r="T93" s="104">
        <v>8000</v>
      </c>
      <c r="U93" s="131" t="s">
        <v>1040</v>
      </c>
      <c r="V93" s="217"/>
      <c r="W93" s="217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5"/>
      <c r="AM93" s="125"/>
      <c r="AN93" s="125"/>
      <c r="AO93" s="125"/>
      <c r="AP93" s="125"/>
      <c r="AQ93" s="125"/>
      <c r="AR93" s="125"/>
      <c r="AS93" s="125"/>
      <c r="AT93" s="125"/>
      <c r="AU93" s="125"/>
      <c r="AV93" s="125"/>
      <c r="AW93" s="125"/>
      <c r="AX93" s="125"/>
      <c r="AY93" s="125"/>
      <c r="AZ93" s="125"/>
      <c r="BA93" s="125"/>
      <c r="BB93" s="125"/>
      <c r="BC93" s="125"/>
      <c r="BD93" s="125"/>
      <c r="BE93" s="125"/>
      <c r="BF93" s="125"/>
      <c r="BG93" s="125"/>
      <c r="BH93" s="125"/>
    </row>
    <row r="94" spans="1:60" s="124" customFormat="1" ht="116.25">
      <c r="A94" s="232" t="s">
        <v>447</v>
      </c>
      <c r="B94" s="231">
        <v>2570</v>
      </c>
      <c r="C94" s="100" t="s">
        <v>555</v>
      </c>
      <c r="D94" s="100"/>
      <c r="E94" s="100" t="s">
        <v>667</v>
      </c>
      <c r="F94" s="100" t="s">
        <v>666</v>
      </c>
      <c r="G94" s="100" t="s">
        <v>1046</v>
      </c>
      <c r="H94" s="100" t="s">
        <v>164</v>
      </c>
      <c r="I94" s="100"/>
      <c r="J94" s="100" t="s">
        <v>160</v>
      </c>
      <c r="K94" s="96" t="s">
        <v>149</v>
      </c>
      <c r="L94" s="99">
        <f t="shared" si="0"/>
        <v>8600</v>
      </c>
      <c r="M94" s="98">
        <f t="shared" si="1"/>
        <v>1</v>
      </c>
      <c r="N94" s="98" t="s">
        <v>558</v>
      </c>
      <c r="O94" s="97" t="s">
        <v>472</v>
      </c>
      <c r="P94" s="96"/>
      <c r="Q94" s="98"/>
      <c r="R94" s="98">
        <v>1</v>
      </c>
      <c r="S94" s="98"/>
      <c r="T94" s="95">
        <v>8600</v>
      </c>
      <c r="U94" s="131" t="s">
        <v>1040</v>
      </c>
      <c r="V94" s="217"/>
      <c r="W94" s="217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5"/>
      <c r="AO94" s="125"/>
      <c r="AP94" s="125"/>
      <c r="AQ94" s="125"/>
      <c r="AR94" s="125"/>
      <c r="AS94" s="125"/>
      <c r="AT94" s="125"/>
      <c r="AU94" s="125"/>
      <c r="AV94" s="125"/>
      <c r="AW94" s="125"/>
      <c r="AX94" s="125"/>
      <c r="AY94" s="125"/>
      <c r="AZ94" s="125"/>
      <c r="BA94" s="125"/>
      <c r="BB94" s="125"/>
      <c r="BC94" s="125"/>
      <c r="BD94" s="125"/>
      <c r="BE94" s="125"/>
      <c r="BF94" s="125"/>
      <c r="BG94" s="125"/>
      <c r="BH94" s="125"/>
    </row>
    <row r="95" spans="1:60" s="124" customFormat="1" ht="116.25">
      <c r="A95" s="232" t="s">
        <v>447</v>
      </c>
      <c r="B95" s="231">
        <v>2570</v>
      </c>
      <c r="C95" s="100" t="s">
        <v>555</v>
      </c>
      <c r="D95" s="100"/>
      <c r="E95" s="100" t="s">
        <v>667</v>
      </c>
      <c r="F95" s="100" t="s">
        <v>666</v>
      </c>
      <c r="G95" s="100" t="s">
        <v>1046</v>
      </c>
      <c r="H95" s="100" t="s">
        <v>56</v>
      </c>
      <c r="I95" s="100"/>
      <c r="J95" s="100" t="s">
        <v>54</v>
      </c>
      <c r="K95" s="96" t="s">
        <v>40</v>
      </c>
      <c r="L95" s="99">
        <f t="shared" si="0"/>
        <v>8600</v>
      </c>
      <c r="M95" s="98">
        <f t="shared" si="1"/>
        <v>1</v>
      </c>
      <c r="N95" s="98" t="s">
        <v>558</v>
      </c>
      <c r="O95" s="97" t="s">
        <v>472</v>
      </c>
      <c r="P95" s="98"/>
      <c r="Q95" s="98"/>
      <c r="R95" s="98">
        <v>1</v>
      </c>
      <c r="S95" s="98"/>
      <c r="T95" s="95">
        <v>8600</v>
      </c>
      <c r="U95" s="131" t="s">
        <v>1040</v>
      </c>
      <c r="V95" s="217"/>
      <c r="W95" s="217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  <c r="AM95" s="125"/>
      <c r="AN95" s="125"/>
      <c r="AO95" s="125"/>
      <c r="AP95" s="125"/>
      <c r="AQ95" s="125"/>
      <c r="AR95" s="125"/>
      <c r="AS95" s="125"/>
      <c r="AT95" s="125"/>
      <c r="AU95" s="125"/>
      <c r="AV95" s="125"/>
      <c r="AW95" s="125"/>
      <c r="AX95" s="125"/>
      <c r="AY95" s="125"/>
      <c r="AZ95" s="125"/>
      <c r="BA95" s="125"/>
      <c r="BB95" s="125"/>
      <c r="BC95" s="125"/>
      <c r="BD95" s="125"/>
      <c r="BE95" s="125"/>
      <c r="BF95" s="125"/>
      <c r="BG95" s="125"/>
      <c r="BH95" s="125"/>
    </row>
    <row r="96" spans="1:60" s="124" customFormat="1" ht="116.25">
      <c r="A96" s="232" t="s">
        <v>447</v>
      </c>
      <c r="B96" s="231">
        <v>2570</v>
      </c>
      <c r="C96" s="100" t="s">
        <v>555</v>
      </c>
      <c r="D96" s="100"/>
      <c r="E96" s="100" t="s">
        <v>667</v>
      </c>
      <c r="F96" s="100" t="s">
        <v>666</v>
      </c>
      <c r="G96" s="103" t="s">
        <v>1043</v>
      </c>
      <c r="H96" s="100" t="s">
        <v>24</v>
      </c>
      <c r="I96" s="100"/>
      <c r="J96" s="100" t="s">
        <v>22</v>
      </c>
      <c r="K96" s="96" t="s">
        <v>13</v>
      </c>
      <c r="L96" s="106">
        <f t="shared" si="0"/>
        <v>13700</v>
      </c>
      <c r="M96" s="98">
        <f t="shared" si="1"/>
        <v>1</v>
      </c>
      <c r="N96" s="98" t="s">
        <v>558</v>
      </c>
      <c r="O96" s="97" t="s">
        <v>472</v>
      </c>
      <c r="P96" s="98"/>
      <c r="Q96" s="98"/>
      <c r="R96" s="98">
        <v>1</v>
      </c>
      <c r="S96" s="98"/>
      <c r="T96" s="104">
        <v>13700</v>
      </c>
      <c r="U96" s="131" t="s">
        <v>1045</v>
      </c>
      <c r="V96" s="217"/>
      <c r="W96" s="217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  <c r="AM96" s="125"/>
      <c r="AN96" s="125"/>
      <c r="AO96" s="125"/>
      <c r="AP96" s="125"/>
      <c r="AQ96" s="125"/>
      <c r="AR96" s="125"/>
      <c r="AS96" s="125"/>
      <c r="AT96" s="125"/>
      <c r="AU96" s="125"/>
      <c r="AV96" s="125"/>
      <c r="AW96" s="125"/>
      <c r="AX96" s="125"/>
      <c r="AY96" s="125"/>
      <c r="AZ96" s="125"/>
      <c r="BA96" s="125"/>
      <c r="BB96" s="125"/>
      <c r="BC96" s="125"/>
      <c r="BD96" s="125"/>
      <c r="BE96" s="125"/>
      <c r="BF96" s="125"/>
      <c r="BG96" s="125"/>
      <c r="BH96" s="125"/>
    </row>
    <row r="97" spans="1:60" s="124" customFormat="1" ht="116.25">
      <c r="A97" s="232" t="s">
        <v>447</v>
      </c>
      <c r="B97" s="231">
        <v>2570</v>
      </c>
      <c r="C97" s="100" t="s">
        <v>555</v>
      </c>
      <c r="D97" s="100"/>
      <c r="E97" s="100" t="s">
        <v>667</v>
      </c>
      <c r="F97" s="100" t="s">
        <v>666</v>
      </c>
      <c r="G97" s="100" t="s">
        <v>1043</v>
      </c>
      <c r="H97" s="100" t="s">
        <v>39</v>
      </c>
      <c r="I97" s="100"/>
      <c r="J97" s="100" t="s">
        <v>34</v>
      </c>
      <c r="K97" s="96" t="s">
        <v>13</v>
      </c>
      <c r="L97" s="99">
        <f t="shared" si="0"/>
        <v>13700</v>
      </c>
      <c r="M97" s="98">
        <f t="shared" si="1"/>
        <v>1</v>
      </c>
      <c r="N97" s="98" t="s">
        <v>558</v>
      </c>
      <c r="O97" s="97" t="s">
        <v>472</v>
      </c>
      <c r="P97" s="96"/>
      <c r="Q97" s="96"/>
      <c r="R97" s="98">
        <v>1</v>
      </c>
      <c r="S97" s="96"/>
      <c r="T97" s="95">
        <v>13700</v>
      </c>
      <c r="U97" s="94" t="s">
        <v>1040</v>
      </c>
      <c r="V97" s="217"/>
      <c r="W97" s="217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  <c r="AM97" s="125"/>
      <c r="AN97" s="125"/>
      <c r="AO97" s="125"/>
      <c r="AP97" s="125"/>
      <c r="AQ97" s="125"/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125"/>
      <c r="BE97" s="125"/>
      <c r="BF97" s="125"/>
      <c r="BG97" s="125"/>
      <c r="BH97" s="125"/>
    </row>
    <row r="98" spans="1:60" s="124" customFormat="1" ht="116.25">
      <c r="A98" s="232" t="s">
        <v>447</v>
      </c>
      <c r="B98" s="231">
        <v>2570</v>
      </c>
      <c r="C98" s="100" t="s">
        <v>555</v>
      </c>
      <c r="D98" s="100"/>
      <c r="E98" s="100" t="s">
        <v>667</v>
      </c>
      <c r="F98" s="100" t="s">
        <v>666</v>
      </c>
      <c r="G98" s="100" t="s">
        <v>1043</v>
      </c>
      <c r="H98" s="100" t="s">
        <v>232</v>
      </c>
      <c r="I98" s="100"/>
      <c r="J98" s="100" t="s">
        <v>230</v>
      </c>
      <c r="K98" s="96" t="s">
        <v>13</v>
      </c>
      <c r="L98" s="99">
        <f t="shared" si="0"/>
        <v>13700</v>
      </c>
      <c r="M98" s="98">
        <f t="shared" si="1"/>
        <v>1</v>
      </c>
      <c r="N98" s="98" t="s">
        <v>558</v>
      </c>
      <c r="O98" s="97" t="s">
        <v>472</v>
      </c>
      <c r="P98" s="96"/>
      <c r="Q98" s="96"/>
      <c r="R98" s="98">
        <v>1</v>
      </c>
      <c r="S98" s="96"/>
      <c r="T98" s="95">
        <v>13700</v>
      </c>
      <c r="U98" s="94" t="s">
        <v>1040</v>
      </c>
      <c r="V98" s="217"/>
      <c r="W98" s="217"/>
      <c r="X98" s="125"/>
      <c r="Y98" s="125"/>
      <c r="Z98" s="125"/>
      <c r="AA98" s="125"/>
      <c r="AB98" s="125"/>
      <c r="AC98" s="125"/>
      <c r="AD98" s="125"/>
      <c r="AE98" s="125"/>
      <c r="AF98" s="125"/>
      <c r="AG98" s="125"/>
      <c r="AH98" s="125"/>
      <c r="AI98" s="125"/>
      <c r="AJ98" s="125"/>
      <c r="AK98" s="125"/>
      <c r="AL98" s="125"/>
      <c r="AM98" s="125"/>
      <c r="AN98" s="125"/>
      <c r="AO98" s="125"/>
      <c r="AP98" s="125"/>
      <c r="AQ98" s="125"/>
      <c r="AR98" s="125"/>
      <c r="AS98" s="125"/>
      <c r="AT98" s="125"/>
      <c r="AU98" s="125"/>
      <c r="AV98" s="125"/>
      <c r="AW98" s="125"/>
      <c r="AX98" s="125"/>
      <c r="AY98" s="125"/>
      <c r="AZ98" s="125"/>
      <c r="BA98" s="125"/>
      <c r="BB98" s="125"/>
      <c r="BC98" s="125"/>
      <c r="BD98" s="125"/>
      <c r="BE98" s="125"/>
      <c r="BF98" s="125"/>
      <c r="BG98" s="125"/>
      <c r="BH98" s="125"/>
    </row>
    <row r="99" spans="1:60" s="124" customFormat="1" ht="116.25">
      <c r="A99" s="232" t="s">
        <v>447</v>
      </c>
      <c r="B99" s="231">
        <v>2570</v>
      </c>
      <c r="C99" s="100" t="s">
        <v>555</v>
      </c>
      <c r="D99" s="100"/>
      <c r="E99" s="100" t="s">
        <v>667</v>
      </c>
      <c r="F99" s="100" t="s">
        <v>666</v>
      </c>
      <c r="G99" s="100" t="s">
        <v>1043</v>
      </c>
      <c r="H99" s="100" t="s">
        <v>50</v>
      </c>
      <c r="I99" s="100"/>
      <c r="J99" s="100" t="s">
        <v>46</v>
      </c>
      <c r="K99" s="96" t="s">
        <v>40</v>
      </c>
      <c r="L99" s="99">
        <f t="shared" si="0"/>
        <v>13700</v>
      </c>
      <c r="M99" s="98">
        <f t="shared" si="1"/>
        <v>1</v>
      </c>
      <c r="N99" s="98" t="s">
        <v>558</v>
      </c>
      <c r="O99" s="97" t="s">
        <v>472</v>
      </c>
      <c r="P99" s="96"/>
      <c r="Q99" s="96"/>
      <c r="R99" s="98">
        <v>1</v>
      </c>
      <c r="S99" s="96"/>
      <c r="T99" s="95">
        <v>13700</v>
      </c>
      <c r="U99" s="94" t="s">
        <v>1040</v>
      </c>
      <c r="V99" s="217"/>
      <c r="W99" s="217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  <c r="AH99" s="125"/>
      <c r="AI99" s="125"/>
      <c r="AJ99" s="125"/>
      <c r="AK99" s="125"/>
      <c r="AL99" s="125"/>
      <c r="AM99" s="125"/>
      <c r="AN99" s="125"/>
      <c r="AO99" s="125"/>
      <c r="AP99" s="125"/>
      <c r="AQ99" s="125"/>
      <c r="AR99" s="125"/>
      <c r="AS99" s="125"/>
      <c r="AT99" s="125"/>
      <c r="AU99" s="125"/>
      <c r="AV99" s="125"/>
      <c r="AW99" s="125"/>
      <c r="AX99" s="125"/>
      <c r="AY99" s="125"/>
      <c r="AZ99" s="125"/>
      <c r="BA99" s="125"/>
      <c r="BB99" s="125"/>
      <c r="BC99" s="125"/>
      <c r="BD99" s="125"/>
      <c r="BE99" s="125"/>
      <c r="BF99" s="125"/>
      <c r="BG99" s="125"/>
      <c r="BH99" s="125"/>
    </row>
    <row r="100" spans="1:60" s="124" customFormat="1" ht="116.25">
      <c r="A100" s="232" t="s">
        <v>447</v>
      </c>
      <c r="B100" s="231">
        <v>2570</v>
      </c>
      <c r="C100" s="100" t="s">
        <v>555</v>
      </c>
      <c r="D100" s="100"/>
      <c r="E100" s="100" t="s">
        <v>667</v>
      </c>
      <c r="F100" s="100" t="s">
        <v>666</v>
      </c>
      <c r="G100" s="100" t="s">
        <v>1043</v>
      </c>
      <c r="H100" s="100" t="s">
        <v>451</v>
      </c>
      <c r="I100" s="100"/>
      <c r="J100" s="100" t="s">
        <v>444</v>
      </c>
      <c r="K100" s="96" t="s">
        <v>13</v>
      </c>
      <c r="L100" s="106">
        <f t="shared" si="0"/>
        <v>13800</v>
      </c>
      <c r="M100" s="98">
        <f t="shared" si="1"/>
        <v>1</v>
      </c>
      <c r="N100" s="98" t="s">
        <v>558</v>
      </c>
      <c r="O100" s="97"/>
      <c r="P100" s="108" t="s">
        <v>472</v>
      </c>
      <c r="Q100" s="96"/>
      <c r="R100" s="98">
        <v>1</v>
      </c>
      <c r="S100" s="96"/>
      <c r="T100" s="104">
        <v>13800</v>
      </c>
      <c r="U100" s="94" t="s">
        <v>1044</v>
      </c>
      <c r="V100" s="217"/>
      <c r="W100" s="217"/>
      <c r="X100" s="125"/>
      <c r="Y100" s="125"/>
      <c r="Z100" s="125"/>
      <c r="AA100" s="125"/>
      <c r="AB100" s="125"/>
      <c r="AC100" s="125"/>
      <c r="AD100" s="125"/>
      <c r="AE100" s="125"/>
      <c r="AF100" s="125"/>
      <c r="AG100" s="125"/>
      <c r="AH100" s="125"/>
      <c r="AI100" s="125"/>
      <c r="AJ100" s="125"/>
      <c r="AK100" s="125"/>
      <c r="AL100" s="125"/>
      <c r="AM100" s="125"/>
      <c r="AN100" s="125"/>
      <c r="AO100" s="125"/>
      <c r="AP100" s="125"/>
      <c r="AQ100" s="125"/>
      <c r="AR100" s="125"/>
      <c r="AS100" s="125"/>
      <c r="AT100" s="125"/>
      <c r="AU100" s="125"/>
      <c r="AV100" s="125"/>
      <c r="AW100" s="125"/>
      <c r="AX100" s="125"/>
      <c r="AY100" s="125"/>
      <c r="AZ100" s="125"/>
      <c r="BA100" s="125"/>
      <c r="BB100" s="125"/>
      <c r="BC100" s="125"/>
      <c r="BD100" s="125"/>
      <c r="BE100" s="125"/>
      <c r="BF100" s="125"/>
      <c r="BG100" s="125"/>
      <c r="BH100" s="125"/>
    </row>
    <row r="101" spans="1:60" s="124" customFormat="1" ht="116.25">
      <c r="A101" s="232" t="s">
        <v>447</v>
      </c>
      <c r="B101" s="231">
        <v>2570</v>
      </c>
      <c r="C101" s="100" t="s">
        <v>555</v>
      </c>
      <c r="D101" s="100"/>
      <c r="E101" s="100" t="s">
        <v>667</v>
      </c>
      <c r="F101" s="100" t="s">
        <v>666</v>
      </c>
      <c r="G101" s="100" t="s">
        <v>1043</v>
      </c>
      <c r="H101" s="100" t="s">
        <v>356</v>
      </c>
      <c r="I101" s="100"/>
      <c r="J101" s="100" t="s">
        <v>357</v>
      </c>
      <c r="K101" s="96" t="s">
        <v>63</v>
      </c>
      <c r="L101" s="99">
        <f t="shared" si="0"/>
        <v>13700</v>
      </c>
      <c r="M101" s="98">
        <f t="shared" si="1"/>
        <v>1</v>
      </c>
      <c r="N101" s="98" t="s">
        <v>558</v>
      </c>
      <c r="O101" s="97" t="s">
        <v>472</v>
      </c>
      <c r="P101" s="96"/>
      <c r="Q101" s="96"/>
      <c r="R101" s="98">
        <v>1</v>
      </c>
      <c r="S101" s="96"/>
      <c r="T101" s="95">
        <v>13700</v>
      </c>
      <c r="U101" s="94" t="s">
        <v>1042</v>
      </c>
      <c r="V101" s="217"/>
      <c r="W101" s="217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/>
      <c r="AL101" s="125"/>
      <c r="AM101" s="125"/>
      <c r="AN101" s="125"/>
      <c r="AO101" s="125"/>
      <c r="AP101" s="125"/>
      <c r="AQ101" s="125"/>
      <c r="AR101" s="125"/>
      <c r="AS101" s="125"/>
      <c r="AT101" s="125"/>
      <c r="AU101" s="125"/>
      <c r="AV101" s="125"/>
      <c r="AW101" s="125"/>
      <c r="AX101" s="125"/>
      <c r="AY101" s="125"/>
      <c r="AZ101" s="125"/>
      <c r="BA101" s="125"/>
      <c r="BB101" s="125"/>
      <c r="BC101" s="125"/>
      <c r="BD101" s="125"/>
      <c r="BE101" s="125"/>
      <c r="BF101" s="125"/>
      <c r="BG101" s="125"/>
      <c r="BH101" s="125"/>
    </row>
    <row r="102" spans="1:60" s="124" customFormat="1" ht="116.25">
      <c r="A102" s="232" t="s">
        <v>447</v>
      </c>
      <c r="B102" s="231">
        <v>2570</v>
      </c>
      <c r="C102" s="100" t="s">
        <v>555</v>
      </c>
      <c r="D102" s="100"/>
      <c r="E102" s="100" t="s">
        <v>667</v>
      </c>
      <c r="F102" s="100" t="s">
        <v>666</v>
      </c>
      <c r="G102" s="100" t="s">
        <v>1041</v>
      </c>
      <c r="H102" s="100" t="s">
        <v>56</v>
      </c>
      <c r="I102" s="100"/>
      <c r="J102" s="100" t="s">
        <v>54</v>
      </c>
      <c r="K102" s="96" t="s">
        <v>40</v>
      </c>
      <c r="L102" s="99">
        <f t="shared" si="0"/>
        <v>21000</v>
      </c>
      <c r="M102" s="98">
        <f t="shared" si="1"/>
        <v>1</v>
      </c>
      <c r="N102" s="98" t="s">
        <v>558</v>
      </c>
      <c r="O102" s="97" t="s">
        <v>472</v>
      </c>
      <c r="P102" s="96"/>
      <c r="Q102" s="96"/>
      <c r="R102" s="98">
        <v>1</v>
      </c>
      <c r="S102" s="96"/>
      <c r="T102" s="95">
        <v>21000</v>
      </c>
      <c r="U102" s="94" t="s">
        <v>1040</v>
      </c>
      <c r="V102" s="217"/>
      <c r="W102" s="217"/>
      <c r="X102" s="125"/>
      <c r="Y102" s="125"/>
      <c r="Z102" s="125"/>
      <c r="AA102" s="125"/>
      <c r="AB102" s="125"/>
      <c r="AC102" s="125"/>
      <c r="AD102" s="125"/>
      <c r="AE102" s="125"/>
      <c r="AF102" s="125"/>
      <c r="AG102" s="125"/>
      <c r="AH102" s="125"/>
      <c r="AI102" s="125"/>
      <c r="AJ102" s="125"/>
      <c r="AK102" s="125"/>
      <c r="AL102" s="125"/>
      <c r="AM102" s="125"/>
      <c r="AN102" s="125"/>
      <c r="AO102" s="125"/>
      <c r="AP102" s="125"/>
      <c r="AQ102" s="125"/>
      <c r="AR102" s="125"/>
      <c r="AS102" s="125"/>
      <c r="AT102" s="125"/>
      <c r="AU102" s="125"/>
      <c r="AV102" s="125"/>
      <c r="AW102" s="125"/>
      <c r="AX102" s="125"/>
      <c r="AY102" s="125"/>
      <c r="AZ102" s="125"/>
      <c r="BA102" s="125"/>
      <c r="BB102" s="125"/>
      <c r="BC102" s="125"/>
      <c r="BD102" s="125"/>
      <c r="BE102" s="125"/>
      <c r="BF102" s="125"/>
      <c r="BG102" s="125"/>
      <c r="BH102" s="125"/>
    </row>
    <row r="103" spans="1:60" s="124" customFormat="1" ht="116.25">
      <c r="A103" s="232" t="s">
        <v>447</v>
      </c>
      <c r="B103" s="231">
        <v>2570</v>
      </c>
      <c r="C103" s="100" t="s">
        <v>555</v>
      </c>
      <c r="D103" s="100"/>
      <c r="E103" s="100" t="s">
        <v>667</v>
      </c>
      <c r="F103" s="100" t="s">
        <v>666</v>
      </c>
      <c r="G103" s="100" t="s">
        <v>1038</v>
      </c>
      <c r="H103" s="100" t="s">
        <v>463</v>
      </c>
      <c r="I103" s="100"/>
      <c r="J103" s="96" t="s">
        <v>438</v>
      </c>
      <c r="K103" s="96" t="s">
        <v>63</v>
      </c>
      <c r="L103" s="99">
        <f t="shared" si="0"/>
        <v>67000</v>
      </c>
      <c r="M103" s="98">
        <f t="shared" si="1"/>
        <v>1</v>
      </c>
      <c r="N103" s="98" t="s">
        <v>558</v>
      </c>
      <c r="O103" s="97" t="s">
        <v>472</v>
      </c>
      <c r="P103" s="96"/>
      <c r="Q103" s="96"/>
      <c r="R103" s="98">
        <v>1</v>
      </c>
      <c r="S103" s="96"/>
      <c r="T103" s="95">
        <v>67000</v>
      </c>
      <c r="U103" s="94" t="s">
        <v>1039</v>
      </c>
      <c r="V103" s="217"/>
      <c r="W103" s="217"/>
      <c r="X103" s="125"/>
      <c r="Y103" s="125"/>
      <c r="Z103" s="125"/>
      <c r="AA103" s="125"/>
      <c r="AB103" s="125"/>
      <c r="AC103" s="125"/>
      <c r="AD103" s="125"/>
      <c r="AE103" s="125"/>
      <c r="AF103" s="125"/>
      <c r="AG103" s="125"/>
      <c r="AH103" s="125"/>
      <c r="AI103" s="125"/>
      <c r="AJ103" s="125"/>
      <c r="AK103" s="125"/>
      <c r="AL103" s="125"/>
      <c r="AM103" s="125"/>
      <c r="AN103" s="125"/>
      <c r="AO103" s="125"/>
      <c r="AP103" s="125"/>
      <c r="AQ103" s="125"/>
      <c r="AR103" s="125"/>
      <c r="AS103" s="125"/>
      <c r="AT103" s="125"/>
      <c r="AU103" s="125"/>
      <c r="AV103" s="125"/>
      <c r="AW103" s="125"/>
      <c r="AX103" s="125"/>
      <c r="AY103" s="125"/>
      <c r="AZ103" s="125"/>
      <c r="BA103" s="125"/>
      <c r="BB103" s="125"/>
      <c r="BC103" s="125"/>
      <c r="BD103" s="125"/>
      <c r="BE103" s="125"/>
      <c r="BF103" s="125"/>
      <c r="BG103" s="125"/>
      <c r="BH103" s="125"/>
    </row>
    <row r="104" spans="1:60" s="124" customFormat="1" ht="116.25">
      <c r="A104" s="232" t="s">
        <v>447</v>
      </c>
      <c r="B104" s="231">
        <v>2570</v>
      </c>
      <c r="C104" s="100" t="s">
        <v>555</v>
      </c>
      <c r="D104" s="100"/>
      <c r="E104" s="100" t="s">
        <v>667</v>
      </c>
      <c r="F104" s="100" t="s">
        <v>666</v>
      </c>
      <c r="G104" s="100" t="s">
        <v>1038</v>
      </c>
      <c r="H104" s="100" t="s">
        <v>109</v>
      </c>
      <c r="I104" s="100"/>
      <c r="J104" s="100" t="s">
        <v>107</v>
      </c>
      <c r="K104" s="96" t="s">
        <v>63</v>
      </c>
      <c r="L104" s="99">
        <f t="shared" si="0"/>
        <v>67000</v>
      </c>
      <c r="M104" s="98">
        <f t="shared" si="1"/>
        <v>1</v>
      </c>
      <c r="N104" s="98" t="s">
        <v>558</v>
      </c>
      <c r="O104" s="97" t="s">
        <v>472</v>
      </c>
      <c r="P104" s="96"/>
      <c r="Q104" s="96">
        <v>1</v>
      </c>
      <c r="R104" s="96"/>
      <c r="S104" s="134"/>
      <c r="T104" s="95">
        <v>67000</v>
      </c>
      <c r="U104" s="94" t="s">
        <v>1039</v>
      </c>
      <c r="V104" s="217"/>
      <c r="W104" s="217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25"/>
      <c r="AK104" s="125"/>
      <c r="AL104" s="125"/>
      <c r="AM104" s="125"/>
      <c r="AN104" s="125"/>
      <c r="AO104" s="125"/>
      <c r="AP104" s="125"/>
      <c r="AQ104" s="125"/>
      <c r="AR104" s="125"/>
      <c r="AS104" s="125"/>
      <c r="AT104" s="125"/>
      <c r="AU104" s="125"/>
      <c r="AV104" s="125"/>
      <c r="AW104" s="125"/>
      <c r="AX104" s="125"/>
      <c r="AY104" s="125"/>
      <c r="AZ104" s="125"/>
      <c r="BA104" s="125"/>
      <c r="BB104" s="125"/>
      <c r="BC104" s="125"/>
      <c r="BD104" s="125"/>
      <c r="BE104" s="125"/>
      <c r="BF104" s="125"/>
      <c r="BG104" s="125"/>
      <c r="BH104" s="125"/>
    </row>
    <row r="105" spans="1:60" s="124" customFormat="1" ht="116.25">
      <c r="A105" s="232" t="s">
        <v>447</v>
      </c>
      <c r="B105" s="231">
        <v>2570</v>
      </c>
      <c r="C105" s="100" t="s">
        <v>555</v>
      </c>
      <c r="D105" s="100"/>
      <c r="E105" s="100" t="s">
        <v>667</v>
      </c>
      <c r="F105" s="100" t="s">
        <v>666</v>
      </c>
      <c r="G105" s="100" t="s">
        <v>1038</v>
      </c>
      <c r="H105" s="100" t="s">
        <v>365</v>
      </c>
      <c r="I105" s="100"/>
      <c r="J105" s="100" t="s">
        <v>110</v>
      </c>
      <c r="K105" s="96" t="s">
        <v>63</v>
      </c>
      <c r="L105" s="99">
        <f t="shared" si="0"/>
        <v>67000</v>
      </c>
      <c r="M105" s="98">
        <f t="shared" si="1"/>
        <v>1</v>
      </c>
      <c r="N105" s="98" t="s">
        <v>558</v>
      </c>
      <c r="O105" s="97" t="s">
        <v>472</v>
      </c>
      <c r="P105" s="96"/>
      <c r="Q105" s="96">
        <v>1</v>
      </c>
      <c r="R105" s="96"/>
      <c r="S105" s="134"/>
      <c r="T105" s="95">
        <v>67000</v>
      </c>
      <c r="U105" s="94" t="s">
        <v>1029</v>
      </c>
      <c r="V105" s="217"/>
      <c r="W105" s="217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</row>
    <row r="106" spans="1:60" s="124" customFormat="1" ht="116.25">
      <c r="A106" s="232" t="s">
        <v>447</v>
      </c>
      <c r="B106" s="231">
        <v>2570</v>
      </c>
      <c r="C106" s="100" t="s">
        <v>555</v>
      </c>
      <c r="D106" s="100"/>
      <c r="E106" s="100" t="s">
        <v>667</v>
      </c>
      <c r="F106" s="100" t="s">
        <v>666</v>
      </c>
      <c r="G106" s="100" t="s">
        <v>1038</v>
      </c>
      <c r="H106" s="100" t="s">
        <v>39</v>
      </c>
      <c r="I106" s="100"/>
      <c r="J106" s="100" t="s">
        <v>34</v>
      </c>
      <c r="K106" s="96" t="s">
        <v>13</v>
      </c>
      <c r="L106" s="99">
        <f t="shared" si="0"/>
        <v>67000</v>
      </c>
      <c r="M106" s="98">
        <f t="shared" si="1"/>
        <v>1</v>
      </c>
      <c r="N106" s="98" t="s">
        <v>558</v>
      </c>
      <c r="O106" s="97" t="s">
        <v>472</v>
      </c>
      <c r="P106" s="96"/>
      <c r="Q106" s="96"/>
      <c r="R106" s="96">
        <v>1</v>
      </c>
      <c r="S106" s="96"/>
      <c r="T106" s="95">
        <v>67000</v>
      </c>
      <c r="U106" s="94" t="s">
        <v>1029</v>
      </c>
      <c r="V106" s="217"/>
      <c r="W106" s="217"/>
      <c r="X106" s="125"/>
      <c r="Y106" s="125"/>
      <c r="Z106" s="125"/>
      <c r="AA106" s="125"/>
      <c r="AB106" s="125"/>
      <c r="AC106" s="125"/>
      <c r="AD106" s="125"/>
      <c r="AE106" s="125"/>
      <c r="AF106" s="125"/>
      <c r="AG106" s="125"/>
      <c r="AH106" s="125"/>
      <c r="AI106" s="125"/>
      <c r="AJ106" s="125"/>
      <c r="AK106" s="125"/>
      <c r="AL106" s="125"/>
      <c r="AM106" s="125"/>
      <c r="AN106" s="125"/>
      <c r="AO106" s="125"/>
      <c r="AP106" s="125"/>
      <c r="AQ106" s="125"/>
      <c r="AR106" s="125"/>
      <c r="AS106" s="125"/>
      <c r="AT106" s="125"/>
      <c r="AU106" s="125"/>
      <c r="AV106" s="125"/>
      <c r="AW106" s="125"/>
      <c r="AX106" s="125"/>
      <c r="AY106" s="125"/>
      <c r="AZ106" s="125"/>
      <c r="BA106" s="125"/>
      <c r="BB106" s="125"/>
      <c r="BC106" s="125"/>
      <c r="BD106" s="125"/>
      <c r="BE106" s="125"/>
      <c r="BF106" s="125"/>
      <c r="BG106" s="125"/>
      <c r="BH106" s="125"/>
    </row>
    <row r="107" spans="1:60" s="124" customFormat="1" ht="116.25">
      <c r="A107" s="232" t="s">
        <v>447</v>
      </c>
      <c r="B107" s="231">
        <v>2570</v>
      </c>
      <c r="C107" s="100" t="s">
        <v>555</v>
      </c>
      <c r="D107" s="100"/>
      <c r="E107" s="100" t="s">
        <v>667</v>
      </c>
      <c r="F107" s="100" t="s">
        <v>666</v>
      </c>
      <c r="G107" s="100" t="s">
        <v>1038</v>
      </c>
      <c r="H107" s="100" t="s">
        <v>204</v>
      </c>
      <c r="I107" s="100"/>
      <c r="J107" s="100" t="s">
        <v>202</v>
      </c>
      <c r="K107" s="96" t="s">
        <v>63</v>
      </c>
      <c r="L107" s="106">
        <f t="shared" si="0"/>
        <v>126000</v>
      </c>
      <c r="M107" s="98">
        <f t="shared" si="1"/>
        <v>2</v>
      </c>
      <c r="N107" s="98" t="s">
        <v>558</v>
      </c>
      <c r="O107" s="97"/>
      <c r="P107" s="108" t="s">
        <v>472</v>
      </c>
      <c r="Q107" s="96"/>
      <c r="R107" s="96">
        <v>2</v>
      </c>
      <c r="S107" s="96"/>
      <c r="T107" s="104">
        <v>63000</v>
      </c>
      <c r="U107" s="94" t="s">
        <v>1029</v>
      </c>
      <c r="V107" s="217"/>
      <c r="W107" s="217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25"/>
      <c r="AK107" s="125"/>
      <c r="AL107" s="125"/>
      <c r="AM107" s="125"/>
      <c r="AN107" s="125"/>
      <c r="AO107" s="125"/>
      <c r="AP107" s="125"/>
      <c r="AQ107" s="125"/>
      <c r="AR107" s="125"/>
      <c r="AS107" s="125"/>
      <c r="AT107" s="125"/>
      <c r="AU107" s="125"/>
      <c r="AV107" s="125"/>
      <c r="AW107" s="125"/>
      <c r="AX107" s="125"/>
      <c r="AY107" s="125"/>
      <c r="AZ107" s="125"/>
      <c r="BA107" s="125"/>
      <c r="BB107" s="125"/>
      <c r="BC107" s="125"/>
      <c r="BD107" s="125"/>
      <c r="BE107" s="125"/>
      <c r="BF107" s="125"/>
      <c r="BG107" s="125"/>
      <c r="BH107" s="125"/>
    </row>
    <row r="108" spans="1:60" s="124" customFormat="1" ht="116.25">
      <c r="A108" s="232" t="s">
        <v>447</v>
      </c>
      <c r="B108" s="231">
        <v>2570</v>
      </c>
      <c r="C108" s="100" t="s">
        <v>555</v>
      </c>
      <c r="D108" s="100"/>
      <c r="E108" s="100" t="s">
        <v>667</v>
      </c>
      <c r="F108" s="100" t="s">
        <v>666</v>
      </c>
      <c r="G108" s="100" t="s">
        <v>1038</v>
      </c>
      <c r="H108" s="100" t="s">
        <v>243</v>
      </c>
      <c r="I108" s="100"/>
      <c r="J108" s="100" t="s">
        <v>241</v>
      </c>
      <c r="K108" s="96" t="s">
        <v>40</v>
      </c>
      <c r="L108" s="99">
        <f t="shared" si="0"/>
        <v>67000</v>
      </c>
      <c r="M108" s="98">
        <f t="shared" si="1"/>
        <v>1</v>
      </c>
      <c r="N108" s="98" t="s">
        <v>558</v>
      </c>
      <c r="O108" s="97" t="s">
        <v>472</v>
      </c>
      <c r="P108" s="96"/>
      <c r="Q108" s="96"/>
      <c r="R108" s="96">
        <v>1</v>
      </c>
      <c r="S108" s="96"/>
      <c r="T108" s="95">
        <v>67000</v>
      </c>
      <c r="U108" s="94" t="s">
        <v>1029</v>
      </c>
      <c r="V108" s="217"/>
      <c r="W108" s="217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  <c r="AH108" s="125"/>
      <c r="AI108" s="125"/>
      <c r="AJ108" s="125"/>
      <c r="AK108" s="125"/>
      <c r="AL108" s="125"/>
      <c r="AM108" s="125"/>
      <c r="AN108" s="125"/>
      <c r="AO108" s="125"/>
      <c r="AP108" s="125"/>
      <c r="AQ108" s="125"/>
      <c r="AR108" s="125"/>
      <c r="AS108" s="125"/>
      <c r="AT108" s="125"/>
      <c r="AU108" s="125"/>
      <c r="AV108" s="125"/>
      <c r="AW108" s="125"/>
      <c r="AX108" s="125"/>
      <c r="AY108" s="125"/>
      <c r="AZ108" s="125"/>
      <c r="BA108" s="125"/>
      <c r="BB108" s="125"/>
      <c r="BC108" s="125"/>
      <c r="BD108" s="125"/>
      <c r="BE108" s="125"/>
      <c r="BF108" s="125"/>
      <c r="BG108" s="125"/>
      <c r="BH108" s="125"/>
    </row>
    <row r="109" spans="1:60" s="124" customFormat="1" ht="116.25">
      <c r="A109" s="232" t="s">
        <v>447</v>
      </c>
      <c r="B109" s="231">
        <v>2570</v>
      </c>
      <c r="C109" s="100" t="s">
        <v>555</v>
      </c>
      <c r="D109" s="100"/>
      <c r="E109" s="100" t="s">
        <v>667</v>
      </c>
      <c r="F109" s="100" t="s">
        <v>666</v>
      </c>
      <c r="G109" s="100" t="s">
        <v>1038</v>
      </c>
      <c r="H109" s="100" t="s">
        <v>50</v>
      </c>
      <c r="I109" s="100"/>
      <c r="J109" s="100" t="s">
        <v>46</v>
      </c>
      <c r="K109" s="96" t="s">
        <v>40</v>
      </c>
      <c r="L109" s="99">
        <f t="shared" si="0"/>
        <v>67000</v>
      </c>
      <c r="M109" s="98">
        <f t="shared" si="1"/>
        <v>1</v>
      </c>
      <c r="N109" s="98" t="s">
        <v>558</v>
      </c>
      <c r="O109" s="97" t="s">
        <v>472</v>
      </c>
      <c r="P109" s="96"/>
      <c r="Q109" s="96"/>
      <c r="R109" s="96">
        <v>1</v>
      </c>
      <c r="S109" s="96"/>
      <c r="T109" s="95">
        <v>67000</v>
      </c>
      <c r="U109" s="94" t="s">
        <v>1029</v>
      </c>
      <c r="V109" s="217"/>
      <c r="W109" s="217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125"/>
      <c r="AK109" s="125"/>
      <c r="AL109" s="125"/>
      <c r="AM109" s="125"/>
      <c r="AN109" s="125"/>
      <c r="AO109" s="125"/>
      <c r="AP109" s="125"/>
      <c r="AQ109" s="125"/>
      <c r="AR109" s="125"/>
      <c r="AS109" s="125"/>
      <c r="AT109" s="125"/>
      <c r="AU109" s="125"/>
      <c r="AV109" s="125"/>
      <c r="AW109" s="125"/>
      <c r="AX109" s="125"/>
      <c r="AY109" s="125"/>
      <c r="AZ109" s="125"/>
      <c r="BA109" s="125"/>
      <c r="BB109" s="125"/>
      <c r="BC109" s="125"/>
      <c r="BD109" s="125"/>
      <c r="BE109" s="125"/>
      <c r="BF109" s="125"/>
      <c r="BG109" s="125"/>
      <c r="BH109" s="125"/>
    </row>
    <row r="110" spans="1:60" s="124" customFormat="1" ht="116.25">
      <c r="A110" s="232" t="s">
        <v>447</v>
      </c>
      <c r="B110" s="231">
        <v>2570</v>
      </c>
      <c r="C110" s="100" t="s">
        <v>555</v>
      </c>
      <c r="D110" s="100"/>
      <c r="E110" s="100" t="s">
        <v>667</v>
      </c>
      <c r="F110" s="100" t="s">
        <v>666</v>
      </c>
      <c r="G110" s="100" t="s">
        <v>1038</v>
      </c>
      <c r="H110" s="100" t="s">
        <v>159</v>
      </c>
      <c r="I110" s="100"/>
      <c r="J110" s="100" t="s">
        <v>157</v>
      </c>
      <c r="K110" s="96" t="s">
        <v>149</v>
      </c>
      <c r="L110" s="99">
        <f t="shared" si="0"/>
        <v>67000</v>
      </c>
      <c r="M110" s="98">
        <f t="shared" si="1"/>
        <v>1</v>
      </c>
      <c r="N110" s="98" t="s">
        <v>558</v>
      </c>
      <c r="O110" s="97" t="s">
        <v>472</v>
      </c>
      <c r="P110" s="96"/>
      <c r="Q110" s="96"/>
      <c r="R110" s="96">
        <v>1</v>
      </c>
      <c r="S110" s="96"/>
      <c r="T110" s="95">
        <v>67000</v>
      </c>
      <c r="U110" s="94" t="s">
        <v>1029</v>
      </c>
      <c r="V110" s="217"/>
      <c r="W110" s="217"/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125"/>
      <c r="AH110" s="125"/>
      <c r="AI110" s="125"/>
      <c r="AJ110" s="125"/>
      <c r="AK110" s="125"/>
      <c r="AL110" s="125"/>
      <c r="AM110" s="125"/>
      <c r="AN110" s="125"/>
      <c r="AO110" s="125"/>
      <c r="AP110" s="125"/>
      <c r="AQ110" s="125"/>
      <c r="AR110" s="125"/>
      <c r="AS110" s="125"/>
      <c r="AT110" s="125"/>
      <c r="AU110" s="125"/>
      <c r="AV110" s="125"/>
      <c r="AW110" s="125"/>
      <c r="AX110" s="125"/>
      <c r="AY110" s="125"/>
      <c r="AZ110" s="125"/>
      <c r="BA110" s="125"/>
      <c r="BB110" s="125"/>
      <c r="BC110" s="125"/>
      <c r="BD110" s="125"/>
      <c r="BE110" s="125"/>
      <c r="BF110" s="125"/>
      <c r="BG110" s="125"/>
      <c r="BH110" s="125"/>
    </row>
    <row r="111" spans="1:60" s="124" customFormat="1" ht="116.25">
      <c r="A111" s="232" t="s">
        <v>447</v>
      </c>
      <c r="B111" s="231">
        <v>2570</v>
      </c>
      <c r="C111" s="100" t="s">
        <v>555</v>
      </c>
      <c r="D111" s="100"/>
      <c r="E111" s="100" t="s">
        <v>667</v>
      </c>
      <c r="F111" s="100" t="s">
        <v>666</v>
      </c>
      <c r="G111" s="100" t="s">
        <v>1038</v>
      </c>
      <c r="H111" s="100" t="s">
        <v>171</v>
      </c>
      <c r="I111" s="100"/>
      <c r="J111" s="100" t="s">
        <v>169</v>
      </c>
      <c r="K111" s="96" t="s">
        <v>149</v>
      </c>
      <c r="L111" s="99">
        <f t="shared" si="0"/>
        <v>67000</v>
      </c>
      <c r="M111" s="98">
        <f t="shared" si="1"/>
        <v>1</v>
      </c>
      <c r="N111" s="98" t="s">
        <v>558</v>
      </c>
      <c r="O111" s="97" t="s">
        <v>472</v>
      </c>
      <c r="P111" s="96"/>
      <c r="Q111" s="96"/>
      <c r="R111" s="96">
        <v>1</v>
      </c>
      <c r="S111" s="96"/>
      <c r="T111" s="95">
        <v>67000</v>
      </c>
      <c r="U111" s="94" t="s">
        <v>1029</v>
      </c>
      <c r="V111" s="217"/>
      <c r="W111" s="217"/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125"/>
      <c r="AJ111" s="125"/>
      <c r="AK111" s="125"/>
      <c r="AL111" s="125"/>
      <c r="AM111" s="125"/>
      <c r="AN111" s="125"/>
      <c r="AO111" s="125"/>
      <c r="AP111" s="125"/>
      <c r="AQ111" s="125"/>
      <c r="AR111" s="125"/>
      <c r="AS111" s="125"/>
      <c r="AT111" s="125"/>
      <c r="AU111" s="125"/>
      <c r="AV111" s="125"/>
      <c r="AW111" s="125"/>
      <c r="AX111" s="125"/>
      <c r="AY111" s="125"/>
      <c r="AZ111" s="125"/>
      <c r="BA111" s="125"/>
      <c r="BB111" s="125"/>
      <c r="BC111" s="125"/>
      <c r="BD111" s="125"/>
      <c r="BE111" s="125"/>
      <c r="BF111" s="125"/>
      <c r="BG111" s="125"/>
      <c r="BH111" s="125"/>
    </row>
    <row r="112" spans="1:60" s="124" customFormat="1" ht="116.25">
      <c r="A112" s="232" t="s">
        <v>447</v>
      </c>
      <c r="B112" s="231">
        <v>2570</v>
      </c>
      <c r="C112" s="100" t="s">
        <v>555</v>
      </c>
      <c r="D112" s="100"/>
      <c r="E112" s="100" t="s">
        <v>667</v>
      </c>
      <c r="F112" s="100" t="s">
        <v>666</v>
      </c>
      <c r="G112" s="100" t="s">
        <v>1038</v>
      </c>
      <c r="H112" s="100" t="s">
        <v>451</v>
      </c>
      <c r="I112" s="100"/>
      <c r="J112" s="100" t="s">
        <v>444</v>
      </c>
      <c r="K112" s="96" t="s">
        <v>13</v>
      </c>
      <c r="L112" s="99">
        <f t="shared" si="0"/>
        <v>67000</v>
      </c>
      <c r="M112" s="98">
        <f t="shared" si="1"/>
        <v>1</v>
      </c>
      <c r="N112" s="98" t="s">
        <v>558</v>
      </c>
      <c r="O112" s="97" t="s">
        <v>472</v>
      </c>
      <c r="P112" s="96"/>
      <c r="Q112" s="96"/>
      <c r="R112" s="96">
        <v>1</v>
      </c>
      <c r="S112" s="96"/>
      <c r="T112" s="95">
        <v>67000</v>
      </c>
      <c r="U112" s="94" t="s">
        <v>1037</v>
      </c>
      <c r="V112" s="217"/>
      <c r="W112" s="217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5"/>
      <c r="AI112" s="125"/>
      <c r="AJ112" s="125"/>
      <c r="AK112" s="125"/>
      <c r="AL112" s="125"/>
      <c r="AM112" s="125"/>
      <c r="AN112" s="125"/>
      <c r="AO112" s="125"/>
      <c r="AP112" s="125"/>
      <c r="AQ112" s="125"/>
      <c r="AR112" s="125"/>
      <c r="AS112" s="125"/>
      <c r="AT112" s="125"/>
      <c r="AU112" s="125"/>
      <c r="AV112" s="125"/>
      <c r="AW112" s="125"/>
      <c r="AX112" s="125"/>
      <c r="AY112" s="125"/>
      <c r="AZ112" s="125"/>
      <c r="BA112" s="125"/>
      <c r="BB112" s="125"/>
      <c r="BC112" s="125"/>
      <c r="BD112" s="125"/>
      <c r="BE112" s="125"/>
      <c r="BF112" s="125"/>
      <c r="BG112" s="125"/>
      <c r="BH112" s="125"/>
    </row>
    <row r="113" spans="1:60" s="124" customFormat="1" ht="116.25">
      <c r="A113" s="232" t="s">
        <v>447</v>
      </c>
      <c r="B113" s="231">
        <v>2570</v>
      </c>
      <c r="C113" s="100" t="s">
        <v>555</v>
      </c>
      <c r="D113" s="100"/>
      <c r="E113" s="100" t="s">
        <v>667</v>
      </c>
      <c r="F113" s="100" t="s">
        <v>666</v>
      </c>
      <c r="G113" s="100" t="s">
        <v>1038</v>
      </c>
      <c r="H113" s="100" t="s">
        <v>223</v>
      </c>
      <c r="I113" s="100"/>
      <c r="J113" s="100" t="s">
        <v>221</v>
      </c>
      <c r="K113" s="96" t="s">
        <v>149</v>
      </c>
      <c r="L113" s="99">
        <f t="shared" si="0"/>
        <v>67000</v>
      </c>
      <c r="M113" s="98">
        <f t="shared" si="1"/>
        <v>1</v>
      </c>
      <c r="N113" s="98" t="s">
        <v>558</v>
      </c>
      <c r="O113" s="97" t="s">
        <v>472</v>
      </c>
      <c r="P113" s="96"/>
      <c r="Q113" s="96"/>
      <c r="R113" s="96">
        <v>1</v>
      </c>
      <c r="S113" s="96"/>
      <c r="T113" s="95">
        <v>67000</v>
      </c>
      <c r="U113" s="94" t="s">
        <v>1037</v>
      </c>
      <c r="V113" s="217"/>
      <c r="W113" s="217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5"/>
      <c r="AO113" s="125"/>
      <c r="AP113" s="125"/>
      <c r="AQ113" s="125"/>
      <c r="AR113" s="125"/>
      <c r="AS113" s="125"/>
      <c r="AT113" s="125"/>
      <c r="AU113" s="125"/>
      <c r="AV113" s="125"/>
      <c r="AW113" s="125"/>
      <c r="AX113" s="125"/>
      <c r="AY113" s="125"/>
      <c r="AZ113" s="125"/>
      <c r="BA113" s="125"/>
      <c r="BB113" s="125"/>
      <c r="BC113" s="125"/>
      <c r="BD113" s="125"/>
      <c r="BE113" s="125"/>
      <c r="BF113" s="125"/>
      <c r="BG113" s="125"/>
      <c r="BH113" s="125"/>
    </row>
    <row r="114" spans="1:60" s="124" customFormat="1" ht="116.25">
      <c r="A114" s="232" t="s">
        <v>447</v>
      </c>
      <c r="B114" s="231">
        <v>2570</v>
      </c>
      <c r="C114" s="100" t="s">
        <v>555</v>
      </c>
      <c r="D114" s="100"/>
      <c r="E114" s="100" t="s">
        <v>667</v>
      </c>
      <c r="F114" s="100" t="s">
        <v>666</v>
      </c>
      <c r="G114" s="100" t="s">
        <v>1038</v>
      </c>
      <c r="H114" s="100" t="s">
        <v>456</v>
      </c>
      <c r="I114" s="100"/>
      <c r="J114" s="100" t="s">
        <v>442</v>
      </c>
      <c r="K114" s="96" t="s">
        <v>40</v>
      </c>
      <c r="L114" s="99">
        <f t="shared" ref="L114:L177" si="2">M114*T114</f>
        <v>67000</v>
      </c>
      <c r="M114" s="98">
        <f t="shared" ref="M114:M177" si="3">Q114+R114</f>
        <v>1</v>
      </c>
      <c r="N114" s="98" t="s">
        <v>558</v>
      </c>
      <c r="O114" s="97" t="s">
        <v>472</v>
      </c>
      <c r="P114" s="96"/>
      <c r="Q114" s="96"/>
      <c r="R114" s="96">
        <v>1</v>
      </c>
      <c r="S114" s="96"/>
      <c r="T114" s="95">
        <v>67000</v>
      </c>
      <c r="U114" s="94" t="s">
        <v>1037</v>
      </c>
      <c r="V114" s="217"/>
      <c r="W114" s="217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125"/>
      <c r="AH114" s="125"/>
      <c r="AI114" s="125"/>
      <c r="AJ114" s="125"/>
      <c r="AK114" s="125"/>
      <c r="AL114" s="125"/>
      <c r="AM114" s="125"/>
      <c r="AN114" s="125"/>
      <c r="AO114" s="125"/>
      <c r="AP114" s="125"/>
      <c r="AQ114" s="125"/>
      <c r="AR114" s="125"/>
      <c r="AS114" s="125"/>
      <c r="AT114" s="125"/>
      <c r="AU114" s="125"/>
      <c r="AV114" s="125"/>
      <c r="AW114" s="125"/>
      <c r="AX114" s="125"/>
      <c r="AY114" s="125"/>
      <c r="AZ114" s="125"/>
      <c r="BA114" s="125"/>
      <c r="BB114" s="125"/>
      <c r="BC114" s="125"/>
      <c r="BD114" s="125"/>
      <c r="BE114" s="125"/>
      <c r="BF114" s="125"/>
      <c r="BG114" s="125"/>
      <c r="BH114" s="125"/>
    </row>
    <row r="115" spans="1:60" s="124" customFormat="1" ht="116.25">
      <c r="A115" s="232" t="s">
        <v>447</v>
      </c>
      <c r="B115" s="231">
        <v>2570</v>
      </c>
      <c r="C115" s="100" t="s">
        <v>555</v>
      </c>
      <c r="D115" s="100"/>
      <c r="E115" s="100" t="s">
        <v>667</v>
      </c>
      <c r="F115" s="100" t="s">
        <v>666</v>
      </c>
      <c r="G115" s="100" t="s">
        <v>1036</v>
      </c>
      <c r="H115" s="100" t="s">
        <v>53</v>
      </c>
      <c r="I115" s="100"/>
      <c r="J115" s="100" t="s">
        <v>51</v>
      </c>
      <c r="K115" s="96" t="s">
        <v>40</v>
      </c>
      <c r="L115" s="99">
        <f t="shared" si="2"/>
        <v>42600</v>
      </c>
      <c r="M115" s="98">
        <f t="shared" si="3"/>
        <v>1</v>
      </c>
      <c r="N115" s="98" t="s">
        <v>558</v>
      </c>
      <c r="O115" s="97" t="s">
        <v>472</v>
      </c>
      <c r="P115" s="96"/>
      <c r="Q115" s="96"/>
      <c r="R115" s="96">
        <v>1</v>
      </c>
      <c r="S115" s="96"/>
      <c r="T115" s="95">
        <v>42600</v>
      </c>
      <c r="U115" s="94" t="s">
        <v>1029</v>
      </c>
      <c r="V115" s="217"/>
      <c r="W115" s="217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  <c r="AH115" s="125"/>
      <c r="AI115" s="125"/>
      <c r="AJ115" s="125"/>
      <c r="AK115" s="125"/>
      <c r="AL115" s="125"/>
      <c r="AM115" s="125"/>
      <c r="AN115" s="125"/>
      <c r="AO115" s="125"/>
      <c r="AP115" s="125"/>
      <c r="AQ115" s="125"/>
      <c r="AR115" s="125"/>
      <c r="AS115" s="125"/>
      <c r="AT115" s="125"/>
      <c r="AU115" s="125"/>
      <c r="AV115" s="125"/>
      <c r="AW115" s="125"/>
      <c r="AX115" s="125"/>
      <c r="AY115" s="125"/>
      <c r="AZ115" s="125"/>
      <c r="BA115" s="125"/>
      <c r="BB115" s="125"/>
      <c r="BC115" s="125"/>
      <c r="BD115" s="125"/>
      <c r="BE115" s="125"/>
      <c r="BF115" s="125"/>
      <c r="BG115" s="125"/>
      <c r="BH115" s="125"/>
    </row>
    <row r="116" spans="1:60" s="124" customFormat="1" ht="116.25">
      <c r="A116" s="232" t="s">
        <v>447</v>
      </c>
      <c r="B116" s="231">
        <v>2570</v>
      </c>
      <c r="C116" s="100" t="s">
        <v>555</v>
      </c>
      <c r="D116" s="100"/>
      <c r="E116" s="100" t="s">
        <v>667</v>
      </c>
      <c r="F116" s="100" t="s">
        <v>666</v>
      </c>
      <c r="G116" s="100" t="s">
        <v>1036</v>
      </c>
      <c r="H116" s="100" t="s">
        <v>262</v>
      </c>
      <c r="I116" s="100"/>
      <c r="J116" s="100" t="s">
        <v>260</v>
      </c>
      <c r="K116" s="96" t="s">
        <v>63</v>
      </c>
      <c r="L116" s="99">
        <f t="shared" si="2"/>
        <v>42600</v>
      </c>
      <c r="M116" s="98">
        <f t="shared" si="3"/>
        <v>1</v>
      </c>
      <c r="N116" s="98" t="s">
        <v>558</v>
      </c>
      <c r="O116" s="97" t="s">
        <v>472</v>
      </c>
      <c r="P116" s="96"/>
      <c r="Q116" s="96"/>
      <c r="R116" s="96">
        <v>1</v>
      </c>
      <c r="S116" s="96"/>
      <c r="T116" s="95">
        <v>42600</v>
      </c>
      <c r="U116" s="94" t="s">
        <v>1029</v>
      </c>
      <c r="V116" s="217"/>
      <c r="W116" s="217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5"/>
      <c r="AH116" s="125"/>
      <c r="AI116" s="125"/>
      <c r="AJ116" s="125"/>
      <c r="AK116" s="125"/>
      <c r="AL116" s="125"/>
      <c r="AM116" s="125"/>
      <c r="AN116" s="125"/>
      <c r="AO116" s="125"/>
      <c r="AP116" s="125"/>
      <c r="AQ116" s="125"/>
      <c r="AR116" s="125"/>
      <c r="AS116" s="125"/>
      <c r="AT116" s="125"/>
      <c r="AU116" s="125"/>
      <c r="AV116" s="125"/>
      <c r="AW116" s="125"/>
      <c r="AX116" s="125"/>
      <c r="AY116" s="125"/>
      <c r="AZ116" s="125"/>
      <c r="BA116" s="125"/>
      <c r="BB116" s="125"/>
      <c r="BC116" s="125"/>
      <c r="BD116" s="125"/>
      <c r="BE116" s="125"/>
      <c r="BF116" s="125"/>
      <c r="BG116" s="125"/>
      <c r="BH116" s="125"/>
    </row>
    <row r="117" spans="1:60" s="124" customFormat="1" ht="116.25">
      <c r="A117" s="232" t="s">
        <v>447</v>
      </c>
      <c r="B117" s="231">
        <v>2570</v>
      </c>
      <c r="C117" s="100" t="s">
        <v>555</v>
      </c>
      <c r="D117" s="100"/>
      <c r="E117" s="100" t="s">
        <v>667</v>
      </c>
      <c r="F117" s="100" t="s">
        <v>666</v>
      </c>
      <c r="G117" s="100" t="s">
        <v>1036</v>
      </c>
      <c r="H117" s="100" t="s">
        <v>465</v>
      </c>
      <c r="I117" s="100"/>
      <c r="J117" s="100" t="s">
        <v>436</v>
      </c>
      <c r="K117" s="96" t="s">
        <v>63</v>
      </c>
      <c r="L117" s="99">
        <f t="shared" si="2"/>
        <v>42600</v>
      </c>
      <c r="M117" s="98">
        <f t="shared" si="3"/>
        <v>1</v>
      </c>
      <c r="N117" s="98" t="s">
        <v>558</v>
      </c>
      <c r="O117" s="97" t="s">
        <v>472</v>
      </c>
      <c r="P117" s="96"/>
      <c r="Q117" s="96"/>
      <c r="R117" s="96">
        <v>1</v>
      </c>
      <c r="S117" s="96"/>
      <c r="T117" s="95">
        <v>42600</v>
      </c>
      <c r="U117" s="94" t="s">
        <v>1029</v>
      </c>
      <c r="V117" s="217"/>
      <c r="W117" s="217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125"/>
      <c r="AK117" s="125"/>
      <c r="AL117" s="125"/>
      <c r="AM117" s="125"/>
      <c r="AN117" s="125"/>
      <c r="AO117" s="125"/>
      <c r="AP117" s="125"/>
      <c r="AQ117" s="125"/>
      <c r="AR117" s="125"/>
      <c r="AS117" s="125"/>
      <c r="AT117" s="125"/>
      <c r="AU117" s="125"/>
      <c r="AV117" s="125"/>
      <c r="AW117" s="125"/>
      <c r="AX117" s="125"/>
      <c r="AY117" s="125"/>
      <c r="AZ117" s="125"/>
      <c r="BA117" s="125"/>
      <c r="BB117" s="125"/>
      <c r="BC117" s="125"/>
      <c r="BD117" s="125"/>
      <c r="BE117" s="125"/>
      <c r="BF117" s="125"/>
      <c r="BG117" s="125"/>
      <c r="BH117" s="125"/>
    </row>
    <row r="118" spans="1:60" s="124" customFormat="1" ht="116.25">
      <c r="A118" s="232" t="s">
        <v>447</v>
      </c>
      <c r="B118" s="231">
        <v>2570</v>
      </c>
      <c r="C118" s="100" t="s">
        <v>555</v>
      </c>
      <c r="D118" s="100"/>
      <c r="E118" s="100" t="s">
        <v>667</v>
      </c>
      <c r="F118" s="100" t="s">
        <v>666</v>
      </c>
      <c r="G118" s="100" t="s">
        <v>1036</v>
      </c>
      <c r="H118" s="100" t="s">
        <v>145</v>
      </c>
      <c r="I118" s="100"/>
      <c r="J118" s="100" t="s">
        <v>143</v>
      </c>
      <c r="K118" s="96" t="s">
        <v>63</v>
      </c>
      <c r="L118" s="99">
        <f t="shared" si="2"/>
        <v>42600</v>
      </c>
      <c r="M118" s="98">
        <f t="shared" si="3"/>
        <v>1</v>
      </c>
      <c r="N118" s="98" t="s">
        <v>558</v>
      </c>
      <c r="O118" s="97" t="s">
        <v>472</v>
      </c>
      <c r="P118" s="96"/>
      <c r="Q118" s="96"/>
      <c r="R118" s="96">
        <v>1</v>
      </c>
      <c r="S118" s="96"/>
      <c r="T118" s="95">
        <v>42600</v>
      </c>
      <c r="U118" s="94" t="s">
        <v>1029</v>
      </c>
      <c r="V118" s="217"/>
      <c r="W118" s="217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5"/>
      <c r="AH118" s="125"/>
      <c r="AI118" s="125"/>
      <c r="AJ118" s="125"/>
      <c r="AK118" s="125"/>
      <c r="AL118" s="125"/>
      <c r="AM118" s="125"/>
      <c r="AN118" s="125"/>
      <c r="AO118" s="125"/>
      <c r="AP118" s="125"/>
      <c r="AQ118" s="125"/>
      <c r="AR118" s="125"/>
      <c r="AS118" s="125"/>
      <c r="AT118" s="125"/>
      <c r="AU118" s="125"/>
      <c r="AV118" s="125"/>
      <c r="AW118" s="125"/>
      <c r="AX118" s="125"/>
      <c r="AY118" s="125"/>
      <c r="AZ118" s="125"/>
      <c r="BA118" s="125"/>
      <c r="BB118" s="125"/>
      <c r="BC118" s="125"/>
      <c r="BD118" s="125"/>
      <c r="BE118" s="125"/>
      <c r="BF118" s="125"/>
      <c r="BG118" s="125"/>
      <c r="BH118" s="125"/>
    </row>
    <row r="119" spans="1:60" s="124" customFormat="1" ht="116.25">
      <c r="A119" s="232" t="s">
        <v>447</v>
      </c>
      <c r="B119" s="231">
        <v>2570</v>
      </c>
      <c r="C119" s="100" t="s">
        <v>555</v>
      </c>
      <c r="D119" s="100"/>
      <c r="E119" s="100" t="s">
        <v>667</v>
      </c>
      <c r="F119" s="100" t="s">
        <v>666</v>
      </c>
      <c r="G119" s="100" t="s">
        <v>1036</v>
      </c>
      <c r="H119" s="100" t="s">
        <v>59</v>
      </c>
      <c r="I119" s="100"/>
      <c r="J119" s="100" t="s">
        <v>57</v>
      </c>
      <c r="K119" s="96" t="s">
        <v>40</v>
      </c>
      <c r="L119" s="99">
        <f t="shared" si="2"/>
        <v>42600</v>
      </c>
      <c r="M119" s="98">
        <f t="shared" si="3"/>
        <v>1</v>
      </c>
      <c r="N119" s="98" t="s">
        <v>558</v>
      </c>
      <c r="O119" s="97" t="s">
        <v>472</v>
      </c>
      <c r="P119" s="96"/>
      <c r="Q119" s="96"/>
      <c r="R119" s="96">
        <v>1</v>
      </c>
      <c r="S119" s="96"/>
      <c r="T119" s="95">
        <v>42600</v>
      </c>
      <c r="U119" s="94" t="s">
        <v>1029</v>
      </c>
      <c r="V119" s="217"/>
      <c r="W119" s="217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5"/>
      <c r="AH119" s="125"/>
      <c r="AI119" s="125"/>
      <c r="AJ119" s="125"/>
      <c r="AK119" s="125"/>
      <c r="AL119" s="125"/>
      <c r="AM119" s="125"/>
      <c r="AN119" s="125"/>
      <c r="AO119" s="125"/>
      <c r="AP119" s="125"/>
      <c r="AQ119" s="125"/>
      <c r="AR119" s="125"/>
      <c r="AS119" s="125"/>
      <c r="AT119" s="125"/>
      <c r="AU119" s="125"/>
      <c r="AV119" s="125"/>
      <c r="AW119" s="125"/>
      <c r="AX119" s="125"/>
      <c r="AY119" s="125"/>
      <c r="AZ119" s="125"/>
      <c r="BA119" s="125"/>
      <c r="BB119" s="125"/>
      <c r="BC119" s="125"/>
      <c r="BD119" s="125"/>
      <c r="BE119" s="125"/>
      <c r="BF119" s="125"/>
      <c r="BG119" s="125"/>
      <c r="BH119" s="125"/>
    </row>
    <row r="120" spans="1:60" s="124" customFormat="1" ht="116.25">
      <c r="A120" s="232" t="s">
        <v>447</v>
      </c>
      <c r="B120" s="231">
        <v>2570</v>
      </c>
      <c r="C120" s="100" t="s">
        <v>555</v>
      </c>
      <c r="D120" s="100"/>
      <c r="E120" s="100" t="s">
        <v>667</v>
      </c>
      <c r="F120" s="100" t="s">
        <v>666</v>
      </c>
      <c r="G120" s="103" t="s">
        <v>1032</v>
      </c>
      <c r="H120" s="100" t="s">
        <v>50</v>
      </c>
      <c r="I120" s="100"/>
      <c r="J120" s="100" t="s">
        <v>46</v>
      </c>
      <c r="K120" s="96" t="s">
        <v>40</v>
      </c>
      <c r="L120" s="99">
        <f t="shared" si="2"/>
        <v>59400</v>
      </c>
      <c r="M120" s="98">
        <f t="shared" si="3"/>
        <v>2</v>
      </c>
      <c r="N120" s="98" t="s">
        <v>558</v>
      </c>
      <c r="O120" s="97" t="s">
        <v>472</v>
      </c>
      <c r="P120" s="96"/>
      <c r="Q120" s="96"/>
      <c r="R120" s="96">
        <v>2</v>
      </c>
      <c r="S120" s="96"/>
      <c r="T120" s="95">
        <v>29700</v>
      </c>
      <c r="U120" s="94" t="s">
        <v>1035</v>
      </c>
      <c r="V120" s="217"/>
      <c r="W120" s="217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  <c r="AH120" s="125"/>
      <c r="AI120" s="125"/>
      <c r="AJ120" s="125"/>
      <c r="AK120" s="125"/>
      <c r="AL120" s="125"/>
      <c r="AM120" s="125"/>
      <c r="AN120" s="125"/>
      <c r="AO120" s="125"/>
      <c r="AP120" s="125"/>
      <c r="AQ120" s="125"/>
      <c r="AR120" s="125"/>
      <c r="AS120" s="125"/>
      <c r="AT120" s="125"/>
      <c r="AU120" s="125"/>
      <c r="AV120" s="125"/>
      <c r="AW120" s="125"/>
      <c r="AX120" s="125"/>
      <c r="AY120" s="125"/>
      <c r="AZ120" s="125"/>
      <c r="BA120" s="125"/>
      <c r="BB120" s="125"/>
      <c r="BC120" s="125"/>
      <c r="BD120" s="125"/>
      <c r="BE120" s="125"/>
      <c r="BF120" s="125"/>
      <c r="BG120" s="125"/>
      <c r="BH120" s="125"/>
    </row>
    <row r="121" spans="1:60" s="124" customFormat="1" ht="116.25">
      <c r="A121" s="232" t="s">
        <v>447</v>
      </c>
      <c r="B121" s="231">
        <v>2570</v>
      </c>
      <c r="C121" s="100" t="s">
        <v>555</v>
      </c>
      <c r="D121" s="100"/>
      <c r="E121" s="100" t="s">
        <v>667</v>
      </c>
      <c r="F121" s="100" t="s">
        <v>666</v>
      </c>
      <c r="G121" s="126" t="s">
        <v>1032</v>
      </c>
      <c r="H121" s="100" t="s">
        <v>363</v>
      </c>
      <c r="I121" s="100"/>
      <c r="J121" s="100" t="s">
        <v>205</v>
      </c>
      <c r="K121" s="96" t="s">
        <v>63</v>
      </c>
      <c r="L121" s="99">
        <f t="shared" si="2"/>
        <v>29700</v>
      </c>
      <c r="M121" s="98">
        <f t="shared" si="3"/>
        <v>1</v>
      </c>
      <c r="N121" s="98" t="s">
        <v>558</v>
      </c>
      <c r="O121" s="97" t="s">
        <v>472</v>
      </c>
      <c r="P121" s="96"/>
      <c r="Q121" s="96">
        <v>1</v>
      </c>
      <c r="R121" s="96"/>
      <c r="S121" s="96" t="s">
        <v>1034</v>
      </c>
      <c r="T121" s="95">
        <v>29700</v>
      </c>
      <c r="U121" s="94" t="s">
        <v>1033</v>
      </c>
      <c r="V121" s="217"/>
      <c r="W121" s="217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5"/>
      <c r="AH121" s="125"/>
      <c r="AI121" s="125"/>
      <c r="AJ121" s="125"/>
      <c r="AK121" s="125"/>
      <c r="AL121" s="125"/>
      <c r="AM121" s="125"/>
      <c r="AN121" s="125"/>
      <c r="AO121" s="125"/>
      <c r="AP121" s="125"/>
      <c r="AQ121" s="125"/>
      <c r="AR121" s="125"/>
      <c r="AS121" s="125"/>
      <c r="AT121" s="125"/>
      <c r="AU121" s="125"/>
      <c r="AV121" s="125"/>
      <c r="AW121" s="125"/>
      <c r="AX121" s="125"/>
      <c r="AY121" s="125"/>
      <c r="AZ121" s="125"/>
      <c r="BA121" s="125"/>
      <c r="BB121" s="125"/>
      <c r="BC121" s="125"/>
      <c r="BD121" s="125"/>
      <c r="BE121" s="125"/>
      <c r="BF121" s="125"/>
      <c r="BG121" s="125"/>
      <c r="BH121" s="125"/>
    </row>
    <row r="122" spans="1:60" s="124" customFormat="1" ht="116.25">
      <c r="A122" s="232" t="s">
        <v>447</v>
      </c>
      <c r="B122" s="231">
        <v>2570</v>
      </c>
      <c r="C122" s="100" t="s">
        <v>555</v>
      </c>
      <c r="D122" s="100"/>
      <c r="E122" s="100" t="s">
        <v>667</v>
      </c>
      <c r="F122" s="100" t="s">
        <v>666</v>
      </c>
      <c r="G122" s="126" t="s">
        <v>1032</v>
      </c>
      <c r="H122" s="100" t="s">
        <v>141</v>
      </c>
      <c r="I122" s="100"/>
      <c r="J122" s="100" t="s">
        <v>139</v>
      </c>
      <c r="K122" s="96" t="s">
        <v>63</v>
      </c>
      <c r="L122" s="99">
        <f t="shared" si="2"/>
        <v>29700</v>
      </c>
      <c r="M122" s="98">
        <f t="shared" si="3"/>
        <v>1</v>
      </c>
      <c r="N122" s="96" t="s">
        <v>558</v>
      </c>
      <c r="O122" s="97" t="s">
        <v>472</v>
      </c>
      <c r="P122" s="96"/>
      <c r="Q122" s="96"/>
      <c r="R122" s="96">
        <v>1</v>
      </c>
      <c r="S122" s="96"/>
      <c r="T122" s="95">
        <v>29700</v>
      </c>
      <c r="U122" s="94" t="s">
        <v>1029</v>
      </c>
      <c r="V122" s="217"/>
      <c r="W122" s="217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5"/>
      <c r="AH122" s="125"/>
      <c r="AI122" s="125"/>
      <c r="AJ122" s="125"/>
      <c r="AK122" s="125"/>
      <c r="AL122" s="125"/>
      <c r="AM122" s="125"/>
      <c r="AN122" s="125"/>
      <c r="AO122" s="125"/>
      <c r="AP122" s="125"/>
      <c r="AQ122" s="125"/>
      <c r="AR122" s="125"/>
      <c r="AS122" s="125"/>
      <c r="AT122" s="125"/>
      <c r="AU122" s="125"/>
      <c r="AV122" s="125"/>
      <c r="AW122" s="125"/>
      <c r="AX122" s="125"/>
      <c r="AY122" s="125"/>
      <c r="AZ122" s="125"/>
      <c r="BA122" s="125"/>
      <c r="BB122" s="125"/>
      <c r="BC122" s="125"/>
      <c r="BD122" s="125"/>
      <c r="BE122" s="125"/>
      <c r="BF122" s="125"/>
      <c r="BG122" s="125"/>
      <c r="BH122" s="125"/>
    </row>
    <row r="123" spans="1:60" s="124" customFormat="1" ht="116.25">
      <c r="A123" s="232" t="s">
        <v>447</v>
      </c>
      <c r="B123" s="231">
        <v>2570</v>
      </c>
      <c r="C123" s="100" t="s">
        <v>555</v>
      </c>
      <c r="D123" s="100"/>
      <c r="E123" s="100" t="s">
        <v>667</v>
      </c>
      <c r="F123" s="100" t="s">
        <v>666</v>
      </c>
      <c r="G123" s="126" t="s">
        <v>1032</v>
      </c>
      <c r="H123" s="100" t="s">
        <v>53</v>
      </c>
      <c r="I123" s="100"/>
      <c r="J123" s="100" t="s">
        <v>51</v>
      </c>
      <c r="K123" s="96" t="s">
        <v>40</v>
      </c>
      <c r="L123" s="99">
        <f t="shared" si="2"/>
        <v>29700</v>
      </c>
      <c r="M123" s="98">
        <f t="shared" si="3"/>
        <v>1</v>
      </c>
      <c r="N123" s="98" t="s">
        <v>558</v>
      </c>
      <c r="O123" s="97" t="s">
        <v>472</v>
      </c>
      <c r="P123" s="96"/>
      <c r="Q123" s="96"/>
      <c r="R123" s="96">
        <v>1</v>
      </c>
      <c r="S123" s="96"/>
      <c r="T123" s="95">
        <v>29700</v>
      </c>
      <c r="U123" s="94" t="s">
        <v>1029</v>
      </c>
      <c r="V123" s="217"/>
      <c r="W123" s="217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5"/>
      <c r="AH123" s="125"/>
      <c r="AI123" s="125"/>
      <c r="AJ123" s="125"/>
      <c r="AK123" s="125"/>
      <c r="AL123" s="125"/>
      <c r="AM123" s="125"/>
      <c r="AN123" s="125"/>
      <c r="AO123" s="125"/>
      <c r="AP123" s="125"/>
      <c r="AQ123" s="125"/>
      <c r="AR123" s="125"/>
      <c r="AS123" s="125"/>
      <c r="AT123" s="125"/>
      <c r="AU123" s="125"/>
      <c r="AV123" s="125"/>
      <c r="AW123" s="125"/>
      <c r="AX123" s="125"/>
      <c r="AY123" s="125"/>
      <c r="AZ123" s="125"/>
      <c r="BA123" s="125"/>
      <c r="BB123" s="125"/>
      <c r="BC123" s="125"/>
      <c r="BD123" s="125"/>
      <c r="BE123" s="125"/>
      <c r="BF123" s="125"/>
      <c r="BG123" s="125"/>
      <c r="BH123" s="125"/>
    </row>
    <row r="124" spans="1:60" s="124" customFormat="1" ht="116.25">
      <c r="A124" s="232" t="s">
        <v>447</v>
      </c>
      <c r="B124" s="231">
        <v>2570</v>
      </c>
      <c r="C124" s="100" t="s">
        <v>555</v>
      </c>
      <c r="D124" s="100"/>
      <c r="E124" s="100" t="s">
        <v>667</v>
      </c>
      <c r="F124" s="100" t="s">
        <v>666</v>
      </c>
      <c r="G124" s="126" t="s">
        <v>1032</v>
      </c>
      <c r="H124" s="100" t="s">
        <v>426</v>
      </c>
      <c r="I124" s="100"/>
      <c r="J124" s="100" t="s">
        <v>424</v>
      </c>
      <c r="K124" s="96" t="s">
        <v>40</v>
      </c>
      <c r="L124" s="99">
        <f t="shared" si="2"/>
        <v>29700</v>
      </c>
      <c r="M124" s="98">
        <f t="shared" si="3"/>
        <v>1</v>
      </c>
      <c r="N124" s="98" t="s">
        <v>558</v>
      </c>
      <c r="O124" s="97" t="s">
        <v>472</v>
      </c>
      <c r="P124" s="96"/>
      <c r="Q124" s="96"/>
      <c r="R124" s="96">
        <v>1</v>
      </c>
      <c r="S124" s="96"/>
      <c r="T124" s="95">
        <v>29700</v>
      </c>
      <c r="U124" s="94" t="s">
        <v>1029</v>
      </c>
      <c r="V124" s="217"/>
      <c r="W124" s="217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5"/>
      <c r="AH124" s="125"/>
      <c r="AI124" s="125"/>
      <c r="AJ124" s="125"/>
      <c r="AK124" s="125"/>
      <c r="AL124" s="125"/>
      <c r="AM124" s="125"/>
      <c r="AN124" s="125"/>
      <c r="AO124" s="125"/>
      <c r="AP124" s="125"/>
      <c r="AQ124" s="125"/>
      <c r="AR124" s="125"/>
      <c r="AS124" s="125"/>
      <c r="AT124" s="125"/>
      <c r="AU124" s="125"/>
      <c r="AV124" s="125"/>
      <c r="AW124" s="125"/>
      <c r="AX124" s="125"/>
      <c r="AY124" s="125"/>
      <c r="AZ124" s="125"/>
      <c r="BA124" s="125"/>
      <c r="BB124" s="125"/>
      <c r="BC124" s="125"/>
      <c r="BD124" s="125"/>
      <c r="BE124" s="125"/>
      <c r="BF124" s="125"/>
      <c r="BG124" s="125"/>
      <c r="BH124" s="125"/>
    </row>
    <row r="125" spans="1:60" s="124" customFormat="1" ht="116.25">
      <c r="A125" s="232" t="s">
        <v>447</v>
      </c>
      <c r="B125" s="231">
        <v>2570</v>
      </c>
      <c r="C125" s="100" t="s">
        <v>555</v>
      </c>
      <c r="D125" s="100"/>
      <c r="E125" s="100" t="s">
        <v>667</v>
      </c>
      <c r="F125" s="100" t="s">
        <v>666</v>
      </c>
      <c r="G125" s="100" t="s">
        <v>1030</v>
      </c>
      <c r="H125" s="100" t="s">
        <v>343</v>
      </c>
      <c r="I125" s="100"/>
      <c r="J125" s="100" t="s">
        <v>340</v>
      </c>
      <c r="K125" s="96" t="s">
        <v>63</v>
      </c>
      <c r="L125" s="99">
        <f t="shared" si="2"/>
        <v>63000</v>
      </c>
      <c r="M125" s="98">
        <f t="shared" si="3"/>
        <v>1</v>
      </c>
      <c r="N125" s="98" t="s">
        <v>558</v>
      </c>
      <c r="O125" s="97" t="s">
        <v>472</v>
      </c>
      <c r="P125" s="96"/>
      <c r="Q125" s="96"/>
      <c r="R125" s="96">
        <v>1</v>
      </c>
      <c r="S125" s="96"/>
      <c r="T125" s="95">
        <v>63000</v>
      </c>
      <c r="U125" s="94" t="s">
        <v>1031</v>
      </c>
      <c r="V125" s="217"/>
      <c r="W125" s="217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5"/>
      <c r="AH125" s="125"/>
      <c r="AI125" s="125"/>
      <c r="AJ125" s="125"/>
      <c r="AK125" s="125"/>
      <c r="AL125" s="125"/>
      <c r="AM125" s="125"/>
      <c r="AN125" s="125"/>
      <c r="AO125" s="125"/>
      <c r="AP125" s="125"/>
      <c r="AQ125" s="125"/>
      <c r="AR125" s="125"/>
      <c r="AS125" s="125"/>
      <c r="AT125" s="125"/>
      <c r="AU125" s="125"/>
      <c r="AV125" s="125"/>
      <c r="AW125" s="125"/>
      <c r="AX125" s="125"/>
      <c r="AY125" s="125"/>
      <c r="AZ125" s="125"/>
      <c r="BA125" s="125"/>
      <c r="BB125" s="125"/>
      <c r="BC125" s="125"/>
      <c r="BD125" s="125"/>
      <c r="BE125" s="125"/>
      <c r="BF125" s="125"/>
      <c r="BG125" s="125"/>
      <c r="BH125" s="125"/>
    </row>
    <row r="126" spans="1:60" s="124" customFormat="1" ht="116.25">
      <c r="A126" s="232" t="s">
        <v>447</v>
      </c>
      <c r="B126" s="231">
        <v>2570</v>
      </c>
      <c r="C126" s="100" t="s">
        <v>555</v>
      </c>
      <c r="D126" s="100"/>
      <c r="E126" s="100" t="s">
        <v>667</v>
      </c>
      <c r="F126" s="100" t="s">
        <v>666</v>
      </c>
      <c r="G126" s="100" t="s">
        <v>1030</v>
      </c>
      <c r="H126" s="100" t="s">
        <v>426</v>
      </c>
      <c r="I126" s="100"/>
      <c r="J126" s="100" t="s">
        <v>424</v>
      </c>
      <c r="K126" s="96" t="s">
        <v>40</v>
      </c>
      <c r="L126" s="99">
        <f t="shared" si="2"/>
        <v>63000</v>
      </c>
      <c r="M126" s="98">
        <f t="shared" si="3"/>
        <v>1</v>
      </c>
      <c r="N126" s="98" t="s">
        <v>558</v>
      </c>
      <c r="O126" s="97" t="s">
        <v>472</v>
      </c>
      <c r="P126" s="96"/>
      <c r="Q126" s="96"/>
      <c r="R126" s="96">
        <v>1</v>
      </c>
      <c r="S126" s="96"/>
      <c r="T126" s="95">
        <v>63000</v>
      </c>
      <c r="U126" s="94" t="s">
        <v>1029</v>
      </c>
      <c r="V126" s="217"/>
      <c r="W126" s="217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  <c r="AH126" s="125"/>
      <c r="AI126" s="125"/>
      <c r="AJ126" s="125"/>
      <c r="AK126" s="125"/>
      <c r="AL126" s="125"/>
      <c r="AM126" s="125"/>
      <c r="AN126" s="125"/>
      <c r="AO126" s="125"/>
      <c r="AP126" s="125"/>
      <c r="AQ126" s="125"/>
      <c r="AR126" s="125"/>
      <c r="AS126" s="125"/>
      <c r="AT126" s="125"/>
      <c r="AU126" s="125"/>
      <c r="AV126" s="125"/>
      <c r="AW126" s="125"/>
      <c r="AX126" s="125"/>
      <c r="AY126" s="125"/>
      <c r="AZ126" s="125"/>
      <c r="BA126" s="125"/>
      <c r="BB126" s="125"/>
      <c r="BC126" s="125"/>
      <c r="BD126" s="125"/>
      <c r="BE126" s="125"/>
      <c r="BF126" s="125"/>
      <c r="BG126" s="125"/>
      <c r="BH126" s="125"/>
    </row>
    <row r="127" spans="1:60" s="124" customFormat="1" ht="116.25">
      <c r="A127" s="232" t="s">
        <v>447</v>
      </c>
      <c r="B127" s="231">
        <v>2570</v>
      </c>
      <c r="C127" s="100" t="s">
        <v>555</v>
      </c>
      <c r="D127" s="100"/>
      <c r="E127" s="100" t="s">
        <v>667</v>
      </c>
      <c r="F127" s="100" t="s">
        <v>666</v>
      </c>
      <c r="G127" s="103" t="s">
        <v>1028</v>
      </c>
      <c r="H127" s="100" t="s">
        <v>53</v>
      </c>
      <c r="I127" s="100"/>
      <c r="J127" s="100" t="s">
        <v>51</v>
      </c>
      <c r="K127" s="96" t="s">
        <v>40</v>
      </c>
      <c r="L127" s="99">
        <f t="shared" si="2"/>
        <v>18200</v>
      </c>
      <c r="M127" s="98">
        <f t="shared" si="3"/>
        <v>1</v>
      </c>
      <c r="N127" s="98" t="s">
        <v>558</v>
      </c>
      <c r="O127" s="97" t="s">
        <v>472</v>
      </c>
      <c r="P127" s="96"/>
      <c r="Q127" s="96">
        <v>1</v>
      </c>
      <c r="R127" s="96"/>
      <c r="S127" s="134"/>
      <c r="T127" s="104">
        <v>18200</v>
      </c>
      <c r="U127" s="94" t="s">
        <v>1026</v>
      </c>
      <c r="V127" s="217"/>
      <c r="W127" s="217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5"/>
      <c r="AH127" s="125"/>
      <c r="AI127" s="125"/>
      <c r="AJ127" s="125"/>
      <c r="AK127" s="125"/>
      <c r="AL127" s="125"/>
      <c r="AM127" s="125"/>
      <c r="AN127" s="125"/>
      <c r="AO127" s="125"/>
      <c r="AP127" s="125"/>
      <c r="AQ127" s="125"/>
      <c r="AR127" s="125"/>
      <c r="AS127" s="125"/>
      <c r="AT127" s="125"/>
      <c r="AU127" s="125"/>
      <c r="AV127" s="125"/>
      <c r="AW127" s="125"/>
      <c r="AX127" s="125"/>
      <c r="AY127" s="125"/>
      <c r="AZ127" s="125"/>
      <c r="BA127" s="125"/>
      <c r="BB127" s="125"/>
      <c r="BC127" s="125"/>
      <c r="BD127" s="125"/>
      <c r="BE127" s="125"/>
      <c r="BF127" s="125"/>
      <c r="BG127" s="125"/>
      <c r="BH127" s="125"/>
    </row>
    <row r="128" spans="1:60" s="124" customFormat="1" ht="116.25">
      <c r="A128" s="232" t="s">
        <v>447</v>
      </c>
      <c r="B128" s="231">
        <v>2570</v>
      </c>
      <c r="C128" s="100" t="s">
        <v>555</v>
      </c>
      <c r="D128" s="100"/>
      <c r="E128" s="100" t="s">
        <v>667</v>
      </c>
      <c r="F128" s="100" t="s">
        <v>666</v>
      </c>
      <c r="G128" s="100" t="s">
        <v>1027</v>
      </c>
      <c r="H128" s="100" t="s">
        <v>56</v>
      </c>
      <c r="I128" s="100"/>
      <c r="J128" s="100" t="s">
        <v>54</v>
      </c>
      <c r="K128" s="96" t="s">
        <v>40</v>
      </c>
      <c r="L128" s="99">
        <f t="shared" si="2"/>
        <v>18200</v>
      </c>
      <c r="M128" s="98">
        <f t="shared" si="3"/>
        <v>1</v>
      </c>
      <c r="N128" s="98" t="s">
        <v>558</v>
      </c>
      <c r="O128" s="97" t="s">
        <v>472</v>
      </c>
      <c r="P128" s="96"/>
      <c r="Q128" s="96"/>
      <c r="R128" s="96">
        <v>1</v>
      </c>
      <c r="S128" s="134"/>
      <c r="T128" s="104">
        <v>18200</v>
      </c>
      <c r="U128" s="94" t="s">
        <v>522</v>
      </c>
      <c r="V128" s="217"/>
      <c r="W128" s="217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5"/>
      <c r="AH128" s="125"/>
      <c r="AI128" s="125"/>
      <c r="AJ128" s="125"/>
      <c r="AK128" s="125"/>
      <c r="AL128" s="125"/>
      <c r="AM128" s="125"/>
      <c r="AN128" s="125"/>
      <c r="AO128" s="125"/>
      <c r="AP128" s="125"/>
      <c r="AQ128" s="125"/>
      <c r="AR128" s="125"/>
      <c r="AS128" s="125"/>
      <c r="AT128" s="125"/>
      <c r="AU128" s="125"/>
      <c r="AV128" s="125"/>
      <c r="AW128" s="125"/>
      <c r="AX128" s="125"/>
      <c r="AY128" s="125"/>
      <c r="AZ128" s="125"/>
      <c r="BA128" s="125"/>
      <c r="BB128" s="125"/>
      <c r="BC128" s="125"/>
      <c r="BD128" s="125"/>
      <c r="BE128" s="125"/>
      <c r="BF128" s="125"/>
      <c r="BG128" s="125"/>
      <c r="BH128" s="125"/>
    </row>
    <row r="129" spans="1:60" s="124" customFormat="1" ht="116.25">
      <c r="A129" s="232" t="s">
        <v>447</v>
      </c>
      <c r="B129" s="231">
        <v>2570</v>
      </c>
      <c r="C129" s="100" t="s">
        <v>555</v>
      </c>
      <c r="D129" s="100"/>
      <c r="E129" s="100" t="s">
        <v>667</v>
      </c>
      <c r="F129" s="100" t="s">
        <v>666</v>
      </c>
      <c r="G129" s="100" t="s">
        <v>1025</v>
      </c>
      <c r="H129" s="100" t="s">
        <v>365</v>
      </c>
      <c r="I129" s="100"/>
      <c r="J129" s="100" t="s">
        <v>110</v>
      </c>
      <c r="K129" s="96" t="s">
        <v>63</v>
      </c>
      <c r="L129" s="99">
        <f t="shared" si="2"/>
        <v>52800</v>
      </c>
      <c r="M129" s="98">
        <f t="shared" si="3"/>
        <v>8</v>
      </c>
      <c r="N129" s="96" t="s">
        <v>561</v>
      </c>
      <c r="O129" s="97" t="s">
        <v>472</v>
      </c>
      <c r="P129" s="96"/>
      <c r="Q129" s="96">
        <v>8</v>
      </c>
      <c r="R129" s="96"/>
      <c r="S129" s="134"/>
      <c r="T129" s="95">
        <v>6600</v>
      </c>
      <c r="U129" s="94" t="s">
        <v>1026</v>
      </c>
      <c r="V129" s="217"/>
      <c r="W129" s="217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5"/>
      <c r="AH129" s="125"/>
      <c r="AI129" s="125"/>
      <c r="AJ129" s="125"/>
      <c r="AK129" s="125"/>
      <c r="AL129" s="125"/>
      <c r="AM129" s="125"/>
      <c r="AN129" s="125"/>
      <c r="AO129" s="125"/>
      <c r="AP129" s="125"/>
      <c r="AQ129" s="125"/>
      <c r="AR129" s="125"/>
      <c r="AS129" s="125"/>
      <c r="AT129" s="125"/>
      <c r="AU129" s="125"/>
      <c r="AV129" s="125"/>
      <c r="AW129" s="125"/>
      <c r="AX129" s="125"/>
      <c r="AY129" s="125"/>
      <c r="AZ129" s="125"/>
      <c r="BA129" s="125"/>
      <c r="BB129" s="125"/>
      <c r="BC129" s="125"/>
      <c r="BD129" s="125"/>
      <c r="BE129" s="125"/>
      <c r="BF129" s="125"/>
      <c r="BG129" s="125"/>
      <c r="BH129" s="125"/>
    </row>
    <row r="130" spans="1:60" s="124" customFormat="1" ht="116.25">
      <c r="A130" s="232" t="s">
        <v>447</v>
      </c>
      <c r="B130" s="231">
        <v>2570</v>
      </c>
      <c r="C130" s="100" t="s">
        <v>555</v>
      </c>
      <c r="D130" s="100"/>
      <c r="E130" s="100" t="s">
        <v>667</v>
      </c>
      <c r="F130" s="100" t="s">
        <v>666</v>
      </c>
      <c r="G130" s="100" t="s">
        <v>1025</v>
      </c>
      <c r="H130" s="100" t="s">
        <v>109</v>
      </c>
      <c r="I130" s="100"/>
      <c r="J130" s="100" t="s">
        <v>107</v>
      </c>
      <c r="K130" s="96" t="s">
        <v>63</v>
      </c>
      <c r="L130" s="99">
        <f t="shared" si="2"/>
        <v>39600</v>
      </c>
      <c r="M130" s="98">
        <f t="shared" si="3"/>
        <v>6</v>
      </c>
      <c r="N130" s="96" t="s">
        <v>561</v>
      </c>
      <c r="O130" s="97" t="s">
        <v>472</v>
      </c>
      <c r="P130" s="98"/>
      <c r="Q130" s="98">
        <v>6</v>
      </c>
      <c r="R130" s="98"/>
      <c r="S130" s="149"/>
      <c r="T130" s="95">
        <v>6600</v>
      </c>
      <c r="U130" s="109" t="s">
        <v>1026</v>
      </c>
      <c r="V130" s="217"/>
      <c r="W130" s="217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5"/>
      <c r="AH130" s="125"/>
      <c r="AI130" s="125"/>
      <c r="AJ130" s="125"/>
      <c r="AK130" s="125"/>
      <c r="AL130" s="125"/>
      <c r="AM130" s="125"/>
      <c r="AN130" s="125"/>
      <c r="AO130" s="125"/>
      <c r="AP130" s="125"/>
      <c r="AQ130" s="125"/>
      <c r="AR130" s="125"/>
      <c r="AS130" s="125"/>
      <c r="AT130" s="125"/>
      <c r="AU130" s="125"/>
      <c r="AV130" s="125"/>
      <c r="AW130" s="125"/>
      <c r="AX130" s="125"/>
      <c r="AY130" s="125"/>
      <c r="AZ130" s="125"/>
      <c r="BA130" s="125"/>
      <c r="BB130" s="125"/>
      <c r="BC130" s="125"/>
      <c r="BD130" s="125"/>
      <c r="BE130" s="125"/>
      <c r="BF130" s="125"/>
      <c r="BG130" s="125"/>
      <c r="BH130" s="125"/>
    </row>
    <row r="131" spans="1:60" s="124" customFormat="1" ht="116.25">
      <c r="A131" s="232" t="s">
        <v>447</v>
      </c>
      <c r="B131" s="231">
        <v>2570</v>
      </c>
      <c r="C131" s="100" t="s">
        <v>555</v>
      </c>
      <c r="D131" s="100"/>
      <c r="E131" s="100" t="s">
        <v>667</v>
      </c>
      <c r="F131" s="100" t="s">
        <v>666</v>
      </c>
      <c r="G131" s="100" t="s">
        <v>1025</v>
      </c>
      <c r="H131" s="100" t="s">
        <v>243</v>
      </c>
      <c r="I131" s="100"/>
      <c r="J131" s="100" t="s">
        <v>241</v>
      </c>
      <c r="K131" s="96" t="s">
        <v>40</v>
      </c>
      <c r="L131" s="99">
        <f t="shared" si="2"/>
        <v>66000</v>
      </c>
      <c r="M131" s="98">
        <f t="shared" si="3"/>
        <v>10</v>
      </c>
      <c r="N131" s="96" t="s">
        <v>561</v>
      </c>
      <c r="O131" s="97" t="s">
        <v>472</v>
      </c>
      <c r="P131" s="96"/>
      <c r="Q131" s="96"/>
      <c r="R131" s="96">
        <v>10</v>
      </c>
      <c r="S131" s="96"/>
      <c r="T131" s="95">
        <v>6600</v>
      </c>
      <c r="U131" s="94" t="s">
        <v>1024</v>
      </c>
      <c r="V131" s="217"/>
      <c r="W131" s="217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5"/>
      <c r="AH131" s="125"/>
      <c r="AI131" s="125"/>
      <c r="AJ131" s="125"/>
      <c r="AK131" s="125"/>
      <c r="AL131" s="125"/>
      <c r="AM131" s="125"/>
      <c r="AN131" s="125"/>
      <c r="AO131" s="125"/>
      <c r="AP131" s="125"/>
      <c r="AQ131" s="125"/>
      <c r="AR131" s="125"/>
      <c r="AS131" s="125"/>
      <c r="AT131" s="125"/>
      <c r="AU131" s="125"/>
      <c r="AV131" s="125"/>
      <c r="AW131" s="125"/>
      <c r="AX131" s="125"/>
      <c r="AY131" s="125"/>
      <c r="AZ131" s="125"/>
      <c r="BA131" s="125"/>
      <c r="BB131" s="125"/>
      <c r="BC131" s="125"/>
      <c r="BD131" s="125"/>
      <c r="BE131" s="125"/>
      <c r="BF131" s="125"/>
      <c r="BG131" s="125"/>
      <c r="BH131" s="125"/>
    </row>
    <row r="132" spans="1:60" s="124" customFormat="1" ht="116.25">
      <c r="A132" s="232" t="s">
        <v>447</v>
      </c>
      <c r="B132" s="231">
        <v>2570</v>
      </c>
      <c r="C132" s="100" t="s">
        <v>555</v>
      </c>
      <c r="D132" s="100"/>
      <c r="E132" s="100" t="s">
        <v>667</v>
      </c>
      <c r="F132" s="100" t="s">
        <v>666</v>
      </c>
      <c r="G132" s="100" t="s">
        <v>1025</v>
      </c>
      <c r="H132" s="100" t="s">
        <v>350</v>
      </c>
      <c r="I132" s="100"/>
      <c r="J132" s="100" t="s">
        <v>103</v>
      </c>
      <c r="K132" s="96" t="s">
        <v>63</v>
      </c>
      <c r="L132" s="99">
        <f t="shared" si="2"/>
        <v>33000</v>
      </c>
      <c r="M132" s="98">
        <f t="shared" si="3"/>
        <v>5</v>
      </c>
      <c r="N132" s="96" t="s">
        <v>561</v>
      </c>
      <c r="O132" s="97" t="s">
        <v>472</v>
      </c>
      <c r="P132" s="96"/>
      <c r="Q132" s="96"/>
      <c r="R132" s="96">
        <v>5</v>
      </c>
      <c r="S132" s="96"/>
      <c r="T132" s="95">
        <v>6600</v>
      </c>
      <c r="U132" s="94" t="s">
        <v>868</v>
      </c>
      <c r="V132" s="217"/>
      <c r="W132" s="217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5"/>
      <c r="AH132" s="125"/>
      <c r="AI132" s="125"/>
      <c r="AJ132" s="125"/>
      <c r="AK132" s="125"/>
      <c r="AL132" s="125"/>
      <c r="AM132" s="125"/>
      <c r="AN132" s="125"/>
      <c r="AO132" s="125"/>
      <c r="AP132" s="125"/>
      <c r="AQ132" s="125"/>
      <c r="AR132" s="125"/>
      <c r="AS132" s="125"/>
      <c r="AT132" s="125"/>
      <c r="AU132" s="125"/>
      <c r="AV132" s="125"/>
      <c r="AW132" s="125"/>
      <c r="AX132" s="125"/>
      <c r="AY132" s="125"/>
      <c r="AZ132" s="125"/>
      <c r="BA132" s="125"/>
      <c r="BB132" s="125"/>
      <c r="BC132" s="125"/>
      <c r="BD132" s="125"/>
      <c r="BE132" s="125"/>
      <c r="BF132" s="125"/>
      <c r="BG132" s="125"/>
      <c r="BH132" s="125"/>
    </row>
    <row r="133" spans="1:60" s="124" customFormat="1" ht="116.25">
      <c r="A133" s="232" t="s">
        <v>447</v>
      </c>
      <c r="B133" s="231">
        <v>2570</v>
      </c>
      <c r="C133" s="100" t="s">
        <v>555</v>
      </c>
      <c r="D133" s="100"/>
      <c r="E133" s="100" t="s">
        <v>667</v>
      </c>
      <c r="F133" s="100" t="s">
        <v>666</v>
      </c>
      <c r="G133" s="100" t="s">
        <v>1025</v>
      </c>
      <c r="H133" s="100" t="s">
        <v>59</v>
      </c>
      <c r="I133" s="100"/>
      <c r="J133" s="100" t="s">
        <v>57</v>
      </c>
      <c r="K133" s="96" t="s">
        <v>40</v>
      </c>
      <c r="L133" s="99">
        <f t="shared" si="2"/>
        <v>33000</v>
      </c>
      <c r="M133" s="98">
        <f t="shared" si="3"/>
        <v>5</v>
      </c>
      <c r="N133" s="96" t="s">
        <v>561</v>
      </c>
      <c r="O133" s="97" t="s">
        <v>472</v>
      </c>
      <c r="P133" s="96"/>
      <c r="Q133" s="96"/>
      <c r="R133" s="96">
        <v>5</v>
      </c>
      <c r="S133" s="96"/>
      <c r="T133" s="95">
        <v>6600</v>
      </c>
      <c r="U133" s="94" t="s">
        <v>868</v>
      </c>
      <c r="V133" s="217"/>
      <c r="W133" s="217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5"/>
      <c r="AH133" s="125"/>
      <c r="AI133" s="125"/>
      <c r="AJ133" s="125"/>
      <c r="AK133" s="125"/>
      <c r="AL133" s="125"/>
      <c r="AM133" s="125"/>
      <c r="AN133" s="125"/>
      <c r="AO133" s="125"/>
      <c r="AP133" s="125"/>
      <c r="AQ133" s="125"/>
      <c r="AR133" s="125"/>
      <c r="AS133" s="125"/>
      <c r="AT133" s="125"/>
      <c r="AU133" s="125"/>
      <c r="AV133" s="125"/>
      <c r="AW133" s="125"/>
      <c r="AX133" s="125"/>
      <c r="AY133" s="125"/>
      <c r="AZ133" s="125"/>
      <c r="BA133" s="125"/>
      <c r="BB133" s="125"/>
      <c r="BC133" s="125"/>
      <c r="BD133" s="125"/>
      <c r="BE133" s="125"/>
      <c r="BF133" s="125"/>
      <c r="BG133" s="125"/>
      <c r="BH133" s="125"/>
    </row>
    <row r="134" spans="1:60" s="124" customFormat="1" ht="116.25">
      <c r="A134" s="232" t="s">
        <v>447</v>
      </c>
      <c r="B134" s="231">
        <v>2570</v>
      </c>
      <c r="C134" s="100" t="s">
        <v>555</v>
      </c>
      <c r="D134" s="100"/>
      <c r="E134" s="100" t="s">
        <v>667</v>
      </c>
      <c r="F134" s="100" t="s">
        <v>666</v>
      </c>
      <c r="G134" s="100" t="s">
        <v>1025</v>
      </c>
      <c r="H134" s="100" t="s">
        <v>243</v>
      </c>
      <c r="I134" s="100"/>
      <c r="J134" s="100" t="s">
        <v>241</v>
      </c>
      <c r="K134" s="96" t="s">
        <v>40</v>
      </c>
      <c r="L134" s="99">
        <f t="shared" si="2"/>
        <v>66000</v>
      </c>
      <c r="M134" s="98">
        <f t="shared" si="3"/>
        <v>10</v>
      </c>
      <c r="N134" s="96" t="s">
        <v>561</v>
      </c>
      <c r="O134" s="97" t="s">
        <v>472</v>
      </c>
      <c r="P134" s="96"/>
      <c r="Q134" s="96"/>
      <c r="R134" s="96">
        <v>10</v>
      </c>
      <c r="S134" s="96"/>
      <c r="T134" s="95">
        <v>6600</v>
      </c>
      <c r="U134" s="94" t="s">
        <v>1024</v>
      </c>
      <c r="V134" s="217"/>
      <c r="W134" s="217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5"/>
      <c r="AH134" s="125"/>
      <c r="AI134" s="125"/>
      <c r="AJ134" s="125"/>
      <c r="AK134" s="125"/>
      <c r="AL134" s="125"/>
      <c r="AM134" s="125"/>
      <c r="AN134" s="125"/>
      <c r="AO134" s="125"/>
      <c r="AP134" s="125"/>
      <c r="AQ134" s="125"/>
      <c r="AR134" s="125"/>
      <c r="AS134" s="125"/>
      <c r="AT134" s="125"/>
      <c r="AU134" s="125"/>
      <c r="AV134" s="125"/>
      <c r="AW134" s="125"/>
      <c r="AX134" s="125"/>
      <c r="AY134" s="125"/>
      <c r="AZ134" s="125"/>
      <c r="BA134" s="125"/>
      <c r="BB134" s="125"/>
      <c r="BC134" s="125"/>
      <c r="BD134" s="125"/>
      <c r="BE134" s="125"/>
      <c r="BF134" s="125"/>
      <c r="BG134" s="125"/>
      <c r="BH134" s="125"/>
    </row>
    <row r="135" spans="1:60" s="124" customFormat="1" ht="116.25">
      <c r="A135" s="232" t="s">
        <v>447</v>
      </c>
      <c r="B135" s="231">
        <v>2570</v>
      </c>
      <c r="C135" s="100" t="s">
        <v>555</v>
      </c>
      <c r="D135" s="100"/>
      <c r="E135" s="100" t="s">
        <v>667</v>
      </c>
      <c r="F135" s="100" t="s">
        <v>666</v>
      </c>
      <c r="G135" s="100" t="s">
        <v>1025</v>
      </c>
      <c r="H135" s="100" t="s">
        <v>56</v>
      </c>
      <c r="I135" s="100"/>
      <c r="J135" s="100" t="s">
        <v>54</v>
      </c>
      <c r="K135" s="96" t="s">
        <v>40</v>
      </c>
      <c r="L135" s="99">
        <f t="shared" si="2"/>
        <v>13200</v>
      </c>
      <c r="M135" s="98">
        <f t="shared" si="3"/>
        <v>2</v>
      </c>
      <c r="N135" s="96" t="s">
        <v>561</v>
      </c>
      <c r="O135" s="97" t="s">
        <v>472</v>
      </c>
      <c r="P135" s="96"/>
      <c r="Q135" s="96"/>
      <c r="R135" s="96">
        <v>2</v>
      </c>
      <c r="S135" s="96"/>
      <c r="T135" s="95">
        <v>6600</v>
      </c>
      <c r="U135" s="94" t="s">
        <v>868</v>
      </c>
      <c r="V135" s="217"/>
      <c r="W135" s="217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5"/>
      <c r="AM135" s="125"/>
      <c r="AN135" s="125"/>
      <c r="AO135" s="125"/>
      <c r="AP135" s="125"/>
      <c r="AQ135" s="125"/>
      <c r="AR135" s="125"/>
      <c r="AS135" s="125"/>
      <c r="AT135" s="125"/>
      <c r="AU135" s="125"/>
      <c r="AV135" s="125"/>
      <c r="AW135" s="125"/>
      <c r="AX135" s="125"/>
      <c r="AY135" s="125"/>
      <c r="AZ135" s="125"/>
      <c r="BA135" s="125"/>
      <c r="BB135" s="125"/>
      <c r="BC135" s="125"/>
      <c r="BD135" s="125"/>
      <c r="BE135" s="125"/>
      <c r="BF135" s="125"/>
      <c r="BG135" s="125"/>
      <c r="BH135" s="125"/>
    </row>
    <row r="136" spans="1:60" s="124" customFormat="1" ht="116.25">
      <c r="A136" s="232" t="s">
        <v>447</v>
      </c>
      <c r="B136" s="231">
        <v>2570</v>
      </c>
      <c r="C136" s="100" t="s">
        <v>555</v>
      </c>
      <c r="D136" s="100"/>
      <c r="E136" s="100" t="s">
        <v>667</v>
      </c>
      <c r="F136" s="100" t="s">
        <v>666</v>
      </c>
      <c r="G136" s="100" t="s">
        <v>1023</v>
      </c>
      <c r="H136" s="100" t="s">
        <v>243</v>
      </c>
      <c r="I136" s="100"/>
      <c r="J136" s="100" t="s">
        <v>241</v>
      </c>
      <c r="K136" s="96" t="s">
        <v>40</v>
      </c>
      <c r="L136" s="99">
        <f t="shared" si="2"/>
        <v>72000</v>
      </c>
      <c r="M136" s="98">
        <f t="shared" si="3"/>
        <v>10</v>
      </c>
      <c r="N136" s="96" t="s">
        <v>561</v>
      </c>
      <c r="O136" s="97" t="s">
        <v>472</v>
      </c>
      <c r="P136" s="96"/>
      <c r="Q136" s="96"/>
      <c r="R136" s="96">
        <v>10</v>
      </c>
      <c r="S136" s="96"/>
      <c r="T136" s="95">
        <v>7200</v>
      </c>
      <c r="U136" s="94" t="s">
        <v>1024</v>
      </c>
      <c r="V136" s="217"/>
      <c r="W136" s="217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5"/>
      <c r="AK136" s="125"/>
      <c r="AL136" s="125"/>
      <c r="AM136" s="125"/>
      <c r="AN136" s="125"/>
      <c r="AO136" s="125"/>
      <c r="AP136" s="125"/>
      <c r="AQ136" s="125"/>
      <c r="AR136" s="125"/>
      <c r="AS136" s="125"/>
      <c r="AT136" s="125"/>
      <c r="AU136" s="125"/>
      <c r="AV136" s="125"/>
      <c r="AW136" s="125"/>
      <c r="AX136" s="125"/>
      <c r="AY136" s="125"/>
      <c r="AZ136" s="125"/>
      <c r="BA136" s="125"/>
      <c r="BB136" s="125"/>
      <c r="BC136" s="125"/>
      <c r="BD136" s="125"/>
      <c r="BE136" s="125"/>
      <c r="BF136" s="125"/>
      <c r="BG136" s="125"/>
      <c r="BH136" s="125"/>
    </row>
    <row r="137" spans="1:60" s="124" customFormat="1" ht="116.25">
      <c r="A137" s="232" t="s">
        <v>447</v>
      </c>
      <c r="B137" s="231">
        <v>2570</v>
      </c>
      <c r="C137" s="100" t="s">
        <v>555</v>
      </c>
      <c r="D137" s="100"/>
      <c r="E137" s="100" t="s">
        <v>667</v>
      </c>
      <c r="F137" s="100" t="s">
        <v>666</v>
      </c>
      <c r="G137" s="100" t="s">
        <v>1023</v>
      </c>
      <c r="H137" s="100" t="s">
        <v>45</v>
      </c>
      <c r="I137" s="100"/>
      <c r="J137" s="100" t="s">
        <v>41</v>
      </c>
      <c r="K137" s="96" t="s">
        <v>40</v>
      </c>
      <c r="L137" s="99">
        <f t="shared" si="2"/>
        <v>14400</v>
      </c>
      <c r="M137" s="98">
        <f t="shared" si="3"/>
        <v>2</v>
      </c>
      <c r="N137" s="96" t="s">
        <v>561</v>
      </c>
      <c r="O137" s="97" t="s">
        <v>472</v>
      </c>
      <c r="P137" s="96"/>
      <c r="Q137" s="96"/>
      <c r="R137" s="96">
        <v>2</v>
      </c>
      <c r="S137" s="96"/>
      <c r="T137" s="95">
        <v>7200</v>
      </c>
      <c r="U137" s="94" t="s">
        <v>1024</v>
      </c>
      <c r="V137" s="217"/>
      <c r="W137" s="217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5"/>
      <c r="AK137" s="125"/>
      <c r="AL137" s="125"/>
      <c r="AM137" s="125"/>
      <c r="AN137" s="125"/>
      <c r="AO137" s="125"/>
      <c r="AP137" s="125"/>
      <c r="AQ137" s="125"/>
      <c r="AR137" s="125"/>
      <c r="AS137" s="125"/>
      <c r="AT137" s="125"/>
      <c r="AU137" s="125"/>
      <c r="AV137" s="125"/>
      <c r="AW137" s="125"/>
      <c r="AX137" s="125"/>
      <c r="AY137" s="125"/>
      <c r="AZ137" s="125"/>
      <c r="BA137" s="125"/>
      <c r="BB137" s="125"/>
      <c r="BC137" s="125"/>
      <c r="BD137" s="125"/>
      <c r="BE137" s="125"/>
      <c r="BF137" s="125"/>
      <c r="BG137" s="125"/>
      <c r="BH137" s="125"/>
    </row>
    <row r="138" spans="1:60" s="124" customFormat="1" ht="116.25">
      <c r="A138" s="232" t="s">
        <v>447</v>
      </c>
      <c r="B138" s="231">
        <v>2570</v>
      </c>
      <c r="C138" s="100" t="s">
        <v>555</v>
      </c>
      <c r="D138" s="100"/>
      <c r="E138" s="100" t="s">
        <v>667</v>
      </c>
      <c r="F138" s="100" t="s">
        <v>666</v>
      </c>
      <c r="G138" s="100" t="s">
        <v>1023</v>
      </c>
      <c r="H138" s="100" t="s">
        <v>59</v>
      </c>
      <c r="I138" s="100"/>
      <c r="J138" s="100" t="s">
        <v>57</v>
      </c>
      <c r="K138" s="96" t="s">
        <v>40</v>
      </c>
      <c r="L138" s="99">
        <f t="shared" si="2"/>
        <v>36000</v>
      </c>
      <c r="M138" s="98">
        <f t="shared" si="3"/>
        <v>5</v>
      </c>
      <c r="N138" s="96" t="s">
        <v>561</v>
      </c>
      <c r="O138" s="97" t="s">
        <v>472</v>
      </c>
      <c r="P138" s="96"/>
      <c r="Q138" s="96"/>
      <c r="R138" s="96">
        <v>5</v>
      </c>
      <c r="S138" s="96"/>
      <c r="T138" s="95">
        <v>7200</v>
      </c>
      <c r="U138" s="94" t="s">
        <v>868</v>
      </c>
      <c r="V138" s="217"/>
      <c r="W138" s="217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5"/>
      <c r="AK138" s="125"/>
      <c r="AL138" s="125"/>
      <c r="AM138" s="125"/>
      <c r="AN138" s="125"/>
      <c r="AO138" s="125"/>
      <c r="AP138" s="125"/>
      <c r="AQ138" s="125"/>
      <c r="AR138" s="125"/>
      <c r="AS138" s="125"/>
      <c r="AT138" s="125"/>
      <c r="AU138" s="125"/>
      <c r="AV138" s="125"/>
      <c r="AW138" s="125"/>
      <c r="AX138" s="125"/>
      <c r="AY138" s="125"/>
      <c r="AZ138" s="125"/>
      <c r="BA138" s="125"/>
      <c r="BB138" s="125"/>
      <c r="BC138" s="125"/>
      <c r="BD138" s="125"/>
      <c r="BE138" s="125"/>
      <c r="BF138" s="125"/>
      <c r="BG138" s="125"/>
      <c r="BH138" s="125"/>
    </row>
    <row r="139" spans="1:60" s="124" customFormat="1" ht="116.25">
      <c r="A139" s="232" t="s">
        <v>447</v>
      </c>
      <c r="B139" s="231">
        <v>2570</v>
      </c>
      <c r="C139" s="100" t="s">
        <v>555</v>
      </c>
      <c r="D139" s="100"/>
      <c r="E139" s="100" t="s">
        <v>667</v>
      </c>
      <c r="F139" s="100" t="s">
        <v>666</v>
      </c>
      <c r="G139" s="100" t="s">
        <v>1020</v>
      </c>
      <c r="H139" s="100" t="s">
        <v>255</v>
      </c>
      <c r="I139" s="100"/>
      <c r="J139" s="100" t="s">
        <v>253</v>
      </c>
      <c r="K139" s="96" t="s">
        <v>63</v>
      </c>
      <c r="L139" s="99">
        <f t="shared" si="2"/>
        <v>62900</v>
      </c>
      <c r="M139" s="98">
        <f t="shared" si="3"/>
        <v>10</v>
      </c>
      <c r="N139" s="96" t="s">
        <v>553</v>
      </c>
      <c r="O139" s="96"/>
      <c r="P139" s="97" t="s">
        <v>472</v>
      </c>
      <c r="Q139" s="96"/>
      <c r="R139" s="96">
        <v>10</v>
      </c>
      <c r="S139" s="96"/>
      <c r="T139" s="95">
        <v>6290</v>
      </c>
      <c r="U139" s="94" t="s">
        <v>953</v>
      </c>
      <c r="V139" s="217"/>
      <c r="W139" s="217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  <c r="AH139" s="125"/>
      <c r="AI139" s="125"/>
      <c r="AJ139" s="125"/>
      <c r="AK139" s="125"/>
      <c r="AL139" s="125"/>
      <c r="AM139" s="125"/>
      <c r="AN139" s="125"/>
      <c r="AO139" s="125"/>
      <c r="AP139" s="125"/>
      <c r="AQ139" s="125"/>
      <c r="AR139" s="125"/>
      <c r="AS139" s="125"/>
      <c r="AT139" s="125"/>
      <c r="AU139" s="125"/>
      <c r="AV139" s="125"/>
      <c r="AW139" s="125"/>
      <c r="AX139" s="125"/>
      <c r="AY139" s="125"/>
      <c r="AZ139" s="125"/>
      <c r="BA139" s="125"/>
      <c r="BB139" s="125"/>
      <c r="BC139" s="125"/>
      <c r="BD139" s="125"/>
      <c r="BE139" s="125"/>
      <c r="BF139" s="125"/>
      <c r="BG139" s="125"/>
      <c r="BH139" s="125"/>
    </row>
    <row r="140" spans="1:60" s="124" customFormat="1" ht="116.25">
      <c r="A140" s="232" t="s">
        <v>447</v>
      </c>
      <c r="B140" s="231">
        <v>2570</v>
      </c>
      <c r="C140" s="100" t="s">
        <v>555</v>
      </c>
      <c r="D140" s="100"/>
      <c r="E140" s="100" t="s">
        <v>667</v>
      </c>
      <c r="F140" s="100" t="s">
        <v>666</v>
      </c>
      <c r="G140" s="100" t="s">
        <v>1020</v>
      </c>
      <c r="H140" s="100" t="s">
        <v>363</v>
      </c>
      <c r="I140" s="100"/>
      <c r="J140" s="100" t="s">
        <v>205</v>
      </c>
      <c r="K140" s="96" t="s">
        <v>63</v>
      </c>
      <c r="L140" s="99">
        <f t="shared" si="2"/>
        <v>150000</v>
      </c>
      <c r="M140" s="98">
        <f t="shared" si="3"/>
        <v>25</v>
      </c>
      <c r="N140" s="96" t="s">
        <v>553</v>
      </c>
      <c r="O140" s="96"/>
      <c r="P140" s="97" t="s">
        <v>472</v>
      </c>
      <c r="Q140" s="96"/>
      <c r="R140" s="96">
        <v>25</v>
      </c>
      <c r="S140" s="96"/>
      <c r="T140" s="95">
        <v>6000</v>
      </c>
      <c r="U140" s="94" t="s">
        <v>1022</v>
      </c>
      <c r="V140" s="217"/>
      <c r="W140" s="217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5"/>
      <c r="AK140" s="125"/>
      <c r="AL140" s="125"/>
      <c r="AM140" s="125"/>
      <c r="AN140" s="125"/>
      <c r="AO140" s="125"/>
      <c r="AP140" s="125"/>
      <c r="AQ140" s="125"/>
      <c r="AR140" s="125"/>
      <c r="AS140" s="125"/>
      <c r="AT140" s="125"/>
      <c r="AU140" s="125"/>
      <c r="AV140" s="125"/>
      <c r="AW140" s="125"/>
      <c r="AX140" s="125"/>
      <c r="AY140" s="125"/>
      <c r="AZ140" s="125"/>
      <c r="BA140" s="125"/>
      <c r="BB140" s="125"/>
      <c r="BC140" s="125"/>
      <c r="BD140" s="125"/>
      <c r="BE140" s="125"/>
      <c r="BF140" s="125"/>
      <c r="BG140" s="125"/>
      <c r="BH140" s="125"/>
    </row>
    <row r="141" spans="1:60" s="124" customFormat="1" ht="116.25">
      <c r="A141" s="232" t="s">
        <v>447</v>
      </c>
      <c r="B141" s="231">
        <v>2570</v>
      </c>
      <c r="C141" s="100" t="s">
        <v>555</v>
      </c>
      <c r="D141" s="100"/>
      <c r="E141" s="100" t="s">
        <v>667</v>
      </c>
      <c r="F141" s="100" t="s">
        <v>666</v>
      </c>
      <c r="G141" s="100" t="s">
        <v>1020</v>
      </c>
      <c r="H141" s="100" t="s">
        <v>156</v>
      </c>
      <c r="I141" s="100"/>
      <c r="J141" s="96" t="s">
        <v>154</v>
      </c>
      <c r="K141" s="96" t="s">
        <v>149</v>
      </c>
      <c r="L141" s="99">
        <f t="shared" si="2"/>
        <v>89880</v>
      </c>
      <c r="M141" s="98">
        <f t="shared" si="3"/>
        <v>20</v>
      </c>
      <c r="N141" s="96" t="s">
        <v>553</v>
      </c>
      <c r="O141" s="96"/>
      <c r="P141" s="97" t="s">
        <v>472</v>
      </c>
      <c r="Q141" s="96"/>
      <c r="R141" s="96">
        <v>20</v>
      </c>
      <c r="S141" s="96"/>
      <c r="T141" s="95">
        <v>4494</v>
      </c>
      <c r="U141" s="94" t="s">
        <v>1022</v>
      </c>
      <c r="V141" s="217"/>
      <c r="W141" s="217"/>
      <c r="X141" s="125"/>
      <c r="Y141" s="125"/>
      <c r="Z141" s="125"/>
      <c r="AA141" s="125"/>
      <c r="AB141" s="125"/>
      <c r="AC141" s="125"/>
      <c r="AD141" s="125"/>
      <c r="AE141" s="125"/>
      <c r="AF141" s="125"/>
      <c r="AG141" s="125"/>
      <c r="AH141" s="125"/>
      <c r="AI141" s="125"/>
      <c r="AJ141" s="125"/>
      <c r="AK141" s="125"/>
      <c r="AL141" s="125"/>
      <c r="AM141" s="125"/>
      <c r="AN141" s="125"/>
      <c r="AO141" s="125"/>
      <c r="AP141" s="125"/>
      <c r="AQ141" s="125"/>
      <c r="AR141" s="125"/>
      <c r="AS141" s="125"/>
      <c r="AT141" s="125"/>
      <c r="AU141" s="125"/>
      <c r="AV141" s="125"/>
      <c r="AW141" s="125"/>
      <c r="AX141" s="125"/>
      <c r="AY141" s="125"/>
      <c r="AZ141" s="125"/>
      <c r="BA141" s="125"/>
      <c r="BB141" s="125"/>
      <c r="BC141" s="125"/>
      <c r="BD141" s="125"/>
      <c r="BE141" s="125"/>
      <c r="BF141" s="125"/>
      <c r="BG141" s="125"/>
      <c r="BH141" s="125"/>
    </row>
    <row r="142" spans="1:60" s="124" customFormat="1" ht="302.25">
      <c r="A142" s="232" t="s">
        <v>447</v>
      </c>
      <c r="B142" s="231">
        <v>2570</v>
      </c>
      <c r="C142" s="100" t="s">
        <v>555</v>
      </c>
      <c r="D142" s="100"/>
      <c r="E142" s="100" t="s">
        <v>667</v>
      </c>
      <c r="F142" s="100" t="s">
        <v>666</v>
      </c>
      <c r="G142" s="100" t="s">
        <v>1020</v>
      </c>
      <c r="H142" s="100" t="s">
        <v>458</v>
      </c>
      <c r="I142" s="100"/>
      <c r="J142" s="100" t="s">
        <v>440</v>
      </c>
      <c r="K142" s="96" t="s">
        <v>40</v>
      </c>
      <c r="L142" s="99">
        <f t="shared" si="2"/>
        <v>140400</v>
      </c>
      <c r="M142" s="98">
        <f t="shared" si="3"/>
        <v>18</v>
      </c>
      <c r="N142" s="96" t="s">
        <v>553</v>
      </c>
      <c r="O142" s="98"/>
      <c r="P142" s="97" t="s">
        <v>472</v>
      </c>
      <c r="Q142" s="98">
        <v>18</v>
      </c>
      <c r="R142" s="98"/>
      <c r="S142" s="96" t="s">
        <v>1017</v>
      </c>
      <c r="T142" s="95">
        <v>7800</v>
      </c>
      <c r="U142" s="131" t="s">
        <v>1021</v>
      </c>
      <c r="V142" s="217"/>
      <c r="W142" s="217"/>
      <c r="X142" s="125"/>
      <c r="Y142" s="125"/>
      <c r="Z142" s="125"/>
      <c r="AA142" s="125"/>
      <c r="AB142" s="125"/>
      <c r="AC142" s="125"/>
      <c r="AD142" s="125"/>
      <c r="AE142" s="125"/>
      <c r="AF142" s="125"/>
      <c r="AG142" s="125"/>
      <c r="AH142" s="125"/>
      <c r="AI142" s="125"/>
      <c r="AJ142" s="125"/>
      <c r="AK142" s="125"/>
      <c r="AL142" s="125"/>
      <c r="AM142" s="125"/>
      <c r="AN142" s="125"/>
      <c r="AO142" s="125"/>
      <c r="AP142" s="125"/>
      <c r="AQ142" s="125"/>
      <c r="AR142" s="125"/>
      <c r="AS142" s="125"/>
      <c r="AT142" s="125"/>
      <c r="AU142" s="125"/>
      <c r="AV142" s="125"/>
      <c r="AW142" s="125"/>
      <c r="AX142" s="125"/>
      <c r="AY142" s="125"/>
      <c r="AZ142" s="125"/>
      <c r="BA142" s="125"/>
      <c r="BB142" s="125"/>
      <c r="BC142" s="125"/>
      <c r="BD142" s="125"/>
      <c r="BE142" s="125"/>
      <c r="BF142" s="125"/>
      <c r="BG142" s="125"/>
      <c r="BH142" s="125"/>
    </row>
    <row r="143" spans="1:60" s="124" customFormat="1" ht="116.25">
      <c r="A143" s="232" t="s">
        <v>447</v>
      </c>
      <c r="B143" s="231">
        <v>2570</v>
      </c>
      <c r="C143" s="100" t="s">
        <v>555</v>
      </c>
      <c r="D143" s="100"/>
      <c r="E143" s="100" t="s">
        <v>667</v>
      </c>
      <c r="F143" s="100" t="s">
        <v>666</v>
      </c>
      <c r="G143" s="100" t="s">
        <v>1020</v>
      </c>
      <c r="H143" s="100" t="s">
        <v>50</v>
      </c>
      <c r="I143" s="100"/>
      <c r="J143" s="100" t="s">
        <v>46</v>
      </c>
      <c r="K143" s="96" t="s">
        <v>40</v>
      </c>
      <c r="L143" s="99">
        <f t="shared" si="2"/>
        <v>165000</v>
      </c>
      <c r="M143" s="98">
        <f t="shared" si="3"/>
        <v>30</v>
      </c>
      <c r="N143" s="96" t="s">
        <v>553</v>
      </c>
      <c r="O143" s="98"/>
      <c r="P143" s="97" t="s">
        <v>472</v>
      </c>
      <c r="Q143" s="98">
        <v>9</v>
      </c>
      <c r="R143" s="98">
        <v>21</v>
      </c>
      <c r="S143" s="96" t="s">
        <v>1019</v>
      </c>
      <c r="T143" s="95">
        <v>5500</v>
      </c>
      <c r="U143" s="131" t="s">
        <v>1018</v>
      </c>
      <c r="V143" s="217"/>
      <c r="W143" s="217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25"/>
      <c r="AK143" s="125"/>
      <c r="AL143" s="125"/>
      <c r="AM143" s="125"/>
      <c r="AN143" s="125"/>
      <c r="AO143" s="125"/>
      <c r="AP143" s="125"/>
      <c r="AQ143" s="125"/>
      <c r="AR143" s="125"/>
      <c r="AS143" s="125"/>
      <c r="AT143" s="125"/>
      <c r="AU143" s="125"/>
      <c r="AV143" s="125"/>
      <c r="AW143" s="125"/>
      <c r="AX143" s="125"/>
      <c r="AY143" s="125"/>
      <c r="AZ143" s="125"/>
      <c r="BA143" s="125"/>
      <c r="BB143" s="125"/>
      <c r="BC143" s="125"/>
      <c r="BD143" s="125"/>
      <c r="BE143" s="125"/>
      <c r="BF143" s="125"/>
      <c r="BG143" s="125"/>
      <c r="BH143" s="125"/>
    </row>
    <row r="144" spans="1:60" s="124" customFormat="1" ht="116.25">
      <c r="A144" s="232" t="s">
        <v>447</v>
      </c>
      <c r="B144" s="231">
        <v>2570</v>
      </c>
      <c r="C144" s="100" t="s">
        <v>555</v>
      </c>
      <c r="D144" s="100"/>
      <c r="E144" s="100" t="s">
        <v>667</v>
      </c>
      <c r="F144" s="100" t="s">
        <v>666</v>
      </c>
      <c r="G144" s="100" t="s">
        <v>1011</v>
      </c>
      <c r="H144" s="100" t="s">
        <v>365</v>
      </c>
      <c r="I144" s="100"/>
      <c r="J144" s="100" t="s">
        <v>110</v>
      </c>
      <c r="K144" s="96" t="s">
        <v>63</v>
      </c>
      <c r="L144" s="99">
        <f t="shared" si="2"/>
        <v>247500</v>
      </c>
      <c r="M144" s="98">
        <f t="shared" si="3"/>
        <v>33</v>
      </c>
      <c r="N144" s="96" t="s">
        <v>553</v>
      </c>
      <c r="O144" s="98"/>
      <c r="P144" s="97" t="s">
        <v>472</v>
      </c>
      <c r="Q144" s="98">
        <v>33</v>
      </c>
      <c r="R144" s="98"/>
      <c r="S144" s="149"/>
      <c r="T144" s="95">
        <v>7500</v>
      </c>
      <c r="U144" s="131" t="s">
        <v>953</v>
      </c>
      <c r="V144" s="217"/>
      <c r="W144" s="217"/>
      <c r="X144" s="125"/>
      <c r="Y144" s="125"/>
      <c r="Z144" s="125"/>
      <c r="AA144" s="125"/>
      <c r="AB144" s="125"/>
      <c r="AC144" s="125"/>
      <c r="AD144" s="125"/>
      <c r="AE144" s="125"/>
      <c r="AF144" s="125"/>
      <c r="AG144" s="125"/>
      <c r="AH144" s="125"/>
      <c r="AI144" s="125"/>
      <c r="AJ144" s="125"/>
      <c r="AK144" s="125"/>
      <c r="AL144" s="125"/>
      <c r="AM144" s="125"/>
      <c r="AN144" s="125"/>
      <c r="AO144" s="125"/>
      <c r="AP144" s="125"/>
      <c r="AQ144" s="125"/>
      <c r="AR144" s="125"/>
      <c r="AS144" s="125"/>
      <c r="AT144" s="125"/>
      <c r="AU144" s="125"/>
      <c r="AV144" s="125"/>
      <c r="AW144" s="125"/>
      <c r="AX144" s="125"/>
      <c r="AY144" s="125"/>
      <c r="AZ144" s="125"/>
      <c r="BA144" s="125"/>
      <c r="BB144" s="125"/>
      <c r="BC144" s="125"/>
      <c r="BD144" s="125"/>
      <c r="BE144" s="125"/>
      <c r="BF144" s="125"/>
      <c r="BG144" s="125"/>
      <c r="BH144" s="125"/>
    </row>
    <row r="145" spans="1:60" s="124" customFormat="1" ht="302.25">
      <c r="A145" s="232" t="s">
        <v>447</v>
      </c>
      <c r="B145" s="231">
        <v>2570</v>
      </c>
      <c r="C145" s="100" t="s">
        <v>555</v>
      </c>
      <c r="D145" s="100"/>
      <c r="E145" s="100" t="s">
        <v>667</v>
      </c>
      <c r="F145" s="100" t="s">
        <v>666</v>
      </c>
      <c r="G145" s="100" t="s">
        <v>1011</v>
      </c>
      <c r="H145" s="100" t="s">
        <v>458</v>
      </c>
      <c r="I145" s="100"/>
      <c r="J145" s="100" t="s">
        <v>440</v>
      </c>
      <c r="K145" s="96" t="s">
        <v>40</v>
      </c>
      <c r="L145" s="99">
        <f t="shared" si="2"/>
        <v>35100</v>
      </c>
      <c r="M145" s="98">
        <f t="shared" si="3"/>
        <v>9</v>
      </c>
      <c r="N145" s="96" t="s">
        <v>553</v>
      </c>
      <c r="O145" s="96"/>
      <c r="P145" s="97" t="s">
        <v>472</v>
      </c>
      <c r="Q145" s="96">
        <v>9</v>
      </c>
      <c r="R145" s="96"/>
      <c r="S145" s="96" t="s">
        <v>1017</v>
      </c>
      <c r="T145" s="95">
        <v>3900</v>
      </c>
      <c r="U145" s="94" t="s">
        <v>1016</v>
      </c>
      <c r="V145" s="217"/>
      <c r="W145" s="217"/>
      <c r="X145" s="125"/>
      <c r="Y145" s="125"/>
      <c r="Z145" s="125"/>
      <c r="AA145" s="125"/>
      <c r="AB145" s="125"/>
      <c r="AC145" s="125"/>
      <c r="AD145" s="125"/>
      <c r="AE145" s="125"/>
      <c r="AF145" s="125"/>
      <c r="AG145" s="125"/>
      <c r="AH145" s="125"/>
      <c r="AI145" s="125"/>
      <c r="AJ145" s="125"/>
      <c r="AK145" s="125"/>
      <c r="AL145" s="125"/>
      <c r="AM145" s="125"/>
      <c r="AN145" s="125"/>
      <c r="AO145" s="125"/>
      <c r="AP145" s="125"/>
      <c r="AQ145" s="125"/>
      <c r="AR145" s="125"/>
      <c r="AS145" s="125"/>
      <c r="AT145" s="125"/>
      <c r="AU145" s="125"/>
      <c r="AV145" s="125"/>
      <c r="AW145" s="125"/>
      <c r="AX145" s="125"/>
      <c r="AY145" s="125"/>
      <c r="AZ145" s="125"/>
      <c r="BA145" s="125"/>
      <c r="BB145" s="125"/>
      <c r="BC145" s="125"/>
      <c r="BD145" s="125"/>
      <c r="BE145" s="125"/>
      <c r="BF145" s="125"/>
      <c r="BG145" s="125"/>
      <c r="BH145" s="125"/>
    </row>
    <row r="146" spans="1:60" s="124" customFormat="1" ht="116.25">
      <c r="A146" s="232" t="s">
        <v>447</v>
      </c>
      <c r="B146" s="231">
        <v>2570</v>
      </c>
      <c r="C146" s="100" t="s">
        <v>555</v>
      </c>
      <c r="D146" s="100"/>
      <c r="E146" s="100" t="s">
        <v>667</v>
      </c>
      <c r="F146" s="100" t="s">
        <v>666</v>
      </c>
      <c r="G146" s="100" t="s">
        <v>1011</v>
      </c>
      <c r="H146" s="100" t="s">
        <v>232</v>
      </c>
      <c r="I146" s="100"/>
      <c r="J146" s="100" t="s">
        <v>230</v>
      </c>
      <c r="K146" s="96" t="s">
        <v>13</v>
      </c>
      <c r="L146" s="99">
        <f t="shared" si="2"/>
        <v>3500</v>
      </c>
      <c r="M146" s="98">
        <f t="shared" si="3"/>
        <v>1</v>
      </c>
      <c r="N146" s="96" t="s">
        <v>553</v>
      </c>
      <c r="O146" s="96"/>
      <c r="P146" s="97" t="s">
        <v>472</v>
      </c>
      <c r="Q146" s="96">
        <v>1</v>
      </c>
      <c r="R146" s="96">
        <v>0</v>
      </c>
      <c r="S146" s="134"/>
      <c r="T146" s="95">
        <v>3500</v>
      </c>
      <c r="U146" s="94" t="s">
        <v>1013</v>
      </c>
      <c r="V146" s="217"/>
      <c r="W146" s="217"/>
      <c r="X146" s="125"/>
      <c r="Y146" s="125"/>
      <c r="Z146" s="125"/>
      <c r="AA146" s="125"/>
      <c r="AB146" s="125"/>
      <c r="AC146" s="125"/>
      <c r="AD146" s="125"/>
      <c r="AE146" s="125"/>
      <c r="AF146" s="125"/>
      <c r="AG146" s="125"/>
      <c r="AH146" s="125"/>
      <c r="AI146" s="125"/>
      <c r="AJ146" s="125"/>
      <c r="AK146" s="125"/>
      <c r="AL146" s="125"/>
      <c r="AM146" s="125"/>
      <c r="AN146" s="125"/>
      <c r="AO146" s="125"/>
      <c r="AP146" s="125"/>
      <c r="AQ146" s="125"/>
      <c r="AR146" s="125"/>
      <c r="AS146" s="125"/>
      <c r="AT146" s="125"/>
      <c r="AU146" s="125"/>
      <c r="AV146" s="125"/>
      <c r="AW146" s="125"/>
      <c r="AX146" s="125"/>
      <c r="AY146" s="125"/>
      <c r="AZ146" s="125"/>
      <c r="BA146" s="125"/>
      <c r="BB146" s="125"/>
      <c r="BC146" s="125"/>
      <c r="BD146" s="125"/>
      <c r="BE146" s="125"/>
      <c r="BF146" s="125"/>
      <c r="BG146" s="125"/>
      <c r="BH146" s="125"/>
    </row>
    <row r="147" spans="1:60" s="124" customFormat="1" ht="116.25">
      <c r="A147" s="232" t="s">
        <v>447</v>
      </c>
      <c r="B147" s="231">
        <v>2570</v>
      </c>
      <c r="C147" s="100" t="s">
        <v>555</v>
      </c>
      <c r="D147" s="100"/>
      <c r="E147" s="100" t="s">
        <v>667</v>
      </c>
      <c r="F147" s="100" t="s">
        <v>666</v>
      </c>
      <c r="G147" s="100" t="s">
        <v>1011</v>
      </c>
      <c r="H147" s="100" t="s">
        <v>350</v>
      </c>
      <c r="I147" s="100"/>
      <c r="J147" s="100" t="s">
        <v>103</v>
      </c>
      <c r="K147" s="96" t="s">
        <v>63</v>
      </c>
      <c r="L147" s="99">
        <f t="shared" si="2"/>
        <v>132000</v>
      </c>
      <c r="M147" s="98">
        <f t="shared" si="3"/>
        <v>24</v>
      </c>
      <c r="N147" s="96" t="s">
        <v>553</v>
      </c>
      <c r="O147" s="96"/>
      <c r="P147" s="97" t="s">
        <v>472</v>
      </c>
      <c r="Q147" s="96"/>
      <c r="R147" s="96">
        <v>24</v>
      </c>
      <c r="S147" s="96"/>
      <c r="T147" s="95">
        <v>5500</v>
      </c>
      <c r="U147" s="109" t="s">
        <v>1015</v>
      </c>
      <c r="V147" s="217"/>
      <c r="W147" s="217"/>
      <c r="X147" s="125"/>
      <c r="Y147" s="125"/>
      <c r="Z147" s="125"/>
      <c r="AA147" s="125"/>
      <c r="AB147" s="125"/>
      <c r="AC147" s="125"/>
      <c r="AD147" s="125"/>
      <c r="AE147" s="125"/>
      <c r="AF147" s="125"/>
      <c r="AG147" s="125"/>
      <c r="AH147" s="125"/>
      <c r="AI147" s="125"/>
      <c r="AJ147" s="125"/>
      <c r="AK147" s="125"/>
      <c r="AL147" s="125"/>
      <c r="AM147" s="125"/>
      <c r="AN147" s="125"/>
      <c r="AO147" s="125"/>
      <c r="AP147" s="125"/>
      <c r="AQ147" s="125"/>
      <c r="AR147" s="125"/>
      <c r="AS147" s="125"/>
      <c r="AT147" s="125"/>
      <c r="AU147" s="125"/>
      <c r="AV147" s="125"/>
      <c r="AW147" s="125"/>
      <c r="AX147" s="125"/>
      <c r="AY147" s="125"/>
      <c r="AZ147" s="125"/>
      <c r="BA147" s="125"/>
      <c r="BB147" s="125"/>
      <c r="BC147" s="125"/>
      <c r="BD147" s="125"/>
      <c r="BE147" s="125"/>
      <c r="BF147" s="125"/>
      <c r="BG147" s="125"/>
      <c r="BH147" s="125"/>
    </row>
    <row r="148" spans="1:60" s="124" customFormat="1" ht="116.25">
      <c r="A148" s="232" t="s">
        <v>447</v>
      </c>
      <c r="B148" s="231">
        <v>2570</v>
      </c>
      <c r="C148" s="100" t="s">
        <v>555</v>
      </c>
      <c r="D148" s="100"/>
      <c r="E148" s="100" t="s">
        <v>667</v>
      </c>
      <c r="F148" s="100" t="s">
        <v>666</v>
      </c>
      <c r="G148" s="100" t="s">
        <v>1011</v>
      </c>
      <c r="H148" s="100" t="s">
        <v>464</v>
      </c>
      <c r="I148" s="100"/>
      <c r="J148" s="100" t="s">
        <v>437</v>
      </c>
      <c r="K148" s="96" t="s">
        <v>63</v>
      </c>
      <c r="L148" s="99">
        <f t="shared" si="2"/>
        <v>74030</v>
      </c>
      <c r="M148" s="98">
        <f t="shared" si="3"/>
        <v>11</v>
      </c>
      <c r="N148" s="96" t="s">
        <v>553</v>
      </c>
      <c r="O148" s="96"/>
      <c r="P148" s="97" t="s">
        <v>472</v>
      </c>
      <c r="Q148" s="96">
        <v>4</v>
      </c>
      <c r="R148" s="96">
        <v>7</v>
      </c>
      <c r="S148" s="134"/>
      <c r="T148" s="104">
        <v>6730</v>
      </c>
      <c r="U148" s="94" t="s">
        <v>1014</v>
      </c>
      <c r="V148" s="217"/>
      <c r="W148" s="217"/>
      <c r="X148" s="125"/>
      <c r="Y148" s="125"/>
      <c r="Z148" s="125"/>
      <c r="AA148" s="125"/>
      <c r="AB148" s="125"/>
      <c r="AC148" s="125"/>
      <c r="AD148" s="125"/>
      <c r="AE148" s="125"/>
      <c r="AF148" s="125"/>
      <c r="AG148" s="125"/>
      <c r="AH148" s="125"/>
      <c r="AI148" s="125"/>
      <c r="AJ148" s="125"/>
      <c r="AK148" s="125"/>
      <c r="AL148" s="125"/>
      <c r="AM148" s="125"/>
      <c r="AN148" s="125"/>
      <c r="AO148" s="125"/>
      <c r="AP148" s="125"/>
      <c r="AQ148" s="125"/>
      <c r="AR148" s="125"/>
      <c r="AS148" s="125"/>
      <c r="AT148" s="125"/>
      <c r="AU148" s="125"/>
      <c r="AV148" s="125"/>
      <c r="AW148" s="125"/>
      <c r="AX148" s="125"/>
      <c r="AY148" s="125"/>
      <c r="AZ148" s="125"/>
      <c r="BA148" s="125"/>
      <c r="BB148" s="125"/>
      <c r="BC148" s="125"/>
      <c r="BD148" s="125"/>
      <c r="BE148" s="125"/>
      <c r="BF148" s="125"/>
      <c r="BG148" s="125"/>
      <c r="BH148" s="125"/>
    </row>
    <row r="149" spans="1:60" s="124" customFormat="1" ht="116.25">
      <c r="A149" s="232" t="s">
        <v>447</v>
      </c>
      <c r="B149" s="231">
        <v>2570</v>
      </c>
      <c r="C149" s="100" t="s">
        <v>555</v>
      </c>
      <c r="D149" s="100"/>
      <c r="E149" s="100" t="s">
        <v>667</v>
      </c>
      <c r="F149" s="100" t="s">
        <v>666</v>
      </c>
      <c r="G149" s="100" t="s">
        <v>1011</v>
      </c>
      <c r="H149" s="100" t="s">
        <v>265</v>
      </c>
      <c r="I149" s="100"/>
      <c r="J149" s="100" t="s">
        <v>263</v>
      </c>
      <c r="K149" s="96" t="s">
        <v>63</v>
      </c>
      <c r="L149" s="99">
        <f t="shared" si="2"/>
        <v>79500</v>
      </c>
      <c r="M149" s="98">
        <f t="shared" si="3"/>
        <v>10</v>
      </c>
      <c r="N149" s="96" t="s">
        <v>553</v>
      </c>
      <c r="O149" s="98"/>
      <c r="P149" s="97" t="s">
        <v>472</v>
      </c>
      <c r="Q149" s="98"/>
      <c r="R149" s="98">
        <v>10</v>
      </c>
      <c r="S149" s="98"/>
      <c r="T149" s="95">
        <v>7950</v>
      </c>
      <c r="U149" s="109" t="s">
        <v>1013</v>
      </c>
      <c r="V149" s="217"/>
      <c r="W149" s="217"/>
      <c r="X149" s="125"/>
      <c r="Y149" s="125"/>
      <c r="Z149" s="125"/>
      <c r="AA149" s="125"/>
      <c r="AB149" s="125"/>
      <c r="AC149" s="125"/>
      <c r="AD149" s="125"/>
      <c r="AE149" s="125"/>
      <c r="AF149" s="125"/>
      <c r="AG149" s="125"/>
      <c r="AH149" s="125"/>
      <c r="AI149" s="125"/>
      <c r="AJ149" s="125"/>
      <c r="AK149" s="125"/>
      <c r="AL149" s="125"/>
      <c r="AM149" s="125"/>
      <c r="AN149" s="125"/>
      <c r="AO149" s="125"/>
      <c r="AP149" s="125"/>
      <c r="AQ149" s="125"/>
      <c r="AR149" s="125"/>
      <c r="AS149" s="125"/>
      <c r="AT149" s="125"/>
      <c r="AU149" s="125"/>
      <c r="AV149" s="125"/>
      <c r="AW149" s="125"/>
      <c r="AX149" s="125"/>
      <c r="AY149" s="125"/>
      <c r="AZ149" s="125"/>
      <c r="BA149" s="125"/>
      <c r="BB149" s="125"/>
      <c r="BC149" s="125"/>
      <c r="BD149" s="125"/>
      <c r="BE149" s="125"/>
      <c r="BF149" s="125"/>
      <c r="BG149" s="125"/>
      <c r="BH149" s="125"/>
    </row>
    <row r="150" spans="1:60" s="124" customFormat="1" ht="116.25">
      <c r="A150" s="232" t="s">
        <v>447</v>
      </c>
      <c r="B150" s="231">
        <v>2570</v>
      </c>
      <c r="C150" s="100" t="s">
        <v>555</v>
      </c>
      <c r="D150" s="100"/>
      <c r="E150" s="100" t="s">
        <v>667</v>
      </c>
      <c r="F150" s="100" t="s">
        <v>666</v>
      </c>
      <c r="G150" s="100" t="s">
        <v>1011</v>
      </c>
      <c r="H150" s="100" t="s">
        <v>148</v>
      </c>
      <c r="I150" s="100"/>
      <c r="J150" s="100" t="s">
        <v>146</v>
      </c>
      <c r="K150" s="96" t="s">
        <v>63</v>
      </c>
      <c r="L150" s="99">
        <f t="shared" si="2"/>
        <v>38000</v>
      </c>
      <c r="M150" s="98">
        <f t="shared" si="3"/>
        <v>10</v>
      </c>
      <c r="N150" s="96" t="s">
        <v>553</v>
      </c>
      <c r="O150" s="98"/>
      <c r="P150" s="97" t="s">
        <v>472</v>
      </c>
      <c r="Q150" s="98">
        <v>10</v>
      </c>
      <c r="R150" s="98"/>
      <c r="S150" s="149"/>
      <c r="T150" s="95">
        <v>3800</v>
      </c>
      <c r="U150" s="131" t="s">
        <v>1012</v>
      </c>
      <c r="V150" s="217"/>
      <c r="W150" s="217"/>
      <c r="X150" s="125"/>
      <c r="Y150" s="125"/>
      <c r="Z150" s="125"/>
      <c r="AA150" s="125"/>
      <c r="AB150" s="125"/>
      <c r="AC150" s="125"/>
      <c r="AD150" s="125"/>
      <c r="AE150" s="125"/>
      <c r="AF150" s="125"/>
      <c r="AG150" s="125"/>
      <c r="AH150" s="125"/>
      <c r="AI150" s="125"/>
      <c r="AJ150" s="125"/>
      <c r="AK150" s="125"/>
      <c r="AL150" s="125"/>
      <c r="AM150" s="125"/>
      <c r="AN150" s="125"/>
      <c r="AO150" s="125"/>
      <c r="AP150" s="125"/>
      <c r="AQ150" s="125"/>
      <c r="AR150" s="125"/>
      <c r="AS150" s="125"/>
      <c r="AT150" s="125"/>
      <c r="AU150" s="125"/>
      <c r="AV150" s="125"/>
      <c r="AW150" s="125"/>
      <c r="AX150" s="125"/>
      <c r="AY150" s="125"/>
      <c r="AZ150" s="125"/>
      <c r="BA150" s="125"/>
      <c r="BB150" s="125"/>
      <c r="BC150" s="125"/>
      <c r="BD150" s="125"/>
      <c r="BE150" s="125"/>
      <c r="BF150" s="125"/>
      <c r="BG150" s="125"/>
      <c r="BH150" s="125"/>
    </row>
    <row r="151" spans="1:60" s="124" customFormat="1" ht="116.25">
      <c r="A151" s="232" t="s">
        <v>447</v>
      </c>
      <c r="B151" s="231">
        <v>2570</v>
      </c>
      <c r="C151" s="100" t="s">
        <v>555</v>
      </c>
      <c r="D151" s="100"/>
      <c r="E151" s="100" t="s">
        <v>667</v>
      </c>
      <c r="F151" s="100" t="s">
        <v>666</v>
      </c>
      <c r="G151" s="100" t="s">
        <v>1011</v>
      </c>
      <c r="H151" s="100" t="s">
        <v>18</v>
      </c>
      <c r="I151" s="100"/>
      <c r="J151" s="100" t="s">
        <v>14</v>
      </c>
      <c r="K151" s="96" t="s">
        <v>13</v>
      </c>
      <c r="L151" s="99">
        <f t="shared" si="2"/>
        <v>50000</v>
      </c>
      <c r="M151" s="98">
        <f t="shared" si="3"/>
        <v>10</v>
      </c>
      <c r="N151" s="96" t="s">
        <v>553</v>
      </c>
      <c r="O151" s="98"/>
      <c r="P151" s="97" t="s">
        <v>472</v>
      </c>
      <c r="Q151" s="98"/>
      <c r="R151" s="98">
        <v>10</v>
      </c>
      <c r="S151" s="98"/>
      <c r="T151" s="95">
        <v>5000</v>
      </c>
      <c r="U151" s="131" t="s">
        <v>994</v>
      </c>
      <c r="V151" s="217"/>
      <c r="W151" s="217"/>
      <c r="X151" s="125"/>
      <c r="Y151" s="125"/>
      <c r="Z151" s="125"/>
      <c r="AA151" s="125"/>
      <c r="AB151" s="125"/>
      <c r="AC151" s="125"/>
      <c r="AD151" s="125"/>
      <c r="AE151" s="125"/>
      <c r="AF151" s="125"/>
      <c r="AG151" s="125"/>
      <c r="AH151" s="125"/>
      <c r="AI151" s="125"/>
      <c r="AJ151" s="125"/>
      <c r="AK151" s="125"/>
      <c r="AL151" s="125"/>
      <c r="AM151" s="125"/>
      <c r="AN151" s="125"/>
      <c r="AO151" s="125"/>
      <c r="AP151" s="125"/>
      <c r="AQ151" s="125"/>
      <c r="AR151" s="125"/>
      <c r="AS151" s="125"/>
      <c r="AT151" s="125"/>
      <c r="AU151" s="125"/>
      <c r="AV151" s="125"/>
      <c r="AW151" s="125"/>
      <c r="AX151" s="125"/>
      <c r="AY151" s="125"/>
      <c r="AZ151" s="125"/>
      <c r="BA151" s="125"/>
      <c r="BB151" s="125"/>
      <c r="BC151" s="125"/>
      <c r="BD151" s="125"/>
      <c r="BE151" s="125"/>
      <c r="BF151" s="125"/>
      <c r="BG151" s="125"/>
      <c r="BH151" s="125"/>
    </row>
    <row r="152" spans="1:60" s="124" customFormat="1" ht="116.25">
      <c r="A152" s="232" t="s">
        <v>447</v>
      </c>
      <c r="B152" s="231">
        <v>2570</v>
      </c>
      <c r="C152" s="100" t="s">
        <v>555</v>
      </c>
      <c r="D152" s="100"/>
      <c r="E152" s="100" t="s">
        <v>667</v>
      </c>
      <c r="F152" s="100" t="s">
        <v>666</v>
      </c>
      <c r="G152" s="100" t="s">
        <v>1010</v>
      </c>
      <c r="H152" s="100" t="s">
        <v>464</v>
      </c>
      <c r="I152" s="100"/>
      <c r="J152" s="100" t="s">
        <v>437</v>
      </c>
      <c r="K152" s="96" t="s">
        <v>63</v>
      </c>
      <c r="L152" s="99">
        <f t="shared" si="2"/>
        <v>110570</v>
      </c>
      <c r="M152" s="98">
        <f t="shared" si="3"/>
        <v>1</v>
      </c>
      <c r="N152" s="96" t="s">
        <v>553</v>
      </c>
      <c r="O152" s="96"/>
      <c r="P152" s="97" t="s">
        <v>472</v>
      </c>
      <c r="Q152" s="96">
        <v>1</v>
      </c>
      <c r="R152" s="96"/>
      <c r="S152" s="96" t="s">
        <v>1009</v>
      </c>
      <c r="T152" s="95">
        <v>110570</v>
      </c>
      <c r="U152" s="94" t="s">
        <v>1008</v>
      </c>
      <c r="V152" s="217"/>
      <c r="W152" s="217"/>
      <c r="X152" s="125"/>
      <c r="Y152" s="125"/>
      <c r="Z152" s="125"/>
      <c r="AA152" s="125"/>
      <c r="AB152" s="125"/>
      <c r="AC152" s="125"/>
      <c r="AD152" s="125"/>
      <c r="AE152" s="125"/>
      <c r="AF152" s="125"/>
      <c r="AG152" s="125"/>
      <c r="AH152" s="125"/>
      <c r="AI152" s="125"/>
      <c r="AJ152" s="125"/>
      <c r="AK152" s="125"/>
      <c r="AL152" s="125"/>
      <c r="AM152" s="125"/>
      <c r="AN152" s="125"/>
      <c r="AO152" s="125"/>
      <c r="AP152" s="125"/>
      <c r="AQ152" s="125"/>
      <c r="AR152" s="125"/>
      <c r="AS152" s="125"/>
      <c r="AT152" s="125"/>
      <c r="AU152" s="125"/>
      <c r="AV152" s="125"/>
      <c r="AW152" s="125"/>
      <c r="AX152" s="125"/>
      <c r="AY152" s="125"/>
      <c r="AZ152" s="125"/>
      <c r="BA152" s="125"/>
      <c r="BB152" s="125"/>
      <c r="BC152" s="125"/>
      <c r="BD152" s="125"/>
      <c r="BE152" s="125"/>
      <c r="BF152" s="125"/>
      <c r="BG152" s="125"/>
      <c r="BH152" s="125"/>
    </row>
    <row r="153" spans="1:60" s="124" customFormat="1" ht="116.25">
      <c r="A153" s="232" t="s">
        <v>447</v>
      </c>
      <c r="B153" s="231">
        <v>2570</v>
      </c>
      <c r="C153" s="100" t="s">
        <v>555</v>
      </c>
      <c r="D153" s="100"/>
      <c r="E153" s="100" t="s">
        <v>667</v>
      </c>
      <c r="F153" s="100" t="s">
        <v>666</v>
      </c>
      <c r="G153" s="100" t="s">
        <v>1006</v>
      </c>
      <c r="H153" s="100" t="s">
        <v>255</v>
      </c>
      <c r="I153" s="100"/>
      <c r="J153" s="100" t="s">
        <v>253</v>
      </c>
      <c r="K153" s="96" t="s">
        <v>63</v>
      </c>
      <c r="L153" s="99">
        <f t="shared" si="2"/>
        <v>13980</v>
      </c>
      <c r="M153" s="98">
        <f t="shared" si="3"/>
        <v>2</v>
      </c>
      <c r="N153" s="96" t="s">
        <v>553</v>
      </c>
      <c r="O153" s="98"/>
      <c r="P153" s="97" t="s">
        <v>472</v>
      </c>
      <c r="Q153" s="98"/>
      <c r="R153" s="98">
        <v>2</v>
      </c>
      <c r="S153" s="98"/>
      <c r="T153" s="95">
        <v>6990</v>
      </c>
      <c r="U153" s="109" t="s">
        <v>802</v>
      </c>
      <c r="V153" s="217"/>
      <c r="W153" s="217"/>
      <c r="X153" s="125"/>
      <c r="Y153" s="125"/>
      <c r="Z153" s="125"/>
      <c r="AA153" s="125"/>
      <c r="AB153" s="125"/>
      <c r="AC153" s="125"/>
      <c r="AD153" s="125"/>
      <c r="AE153" s="125"/>
      <c r="AF153" s="125"/>
      <c r="AG153" s="125"/>
      <c r="AH153" s="125"/>
      <c r="AI153" s="125"/>
      <c r="AJ153" s="125"/>
      <c r="AK153" s="125"/>
      <c r="AL153" s="125"/>
      <c r="AM153" s="125"/>
      <c r="AN153" s="125"/>
      <c r="AO153" s="125"/>
      <c r="AP153" s="125"/>
      <c r="AQ153" s="125"/>
      <c r="AR153" s="125"/>
      <c r="AS153" s="125"/>
      <c r="AT153" s="125"/>
      <c r="AU153" s="125"/>
      <c r="AV153" s="125"/>
      <c r="AW153" s="125"/>
      <c r="AX153" s="125"/>
      <c r="AY153" s="125"/>
      <c r="AZ153" s="125"/>
      <c r="BA153" s="125"/>
      <c r="BB153" s="125"/>
      <c r="BC153" s="125"/>
      <c r="BD153" s="125"/>
      <c r="BE153" s="125"/>
      <c r="BF153" s="125"/>
      <c r="BG153" s="125"/>
      <c r="BH153" s="125"/>
    </row>
    <row r="154" spans="1:60" s="124" customFormat="1" ht="116.25">
      <c r="A154" s="232" t="s">
        <v>447</v>
      </c>
      <c r="B154" s="231">
        <v>2570</v>
      </c>
      <c r="C154" s="100" t="s">
        <v>555</v>
      </c>
      <c r="D154" s="100"/>
      <c r="E154" s="100" t="s">
        <v>667</v>
      </c>
      <c r="F154" s="100" t="s">
        <v>666</v>
      </c>
      <c r="G154" s="100" t="s">
        <v>1006</v>
      </c>
      <c r="H154" s="100" t="s">
        <v>385</v>
      </c>
      <c r="I154" s="100"/>
      <c r="J154" s="100" t="s">
        <v>383</v>
      </c>
      <c r="K154" s="96" t="s">
        <v>149</v>
      </c>
      <c r="L154" s="99">
        <f t="shared" si="2"/>
        <v>9800</v>
      </c>
      <c r="M154" s="98">
        <f t="shared" si="3"/>
        <v>2</v>
      </c>
      <c r="N154" s="96" t="s">
        <v>553</v>
      </c>
      <c r="O154" s="96"/>
      <c r="P154" s="97" t="s">
        <v>472</v>
      </c>
      <c r="Q154" s="96"/>
      <c r="R154" s="96">
        <v>2</v>
      </c>
      <c r="S154" s="96"/>
      <c r="T154" s="95">
        <v>4900</v>
      </c>
      <c r="U154" s="94" t="s">
        <v>1007</v>
      </c>
      <c r="V154" s="217"/>
      <c r="W154" s="217"/>
      <c r="X154" s="125"/>
      <c r="Y154" s="125"/>
      <c r="Z154" s="125"/>
      <c r="AA154" s="125"/>
      <c r="AB154" s="125"/>
      <c r="AC154" s="125"/>
      <c r="AD154" s="125"/>
      <c r="AE154" s="125"/>
      <c r="AF154" s="125"/>
      <c r="AG154" s="125"/>
      <c r="AH154" s="125"/>
      <c r="AI154" s="125"/>
      <c r="AJ154" s="125"/>
      <c r="AK154" s="125"/>
      <c r="AL154" s="125"/>
      <c r="AM154" s="125"/>
      <c r="AN154" s="125"/>
      <c r="AO154" s="125"/>
      <c r="AP154" s="125"/>
      <c r="AQ154" s="125"/>
      <c r="AR154" s="125"/>
      <c r="AS154" s="125"/>
      <c r="AT154" s="125"/>
      <c r="AU154" s="125"/>
      <c r="AV154" s="125"/>
      <c r="AW154" s="125"/>
      <c r="AX154" s="125"/>
      <c r="AY154" s="125"/>
      <c r="AZ154" s="125"/>
      <c r="BA154" s="125"/>
      <c r="BB154" s="125"/>
      <c r="BC154" s="125"/>
      <c r="BD154" s="125"/>
      <c r="BE154" s="125"/>
      <c r="BF154" s="125"/>
      <c r="BG154" s="125"/>
      <c r="BH154" s="125"/>
    </row>
    <row r="155" spans="1:60" s="124" customFormat="1" ht="116.25">
      <c r="A155" s="232" t="s">
        <v>447</v>
      </c>
      <c r="B155" s="231">
        <v>2570</v>
      </c>
      <c r="C155" s="100" t="s">
        <v>555</v>
      </c>
      <c r="D155" s="100"/>
      <c r="E155" s="100" t="s">
        <v>667</v>
      </c>
      <c r="F155" s="100" t="s">
        <v>666</v>
      </c>
      <c r="G155" s="100" t="s">
        <v>1006</v>
      </c>
      <c r="H155" s="100" t="s">
        <v>456</v>
      </c>
      <c r="I155" s="100"/>
      <c r="J155" s="100" t="s">
        <v>442</v>
      </c>
      <c r="K155" s="96" t="s">
        <v>40</v>
      </c>
      <c r="L155" s="99">
        <f t="shared" si="2"/>
        <v>22400</v>
      </c>
      <c r="M155" s="98">
        <f t="shared" si="3"/>
        <v>8</v>
      </c>
      <c r="N155" s="96" t="s">
        <v>553</v>
      </c>
      <c r="O155" s="96"/>
      <c r="P155" s="97" t="s">
        <v>472</v>
      </c>
      <c r="Q155" s="96"/>
      <c r="R155" s="96">
        <v>8</v>
      </c>
      <c r="S155" s="96"/>
      <c r="T155" s="95">
        <v>2800</v>
      </c>
      <c r="U155" s="94" t="s">
        <v>1004</v>
      </c>
      <c r="V155" s="217"/>
      <c r="W155" s="217"/>
      <c r="X155" s="125"/>
      <c r="Y155" s="125"/>
      <c r="Z155" s="125"/>
      <c r="AA155" s="125"/>
      <c r="AB155" s="125"/>
      <c r="AC155" s="125"/>
      <c r="AD155" s="125"/>
      <c r="AE155" s="125"/>
      <c r="AF155" s="125"/>
      <c r="AG155" s="125"/>
      <c r="AH155" s="125"/>
      <c r="AI155" s="125"/>
      <c r="AJ155" s="125"/>
      <c r="AK155" s="125"/>
      <c r="AL155" s="125"/>
      <c r="AM155" s="125"/>
      <c r="AN155" s="125"/>
      <c r="AO155" s="125"/>
      <c r="AP155" s="125"/>
      <c r="AQ155" s="125"/>
      <c r="AR155" s="125"/>
      <c r="AS155" s="125"/>
      <c r="AT155" s="125"/>
      <c r="AU155" s="125"/>
      <c r="AV155" s="125"/>
      <c r="AW155" s="125"/>
      <c r="AX155" s="125"/>
      <c r="AY155" s="125"/>
      <c r="AZ155" s="125"/>
      <c r="BA155" s="125"/>
      <c r="BB155" s="125"/>
      <c r="BC155" s="125"/>
      <c r="BD155" s="125"/>
      <c r="BE155" s="125"/>
      <c r="BF155" s="125"/>
      <c r="BG155" s="125"/>
      <c r="BH155" s="125"/>
    </row>
    <row r="156" spans="1:60" s="124" customFormat="1" ht="116.25">
      <c r="A156" s="232" t="s">
        <v>447</v>
      </c>
      <c r="B156" s="231">
        <v>2570</v>
      </c>
      <c r="C156" s="100" t="s">
        <v>555</v>
      </c>
      <c r="D156" s="100"/>
      <c r="E156" s="100" t="s">
        <v>667</v>
      </c>
      <c r="F156" s="100" t="s">
        <v>666</v>
      </c>
      <c r="G156" s="100" t="s">
        <v>1005</v>
      </c>
      <c r="H156" s="100" t="s">
        <v>456</v>
      </c>
      <c r="I156" s="100"/>
      <c r="J156" s="100" t="s">
        <v>442</v>
      </c>
      <c r="K156" s="96" t="s">
        <v>40</v>
      </c>
      <c r="L156" s="99">
        <f t="shared" si="2"/>
        <v>2200</v>
      </c>
      <c r="M156" s="98">
        <f t="shared" si="3"/>
        <v>1</v>
      </c>
      <c r="N156" s="96" t="s">
        <v>553</v>
      </c>
      <c r="O156" s="96"/>
      <c r="P156" s="97" t="s">
        <v>472</v>
      </c>
      <c r="Q156" s="96"/>
      <c r="R156" s="96">
        <v>1</v>
      </c>
      <c r="S156" s="96"/>
      <c r="T156" s="95">
        <v>2200</v>
      </c>
      <c r="U156" s="94" t="s">
        <v>1004</v>
      </c>
      <c r="V156" s="217"/>
      <c r="W156" s="217"/>
      <c r="X156" s="125"/>
      <c r="Y156" s="125"/>
      <c r="Z156" s="125"/>
      <c r="AA156" s="125"/>
      <c r="AB156" s="125"/>
      <c r="AC156" s="125"/>
      <c r="AD156" s="125"/>
      <c r="AE156" s="125"/>
      <c r="AF156" s="125"/>
      <c r="AG156" s="125"/>
      <c r="AH156" s="125"/>
      <c r="AI156" s="125"/>
      <c r="AJ156" s="125"/>
      <c r="AK156" s="125"/>
      <c r="AL156" s="125"/>
      <c r="AM156" s="125"/>
      <c r="AN156" s="125"/>
      <c r="AO156" s="125"/>
      <c r="AP156" s="125"/>
      <c r="AQ156" s="125"/>
      <c r="AR156" s="125"/>
      <c r="AS156" s="125"/>
      <c r="AT156" s="125"/>
      <c r="AU156" s="125"/>
      <c r="AV156" s="125"/>
      <c r="AW156" s="125"/>
      <c r="AX156" s="125"/>
      <c r="AY156" s="125"/>
      <c r="AZ156" s="125"/>
      <c r="BA156" s="125"/>
      <c r="BB156" s="125"/>
      <c r="BC156" s="125"/>
      <c r="BD156" s="125"/>
      <c r="BE156" s="125"/>
      <c r="BF156" s="125"/>
      <c r="BG156" s="125"/>
      <c r="BH156" s="125"/>
    </row>
    <row r="157" spans="1:60" s="124" customFormat="1" ht="232.5">
      <c r="A157" s="232" t="s">
        <v>447</v>
      </c>
      <c r="B157" s="231">
        <v>2570</v>
      </c>
      <c r="C157" s="100" t="s">
        <v>555</v>
      </c>
      <c r="D157" s="100"/>
      <c r="E157" s="100" t="s">
        <v>667</v>
      </c>
      <c r="F157" s="100" t="s">
        <v>666</v>
      </c>
      <c r="G157" s="100" t="s">
        <v>1003</v>
      </c>
      <c r="H157" s="100" t="s">
        <v>195</v>
      </c>
      <c r="I157" s="100"/>
      <c r="J157" s="100" t="s">
        <v>193</v>
      </c>
      <c r="K157" s="96" t="s">
        <v>40</v>
      </c>
      <c r="L157" s="99">
        <f t="shared" si="2"/>
        <v>18000</v>
      </c>
      <c r="M157" s="98">
        <f t="shared" si="3"/>
        <v>10</v>
      </c>
      <c r="N157" s="96" t="s">
        <v>553</v>
      </c>
      <c r="O157" s="98"/>
      <c r="P157" s="97" t="s">
        <v>472</v>
      </c>
      <c r="Q157" s="98">
        <v>5</v>
      </c>
      <c r="R157" s="98">
        <v>5</v>
      </c>
      <c r="S157" s="96" t="s">
        <v>1002</v>
      </c>
      <c r="T157" s="95">
        <v>1800</v>
      </c>
      <c r="U157" s="131" t="s">
        <v>812</v>
      </c>
      <c r="V157" s="217"/>
      <c r="W157" s="217"/>
      <c r="X157" s="125"/>
      <c r="Y157" s="125"/>
      <c r="Z157" s="125"/>
      <c r="AA157" s="125"/>
      <c r="AB157" s="125"/>
      <c r="AC157" s="125"/>
      <c r="AD157" s="125"/>
      <c r="AE157" s="125"/>
      <c r="AF157" s="125"/>
      <c r="AG157" s="125"/>
      <c r="AH157" s="125"/>
      <c r="AI157" s="125"/>
      <c r="AJ157" s="125"/>
      <c r="AK157" s="125"/>
      <c r="AL157" s="125"/>
      <c r="AM157" s="125"/>
      <c r="AN157" s="125"/>
      <c r="AO157" s="125"/>
      <c r="AP157" s="125"/>
      <c r="AQ157" s="125"/>
      <c r="AR157" s="125"/>
      <c r="AS157" s="125"/>
      <c r="AT157" s="125"/>
      <c r="AU157" s="125"/>
      <c r="AV157" s="125"/>
      <c r="AW157" s="125"/>
      <c r="AX157" s="125"/>
      <c r="AY157" s="125"/>
      <c r="AZ157" s="125"/>
      <c r="BA157" s="125"/>
      <c r="BB157" s="125"/>
      <c r="BC157" s="125"/>
      <c r="BD157" s="125"/>
      <c r="BE157" s="125"/>
      <c r="BF157" s="125"/>
      <c r="BG157" s="125"/>
      <c r="BH157" s="125"/>
    </row>
    <row r="158" spans="1:60" s="124" customFormat="1" ht="116.25">
      <c r="A158" s="232" t="s">
        <v>447</v>
      </c>
      <c r="B158" s="231">
        <v>2570</v>
      </c>
      <c r="C158" s="100" t="s">
        <v>555</v>
      </c>
      <c r="D158" s="100"/>
      <c r="E158" s="100" t="s">
        <v>667</v>
      </c>
      <c r="F158" s="100" t="s">
        <v>666</v>
      </c>
      <c r="G158" s="100" t="s">
        <v>1001</v>
      </c>
      <c r="H158" s="100" t="s">
        <v>216</v>
      </c>
      <c r="I158" s="100"/>
      <c r="J158" s="100" t="s">
        <v>214</v>
      </c>
      <c r="K158" s="96" t="s">
        <v>63</v>
      </c>
      <c r="L158" s="99">
        <f t="shared" si="2"/>
        <v>13900</v>
      </c>
      <c r="M158" s="98">
        <f t="shared" si="3"/>
        <v>1</v>
      </c>
      <c r="N158" s="96" t="s">
        <v>553</v>
      </c>
      <c r="O158" s="96"/>
      <c r="P158" s="97" t="s">
        <v>472</v>
      </c>
      <c r="Q158" s="96">
        <v>1</v>
      </c>
      <c r="R158" s="96">
        <v>0</v>
      </c>
      <c r="S158" s="96" t="s">
        <v>1000</v>
      </c>
      <c r="T158" s="95">
        <v>13900</v>
      </c>
      <c r="U158" s="94" t="s">
        <v>953</v>
      </c>
      <c r="V158" s="217"/>
      <c r="W158" s="217"/>
      <c r="X158" s="125"/>
      <c r="Y158" s="125"/>
      <c r="Z158" s="125"/>
      <c r="AA158" s="125"/>
      <c r="AB158" s="125"/>
      <c r="AC158" s="125"/>
      <c r="AD158" s="125"/>
      <c r="AE158" s="125"/>
      <c r="AF158" s="125"/>
      <c r="AG158" s="125"/>
      <c r="AH158" s="125"/>
      <c r="AI158" s="125"/>
      <c r="AJ158" s="125"/>
      <c r="AK158" s="125"/>
      <c r="AL158" s="125"/>
      <c r="AM158" s="125"/>
      <c r="AN158" s="125"/>
      <c r="AO158" s="125"/>
      <c r="AP158" s="125"/>
      <c r="AQ158" s="125"/>
      <c r="AR158" s="125"/>
      <c r="AS158" s="125"/>
      <c r="AT158" s="125"/>
      <c r="AU158" s="125"/>
      <c r="AV158" s="125"/>
      <c r="AW158" s="125"/>
      <c r="AX158" s="125"/>
      <c r="AY158" s="125"/>
      <c r="AZ158" s="125"/>
      <c r="BA158" s="125"/>
      <c r="BB158" s="125"/>
      <c r="BC158" s="125"/>
      <c r="BD158" s="125"/>
      <c r="BE158" s="125"/>
      <c r="BF158" s="125"/>
      <c r="BG158" s="125"/>
      <c r="BH158" s="125"/>
    </row>
    <row r="159" spans="1:60" s="124" customFormat="1" ht="116.25">
      <c r="A159" s="232" t="s">
        <v>447</v>
      </c>
      <c r="B159" s="231">
        <v>2570</v>
      </c>
      <c r="C159" s="100" t="s">
        <v>555</v>
      </c>
      <c r="D159" s="100"/>
      <c r="E159" s="100" t="s">
        <v>667</v>
      </c>
      <c r="F159" s="100" t="s">
        <v>666</v>
      </c>
      <c r="G159" s="100" t="s">
        <v>995</v>
      </c>
      <c r="H159" s="100" t="s">
        <v>255</v>
      </c>
      <c r="I159" s="100"/>
      <c r="J159" s="100" t="s">
        <v>253</v>
      </c>
      <c r="K159" s="96" t="s">
        <v>63</v>
      </c>
      <c r="L159" s="99">
        <f t="shared" si="2"/>
        <v>52350</v>
      </c>
      <c r="M159" s="98">
        <f t="shared" si="3"/>
        <v>15</v>
      </c>
      <c r="N159" s="96" t="s">
        <v>553</v>
      </c>
      <c r="O159" s="96"/>
      <c r="P159" s="97" t="s">
        <v>472</v>
      </c>
      <c r="Q159" s="96"/>
      <c r="R159" s="96">
        <v>15</v>
      </c>
      <c r="S159" s="96"/>
      <c r="T159" s="95">
        <v>3490</v>
      </c>
      <c r="U159" s="94" t="s">
        <v>953</v>
      </c>
      <c r="V159" s="217"/>
      <c r="W159" s="217"/>
      <c r="X159" s="125"/>
      <c r="Y159" s="125"/>
      <c r="Z159" s="125"/>
      <c r="AA159" s="125"/>
      <c r="AB159" s="125"/>
      <c r="AC159" s="125"/>
      <c r="AD159" s="125"/>
      <c r="AE159" s="125"/>
      <c r="AF159" s="125"/>
      <c r="AG159" s="125"/>
      <c r="AH159" s="125"/>
      <c r="AI159" s="125"/>
      <c r="AJ159" s="125"/>
      <c r="AK159" s="125"/>
      <c r="AL159" s="125"/>
      <c r="AM159" s="125"/>
      <c r="AN159" s="125"/>
      <c r="AO159" s="125"/>
      <c r="AP159" s="125"/>
      <c r="AQ159" s="125"/>
      <c r="AR159" s="125"/>
      <c r="AS159" s="125"/>
      <c r="AT159" s="125"/>
      <c r="AU159" s="125"/>
      <c r="AV159" s="125"/>
      <c r="AW159" s="125"/>
      <c r="AX159" s="125"/>
      <c r="AY159" s="125"/>
      <c r="AZ159" s="125"/>
      <c r="BA159" s="125"/>
      <c r="BB159" s="125"/>
      <c r="BC159" s="125"/>
      <c r="BD159" s="125"/>
      <c r="BE159" s="125"/>
      <c r="BF159" s="125"/>
      <c r="BG159" s="125"/>
      <c r="BH159" s="125"/>
    </row>
    <row r="160" spans="1:60" s="124" customFormat="1" ht="116.25">
      <c r="A160" s="232" t="s">
        <v>447</v>
      </c>
      <c r="B160" s="231">
        <v>2570</v>
      </c>
      <c r="C160" s="100" t="s">
        <v>555</v>
      </c>
      <c r="D160" s="100"/>
      <c r="E160" s="100" t="s">
        <v>667</v>
      </c>
      <c r="F160" s="100" t="s">
        <v>666</v>
      </c>
      <c r="G160" s="100" t="s">
        <v>995</v>
      </c>
      <c r="H160" s="100" t="s">
        <v>426</v>
      </c>
      <c r="I160" s="100"/>
      <c r="J160" s="100" t="s">
        <v>424</v>
      </c>
      <c r="K160" s="96" t="s">
        <v>40</v>
      </c>
      <c r="L160" s="99">
        <f t="shared" si="2"/>
        <v>42000</v>
      </c>
      <c r="M160" s="98">
        <f t="shared" si="3"/>
        <v>12</v>
      </c>
      <c r="N160" s="96" t="s">
        <v>553</v>
      </c>
      <c r="O160" s="96"/>
      <c r="P160" s="97" t="s">
        <v>472</v>
      </c>
      <c r="Q160" s="96">
        <v>12</v>
      </c>
      <c r="R160" s="96"/>
      <c r="S160" s="134"/>
      <c r="T160" s="95">
        <v>3500</v>
      </c>
      <c r="U160" s="94" t="s">
        <v>953</v>
      </c>
      <c r="V160" s="217"/>
      <c r="W160" s="217"/>
      <c r="X160" s="125"/>
      <c r="Y160" s="125"/>
      <c r="Z160" s="125"/>
      <c r="AA160" s="125"/>
      <c r="AB160" s="125"/>
      <c r="AC160" s="125"/>
      <c r="AD160" s="125"/>
      <c r="AE160" s="125"/>
      <c r="AF160" s="125"/>
      <c r="AG160" s="125"/>
      <c r="AH160" s="125"/>
      <c r="AI160" s="125"/>
      <c r="AJ160" s="125"/>
      <c r="AK160" s="125"/>
      <c r="AL160" s="125"/>
      <c r="AM160" s="125"/>
      <c r="AN160" s="125"/>
      <c r="AO160" s="125"/>
      <c r="AP160" s="125"/>
      <c r="AQ160" s="125"/>
      <c r="AR160" s="125"/>
      <c r="AS160" s="125"/>
      <c r="AT160" s="125"/>
      <c r="AU160" s="125"/>
      <c r="AV160" s="125"/>
      <c r="AW160" s="125"/>
      <c r="AX160" s="125"/>
      <c r="AY160" s="125"/>
      <c r="AZ160" s="125"/>
      <c r="BA160" s="125"/>
      <c r="BB160" s="125"/>
      <c r="BC160" s="125"/>
      <c r="BD160" s="125"/>
      <c r="BE160" s="125"/>
      <c r="BF160" s="125"/>
      <c r="BG160" s="125"/>
      <c r="BH160" s="125"/>
    </row>
    <row r="161" spans="1:60" s="124" customFormat="1" ht="116.25">
      <c r="A161" s="232" t="s">
        <v>447</v>
      </c>
      <c r="B161" s="231">
        <v>2570</v>
      </c>
      <c r="C161" s="100" t="s">
        <v>555</v>
      </c>
      <c r="D161" s="100"/>
      <c r="E161" s="100" t="s">
        <v>667</v>
      </c>
      <c r="F161" s="100" t="s">
        <v>666</v>
      </c>
      <c r="G161" s="100" t="s">
        <v>995</v>
      </c>
      <c r="H161" s="100" t="s">
        <v>62</v>
      </c>
      <c r="I161" s="100"/>
      <c r="J161" s="100" t="s">
        <v>60</v>
      </c>
      <c r="K161" s="96" t="s">
        <v>40</v>
      </c>
      <c r="L161" s="99">
        <f t="shared" si="2"/>
        <v>116000</v>
      </c>
      <c r="M161" s="98">
        <f t="shared" si="3"/>
        <v>40</v>
      </c>
      <c r="N161" s="96" t="s">
        <v>553</v>
      </c>
      <c r="O161" s="96"/>
      <c r="P161" s="97" t="s">
        <v>472</v>
      </c>
      <c r="Q161" s="96">
        <v>40</v>
      </c>
      <c r="R161" s="96"/>
      <c r="S161" s="134"/>
      <c r="T161" s="95">
        <v>2900</v>
      </c>
      <c r="U161" s="94" t="s">
        <v>953</v>
      </c>
      <c r="V161" s="217"/>
      <c r="W161" s="217"/>
      <c r="X161" s="125"/>
      <c r="Y161" s="125"/>
      <c r="Z161" s="125"/>
      <c r="AA161" s="125"/>
      <c r="AB161" s="125"/>
      <c r="AC161" s="125"/>
      <c r="AD161" s="125"/>
      <c r="AE161" s="125"/>
      <c r="AF161" s="125"/>
      <c r="AG161" s="125"/>
      <c r="AH161" s="125"/>
      <c r="AI161" s="125"/>
      <c r="AJ161" s="125"/>
      <c r="AK161" s="125"/>
      <c r="AL161" s="125"/>
      <c r="AM161" s="125"/>
      <c r="AN161" s="125"/>
      <c r="AO161" s="125"/>
      <c r="AP161" s="125"/>
      <c r="AQ161" s="125"/>
      <c r="AR161" s="125"/>
      <c r="AS161" s="125"/>
      <c r="AT161" s="125"/>
      <c r="AU161" s="125"/>
      <c r="AV161" s="125"/>
      <c r="AW161" s="125"/>
      <c r="AX161" s="125"/>
      <c r="AY161" s="125"/>
      <c r="AZ161" s="125"/>
      <c r="BA161" s="125"/>
      <c r="BB161" s="125"/>
      <c r="BC161" s="125"/>
      <c r="BD161" s="125"/>
      <c r="BE161" s="125"/>
      <c r="BF161" s="125"/>
      <c r="BG161" s="125"/>
      <c r="BH161" s="125"/>
    </row>
    <row r="162" spans="1:60" s="124" customFormat="1" ht="116.25">
      <c r="A162" s="232" t="s">
        <v>447</v>
      </c>
      <c r="B162" s="231">
        <v>2570</v>
      </c>
      <c r="C162" s="100" t="s">
        <v>555</v>
      </c>
      <c r="D162" s="100"/>
      <c r="E162" s="100" t="s">
        <v>667</v>
      </c>
      <c r="F162" s="100" t="s">
        <v>666</v>
      </c>
      <c r="G162" s="100" t="s">
        <v>995</v>
      </c>
      <c r="H162" s="100" t="s">
        <v>232</v>
      </c>
      <c r="I162" s="100"/>
      <c r="J162" s="100" t="s">
        <v>230</v>
      </c>
      <c r="K162" s="96" t="s">
        <v>13</v>
      </c>
      <c r="L162" s="99">
        <f t="shared" si="2"/>
        <v>14900</v>
      </c>
      <c r="M162" s="98">
        <f t="shared" si="3"/>
        <v>10</v>
      </c>
      <c r="N162" s="96" t="s">
        <v>553</v>
      </c>
      <c r="O162" s="98"/>
      <c r="P162" s="97" t="s">
        <v>472</v>
      </c>
      <c r="Q162" s="98">
        <v>10</v>
      </c>
      <c r="R162" s="98"/>
      <c r="S162" s="149"/>
      <c r="T162" s="95">
        <v>1490</v>
      </c>
      <c r="U162" s="131" t="s">
        <v>999</v>
      </c>
      <c r="V162" s="217"/>
      <c r="W162" s="217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5"/>
      <c r="BD162" s="125"/>
      <c r="BE162" s="125"/>
      <c r="BF162" s="125"/>
      <c r="BG162" s="125"/>
      <c r="BH162" s="125"/>
    </row>
    <row r="163" spans="1:60" s="124" customFormat="1" ht="116.25">
      <c r="A163" s="232" t="s">
        <v>447</v>
      </c>
      <c r="B163" s="231">
        <v>2570</v>
      </c>
      <c r="C163" s="100" t="s">
        <v>555</v>
      </c>
      <c r="D163" s="100"/>
      <c r="E163" s="100" t="s">
        <v>667</v>
      </c>
      <c r="F163" s="100" t="s">
        <v>666</v>
      </c>
      <c r="G163" s="100" t="s">
        <v>995</v>
      </c>
      <c r="H163" s="100" t="s">
        <v>156</v>
      </c>
      <c r="I163" s="100"/>
      <c r="J163" s="96" t="s">
        <v>154</v>
      </c>
      <c r="K163" s="96" t="s">
        <v>149</v>
      </c>
      <c r="L163" s="99">
        <f t="shared" si="2"/>
        <v>85600</v>
      </c>
      <c r="M163" s="98">
        <f t="shared" si="3"/>
        <v>20</v>
      </c>
      <c r="N163" s="98" t="s">
        <v>553</v>
      </c>
      <c r="O163" s="98"/>
      <c r="P163" s="97" t="s">
        <v>472</v>
      </c>
      <c r="Q163" s="98"/>
      <c r="R163" s="98">
        <v>20</v>
      </c>
      <c r="S163" s="98"/>
      <c r="T163" s="95">
        <v>4280</v>
      </c>
      <c r="U163" s="109" t="s">
        <v>989</v>
      </c>
      <c r="V163" s="217"/>
      <c r="W163" s="217"/>
      <c r="X163" s="125"/>
      <c r="Y163" s="125"/>
      <c r="Z163" s="125"/>
      <c r="AA163" s="125"/>
      <c r="AB163" s="125"/>
      <c r="AC163" s="125"/>
      <c r="AD163" s="125"/>
      <c r="AE163" s="125"/>
      <c r="AF163" s="125"/>
      <c r="AG163" s="125"/>
      <c r="AH163" s="125"/>
      <c r="AI163" s="125"/>
      <c r="AJ163" s="125"/>
      <c r="AK163" s="125"/>
      <c r="AL163" s="125"/>
      <c r="AM163" s="125"/>
      <c r="AN163" s="125"/>
      <c r="AO163" s="125"/>
      <c r="AP163" s="125"/>
      <c r="AQ163" s="125"/>
      <c r="AR163" s="125"/>
      <c r="AS163" s="125"/>
      <c r="AT163" s="125"/>
      <c r="AU163" s="125"/>
      <c r="AV163" s="125"/>
      <c r="AW163" s="125"/>
      <c r="AX163" s="125"/>
      <c r="AY163" s="125"/>
      <c r="AZ163" s="125"/>
      <c r="BA163" s="125"/>
      <c r="BB163" s="125"/>
      <c r="BC163" s="125"/>
      <c r="BD163" s="125"/>
      <c r="BE163" s="125"/>
      <c r="BF163" s="125"/>
      <c r="BG163" s="125"/>
      <c r="BH163" s="125"/>
    </row>
    <row r="164" spans="1:60" s="124" customFormat="1" ht="116.25">
      <c r="A164" s="232" t="s">
        <v>447</v>
      </c>
      <c r="B164" s="231">
        <v>2570</v>
      </c>
      <c r="C164" s="100" t="s">
        <v>555</v>
      </c>
      <c r="D164" s="100"/>
      <c r="E164" s="100" t="s">
        <v>667</v>
      </c>
      <c r="F164" s="100" t="s">
        <v>666</v>
      </c>
      <c r="G164" s="100" t="s">
        <v>995</v>
      </c>
      <c r="H164" s="100" t="s">
        <v>45</v>
      </c>
      <c r="I164" s="100"/>
      <c r="J164" s="100" t="s">
        <v>41</v>
      </c>
      <c r="K164" s="96" t="s">
        <v>40</v>
      </c>
      <c r="L164" s="99">
        <f t="shared" si="2"/>
        <v>126000</v>
      </c>
      <c r="M164" s="98">
        <f t="shared" si="3"/>
        <v>28</v>
      </c>
      <c r="N164" s="96" t="s">
        <v>553</v>
      </c>
      <c r="O164" s="96"/>
      <c r="P164" s="97" t="s">
        <v>472</v>
      </c>
      <c r="Q164" s="96">
        <v>28</v>
      </c>
      <c r="R164" s="96"/>
      <c r="S164" s="134"/>
      <c r="T164" s="95">
        <v>4500</v>
      </c>
      <c r="U164" s="109" t="s">
        <v>953</v>
      </c>
      <c r="V164" s="217"/>
      <c r="W164" s="217"/>
      <c r="X164" s="125"/>
      <c r="Y164" s="125"/>
      <c r="Z164" s="125"/>
      <c r="AA164" s="125"/>
      <c r="AB164" s="125"/>
      <c r="AC164" s="125"/>
      <c r="AD164" s="125"/>
      <c r="AE164" s="125"/>
      <c r="AF164" s="125"/>
      <c r="AG164" s="125"/>
      <c r="AH164" s="125"/>
      <c r="AI164" s="125"/>
      <c r="AJ164" s="125"/>
      <c r="AK164" s="125"/>
      <c r="AL164" s="125"/>
      <c r="AM164" s="125"/>
      <c r="AN164" s="125"/>
      <c r="AO164" s="125"/>
      <c r="AP164" s="125"/>
      <c r="AQ164" s="125"/>
      <c r="AR164" s="125"/>
      <c r="AS164" s="125"/>
      <c r="AT164" s="125"/>
      <c r="AU164" s="125"/>
      <c r="AV164" s="125"/>
      <c r="AW164" s="125"/>
      <c r="AX164" s="125"/>
      <c r="AY164" s="125"/>
      <c r="AZ164" s="125"/>
      <c r="BA164" s="125"/>
      <c r="BB164" s="125"/>
      <c r="BC164" s="125"/>
      <c r="BD164" s="125"/>
      <c r="BE164" s="125"/>
      <c r="BF164" s="125"/>
      <c r="BG164" s="125"/>
      <c r="BH164" s="125"/>
    </row>
    <row r="165" spans="1:60" s="124" customFormat="1" ht="116.25">
      <c r="A165" s="232" t="s">
        <v>447</v>
      </c>
      <c r="B165" s="231">
        <v>2570</v>
      </c>
      <c r="C165" s="100" t="s">
        <v>555</v>
      </c>
      <c r="D165" s="100"/>
      <c r="E165" s="100" t="s">
        <v>667</v>
      </c>
      <c r="F165" s="100" t="s">
        <v>666</v>
      </c>
      <c r="G165" s="100" t="s">
        <v>995</v>
      </c>
      <c r="H165" s="100" t="s">
        <v>265</v>
      </c>
      <c r="I165" s="100"/>
      <c r="J165" s="100" t="s">
        <v>263</v>
      </c>
      <c r="K165" s="96" t="s">
        <v>63</v>
      </c>
      <c r="L165" s="99">
        <f t="shared" si="2"/>
        <v>10000</v>
      </c>
      <c r="M165" s="98">
        <f t="shared" si="3"/>
        <v>2</v>
      </c>
      <c r="N165" s="96" t="s">
        <v>553</v>
      </c>
      <c r="O165" s="96"/>
      <c r="P165" s="97" t="s">
        <v>472</v>
      </c>
      <c r="Q165" s="96">
        <v>2</v>
      </c>
      <c r="R165" s="96"/>
      <c r="S165" s="96" t="s">
        <v>998</v>
      </c>
      <c r="T165" s="95">
        <v>5000</v>
      </c>
      <c r="U165" s="94" t="s">
        <v>997</v>
      </c>
      <c r="V165" s="217"/>
      <c r="W165" s="217"/>
      <c r="X165" s="125"/>
      <c r="Y165" s="125"/>
      <c r="Z165" s="125"/>
      <c r="AA165" s="125"/>
      <c r="AB165" s="125"/>
      <c r="AC165" s="125"/>
      <c r="AD165" s="125"/>
      <c r="AE165" s="125"/>
      <c r="AF165" s="125"/>
      <c r="AG165" s="125"/>
      <c r="AH165" s="125"/>
      <c r="AI165" s="125"/>
      <c r="AJ165" s="125"/>
      <c r="AK165" s="125"/>
      <c r="AL165" s="125"/>
      <c r="AM165" s="125"/>
      <c r="AN165" s="125"/>
      <c r="AO165" s="125"/>
      <c r="AP165" s="125"/>
      <c r="AQ165" s="125"/>
      <c r="AR165" s="125"/>
      <c r="AS165" s="125"/>
      <c r="AT165" s="125"/>
      <c r="AU165" s="125"/>
      <c r="AV165" s="125"/>
      <c r="AW165" s="125"/>
      <c r="AX165" s="125"/>
      <c r="AY165" s="125"/>
      <c r="AZ165" s="125"/>
      <c r="BA165" s="125"/>
      <c r="BB165" s="125"/>
      <c r="BC165" s="125"/>
      <c r="BD165" s="125"/>
      <c r="BE165" s="125"/>
      <c r="BF165" s="125"/>
      <c r="BG165" s="125"/>
      <c r="BH165" s="125"/>
    </row>
    <row r="166" spans="1:60" s="124" customFormat="1" ht="116.25">
      <c r="A166" s="232" t="s">
        <v>447</v>
      </c>
      <c r="B166" s="231">
        <v>2570</v>
      </c>
      <c r="C166" s="100" t="s">
        <v>555</v>
      </c>
      <c r="D166" s="100"/>
      <c r="E166" s="100" t="s">
        <v>667</v>
      </c>
      <c r="F166" s="100" t="s">
        <v>666</v>
      </c>
      <c r="G166" s="100" t="s">
        <v>995</v>
      </c>
      <c r="H166" s="100" t="s">
        <v>464</v>
      </c>
      <c r="I166" s="100"/>
      <c r="J166" s="100" t="s">
        <v>437</v>
      </c>
      <c r="K166" s="96" t="s">
        <v>63</v>
      </c>
      <c r="L166" s="99">
        <f t="shared" si="2"/>
        <v>45810</v>
      </c>
      <c r="M166" s="98">
        <f t="shared" si="3"/>
        <v>9</v>
      </c>
      <c r="N166" s="96" t="s">
        <v>553</v>
      </c>
      <c r="O166" s="96"/>
      <c r="P166" s="97" t="s">
        <v>472</v>
      </c>
      <c r="Q166" s="96">
        <v>6</v>
      </c>
      <c r="R166" s="96">
        <v>3</v>
      </c>
      <c r="S166" s="134"/>
      <c r="T166" s="95">
        <v>5090</v>
      </c>
      <c r="U166" s="109" t="s">
        <v>996</v>
      </c>
      <c r="V166" s="217"/>
      <c r="W166" s="217"/>
      <c r="X166" s="125"/>
      <c r="Y166" s="125"/>
      <c r="Z166" s="125"/>
      <c r="AA166" s="125"/>
      <c r="AB166" s="125"/>
      <c r="AC166" s="125"/>
      <c r="AD166" s="125"/>
      <c r="AE166" s="125"/>
      <c r="AF166" s="125"/>
      <c r="AG166" s="125"/>
      <c r="AH166" s="125"/>
      <c r="AI166" s="125"/>
      <c r="AJ166" s="125"/>
      <c r="AK166" s="125"/>
      <c r="AL166" s="125"/>
      <c r="AM166" s="125"/>
      <c r="AN166" s="125"/>
      <c r="AO166" s="125"/>
      <c r="AP166" s="125"/>
      <c r="AQ166" s="125"/>
      <c r="AR166" s="125"/>
      <c r="AS166" s="125"/>
      <c r="AT166" s="125"/>
      <c r="AU166" s="125"/>
      <c r="AV166" s="125"/>
      <c r="AW166" s="125"/>
      <c r="AX166" s="125"/>
      <c r="AY166" s="125"/>
      <c r="AZ166" s="125"/>
      <c r="BA166" s="125"/>
      <c r="BB166" s="125"/>
      <c r="BC166" s="125"/>
      <c r="BD166" s="125"/>
      <c r="BE166" s="125"/>
      <c r="BF166" s="125"/>
      <c r="BG166" s="125"/>
      <c r="BH166" s="125"/>
    </row>
    <row r="167" spans="1:60" s="124" customFormat="1" ht="116.25">
      <c r="A167" s="232" t="s">
        <v>447</v>
      </c>
      <c r="B167" s="231">
        <v>2570</v>
      </c>
      <c r="C167" s="100" t="s">
        <v>555</v>
      </c>
      <c r="D167" s="100"/>
      <c r="E167" s="100" t="s">
        <v>667</v>
      </c>
      <c r="F167" s="100" t="s">
        <v>666</v>
      </c>
      <c r="G167" s="100" t="s">
        <v>995</v>
      </c>
      <c r="H167" s="100" t="s">
        <v>18</v>
      </c>
      <c r="I167" s="100"/>
      <c r="J167" s="100" t="s">
        <v>14</v>
      </c>
      <c r="K167" s="96" t="s">
        <v>13</v>
      </c>
      <c r="L167" s="99">
        <f t="shared" si="2"/>
        <v>60000</v>
      </c>
      <c r="M167" s="98">
        <f t="shared" si="3"/>
        <v>20</v>
      </c>
      <c r="N167" s="96" t="s">
        <v>553</v>
      </c>
      <c r="O167" s="96"/>
      <c r="P167" s="97" t="s">
        <v>472</v>
      </c>
      <c r="Q167" s="96"/>
      <c r="R167" s="96">
        <v>20</v>
      </c>
      <c r="S167" s="96"/>
      <c r="T167" s="95">
        <v>3000</v>
      </c>
      <c r="U167" s="94" t="s">
        <v>994</v>
      </c>
      <c r="V167" s="217"/>
      <c r="W167" s="217"/>
      <c r="X167" s="125"/>
      <c r="Y167" s="125"/>
      <c r="Z167" s="125"/>
      <c r="AA167" s="125"/>
      <c r="AB167" s="125"/>
      <c r="AC167" s="125"/>
      <c r="AD167" s="125"/>
      <c r="AE167" s="125"/>
      <c r="AF167" s="125"/>
      <c r="AG167" s="125"/>
      <c r="AH167" s="125"/>
      <c r="AI167" s="125"/>
      <c r="AJ167" s="125"/>
      <c r="AK167" s="125"/>
      <c r="AL167" s="125"/>
      <c r="AM167" s="125"/>
      <c r="AN167" s="125"/>
      <c r="AO167" s="125"/>
      <c r="AP167" s="125"/>
      <c r="AQ167" s="125"/>
      <c r="AR167" s="125"/>
      <c r="AS167" s="125"/>
      <c r="AT167" s="125"/>
      <c r="AU167" s="125"/>
      <c r="AV167" s="125"/>
      <c r="AW167" s="125"/>
      <c r="AX167" s="125"/>
      <c r="AY167" s="125"/>
      <c r="AZ167" s="125"/>
      <c r="BA167" s="125"/>
      <c r="BB167" s="125"/>
      <c r="BC167" s="125"/>
      <c r="BD167" s="125"/>
      <c r="BE167" s="125"/>
      <c r="BF167" s="125"/>
      <c r="BG167" s="125"/>
      <c r="BH167" s="125"/>
    </row>
    <row r="168" spans="1:60" s="124" customFormat="1" ht="116.25">
      <c r="A168" s="232" t="s">
        <v>447</v>
      </c>
      <c r="B168" s="231">
        <v>2570</v>
      </c>
      <c r="C168" s="100" t="s">
        <v>555</v>
      </c>
      <c r="D168" s="100"/>
      <c r="E168" s="100" t="s">
        <v>667</v>
      </c>
      <c r="F168" s="100" t="s">
        <v>666</v>
      </c>
      <c r="G168" s="100" t="s">
        <v>993</v>
      </c>
      <c r="H168" s="100" t="s">
        <v>265</v>
      </c>
      <c r="I168" s="100"/>
      <c r="J168" s="100" t="s">
        <v>263</v>
      </c>
      <c r="K168" s="96" t="s">
        <v>63</v>
      </c>
      <c r="L168" s="99">
        <f t="shared" si="2"/>
        <v>22500</v>
      </c>
      <c r="M168" s="98">
        <f t="shared" si="3"/>
        <v>30</v>
      </c>
      <c r="N168" s="98" t="s">
        <v>553</v>
      </c>
      <c r="O168" s="98"/>
      <c r="P168" s="97" t="s">
        <v>472</v>
      </c>
      <c r="Q168" s="98"/>
      <c r="R168" s="98">
        <v>30</v>
      </c>
      <c r="S168" s="98"/>
      <c r="T168" s="95">
        <v>750</v>
      </c>
      <c r="U168" s="109" t="s">
        <v>991</v>
      </c>
      <c r="V168" s="217"/>
      <c r="W168" s="217"/>
      <c r="X168" s="125"/>
      <c r="Y168" s="125"/>
      <c r="Z168" s="125"/>
      <c r="AA168" s="125"/>
      <c r="AB168" s="125"/>
      <c r="AC168" s="125"/>
      <c r="AD168" s="125"/>
      <c r="AE168" s="125"/>
      <c r="AF168" s="125"/>
      <c r="AG168" s="125"/>
      <c r="AH168" s="125"/>
      <c r="AI168" s="125"/>
      <c r="AJ168" s="125"/>
      <c r="AK168" s="125"/>
      <c r="AL168" s="125"/>
      <c r="AM168" s="125"/>
      <c r="AN168" s="125"/>
      <c r="AO168" s="125"/>
      <c r="AP168" s="125"/>
      <c r="AQ168" s="125"/>
      <c r="AR168" s="125"/>
      <c r="AS168" s="125"/>
      <c r="AT168" s="125"/>
      <c r="AU168" s="125"/>
      <c r="AV168" s="125"/>
      <c r="AW168" s="125"/>
      <c r="AX168" s="125"/>
      <c r="AY168" s="125"/>
      <c r="AZ168" s="125"/>
      <c r="BA168" s="125"/>
      <c r="BB168" s="125"/>
      <c r="BC168" s="125"/>
      <c r="BD168" s="125"/>
      <c r="BE168" s="125"/>
      <c r="BF168" s="125"/>
      <c r="BG168" s="125"/>
      <c r="BH168" s="125"/>
    </row>
    <row r="169" spans="1:60" s="124" customFormat="1" ht="116.25">
      <c r="A169" s="232" t="s">
        <v>447</v>
      </c>
      <c r="B169" s="231">
        <v>2570</v>
      </c>
      <c r="C169" s="100" t="s">
        <v>555</v>
      </c>
      <c r="D169" s="100"/>
      <c r="E169" s="100" t="s">
        <v>667</v>
      </c>
      <c r="F169" s="100" t="s">
        <v>666</v>
      </c>
      <c r="G169" s="100" t="s">
        <v>993</v>
      </c>
      <c r="H169" s="100" t="s">
        <v>216</v>
      </c>
      <c r="I169" s="100"/>
      <c r="J169" s="100" t="s">
        <v>214</v>
      </c>
      <c r="K169" s="96" t="s">
        <v>63</v>
      </c>
      <c r="L169" s="99">
        <f t="shared" si="2"/>
        <v>3400</v>
      </c>
      <c r="M169" s="98">
        <f t="shared" si="3"/>
        <v>4</v>
      </c>
      <c r="N169" s="96" t="s">
        <v>553</v>
      </c>
      <c r="O169" s="96"/>
      <c r="P169" s="97" t="s">
        <v>472</v>
      </c>
      <c r="Q169" s="96"/>
      <c r="R169" s="96">
        <v>4</v>
      </c>
      <c r="S169" s="96"/>
      <c r="T169" s="95">
        <v>850</v>
      </c>
      <c r="U169" s="94" t="s">
        <v>992</v>
      </c>
      <c r="V169" s="217"/>
      <c r="W169" s="217"/>
      <c r="X169" s="125"/>
      <c r="Y169" s="125"/>
      <c r="Z169" s="125"/>
      <c r="AA169" s="125"/>
      <c r="AB169" s="125"/>
      <c r="AC169" s="125"/>
      <c r="AD169" s="125"/>
      <c r="AE169" s="125"/>
      <c r="AF169" s="125"/>
      <c r="AG169" s="125"/>
      <c r="AH169" s="125"/>
      <c r="AI169" s="125"/>
      <c r="AJ169" s="125"/>
      <c r="AK169" s="125"/>
      <c r="AL169" s="125"/>
      <c r="AM169" s="125"/>
      <c r="AN169" s="125"/>
      <c r="AO169" s="125"/>
      <c r="AP169" s="125"/>
      <c r="AQ169" s="125"/>
      <c r="AR169" s="125"/>
      <c r="AS169" s="125"/>
      <c r="AT169" s="125"/>
      <c r="AU169" s="125"/>
      <c r="AV169" s="125"/>
      <c r="AW169" s="125"/>
      <c r="AX169" s="125"/>
      <c r="AY169" s="125"/>
      <c r="AZ169" s="125"/>
      <c r="BA169" s="125"/>
      <c r="BB169" s="125"/>
      <c r="BC169" s="125"/>
      <c r="BD169" s="125"/>
      <c r="BE169" s="125"/>
      <c r="BF169" s="125"/>
      <c r="BG169" s="125"/>
      <c r="BH169" s="125"/>
    </row>
    <row r="170" spans="1:60" s="124" customFormat="1" ht="116.25">
      <c r="A170" s="232" t="s">
        <v>447</v>
      </c>
      <c r="B170" s="231">
        <v>2570</v>
      </c>
      <c r="C170" s="100" t="s">
        <v>555</v>
      </c>
      <c r="D170" s="100"/>
      <c r="E170" s="100" t="s">
        <v>667</v>
      </c>
      <c r="F170" s="100" t="s">
        <v>666</v>
      </c>
      <c r="G170" s="100" t="s">
        <v>993</v>
      </c>
      <c r="H170" s="100" t="s">
        <v>946</v>
      </c>
      <c r="I170" s="100"/>
      <c r="J170" s="100" t="s">
        <v>945</v>
      </c>
      <c r="K170" s="96" t="s">
        <v>40</v>
      </c>
      <c r="L170" s="99">
        <f t="shared" si="2"/>
        <v>13800</v>
      </c>
      <c r="M170" s="98">
        <f t="shared" si="3"/>
        <v>20</v>
      </c>
      <c r="N170" s="96" t="s">
        <v>553</v>
      </c>
      <c r="O170" s="96"/>
      <c r="P170" s="97" t="s">
        <v>472</v>
      </c>
      <c r="Q170" s="96"/>
      <c r="R170" s="96">
        <v>20</v>
      </c>
      <c r="S170" s="96"/>
      <c r="T170" s="95">
        <v>690</v>
      </c>
      <c r="U170" s="94" t="s">
        <v>992</v>
      </c>
      <c r="V170" s="217"/>
      <c r="W170" s="217"/>
      <c r="X170" s="125"/>
      <c r="Y170" s="125"/>
      <c r="Z170" s="125"/>
      <c r="AA170" s="125"/>
      <c r="AB170" s="125"/>
      <c r="AC170" s="125"/>
      <c r="AD170" s="125"/>
      <c r="AE170" s="125"/>
      <c r="AF170" s="125"/>
      <c r="AG170" s="125"/>
      <c r="AH170" s="125"/>
      <c r="AI170" s="125"/>
      <c r="AJ170" s="125"/>
      <c r="AK170" s="125"/>
      <c r="AL170" s="125"/>
      <c r="AM170" s="125"/>
      <c r="AN170" s="125"/>
      <c r="AO170" s="125"/>
      <c r="AP170" s="125"/>
      <c r="AQ170" s="125"/>
      <c r="AR170" s="125"/>
      <c r="AS170" s="125"/>
      <c r="AT170" s="125"/>
      <c r="AU170" s="125"/>
      <c r="AV170" s="125"/>
      <c r="AW170" s="125"/>
      <c r="AX170" s="125"/>
      <c r="AY170" s="125"/>
      <c r="AZ170" s="125"/>
      <c r="BA170" s="125"/>
      <c r="BB170" s="125"/>
      <c r="BC170" s="125"/>
      <c r="BD170" s="125"/>
      <c r="BE170" s="125"/>
      <c r="BF170" s="125"/>
      <c r="BG170" s="125"/>
      <c r="BH170" s="125"/>
    </row>
    <row r="171" spans="1:60" s="124" customFormat="1" ht="116.25">
      <c r="A171" s="232" t="s">
        <v>447</v>
      </c>
      <c r="B171" s="231">
        <v>2570</v>
      </c>
      <c r="C171" s="100" t="s">
        <v>555</v>
      </c>
      <c r="D171" s="100"/>
      <c r="E171" s="100" t="s">
        <v>667</v>
      </c>
      <c r="F171" s="100" t="s">
        <v>666</v>
      </c>
      <c r="G171" s="100" t="s">
        <v>605</v>
      </c>
      <c r="H171" s="100" t="s">
        <v>255</v>
      </c>
      <c r="I171" s="100"/>
      <c r="J171" s="100" t="s">
        <v>253</v>
      </c>
      <c r="K171" s="96" t="s">
        <v>63</v>
      </c>
      <c r="L171" s="99">
        <f t="shared" si="2"/>
        <v>32890</v>
      </c>
      <c r="M171" s="98">
        <f t="shared" si="3"/>
        <v>11</v>
      </c>
      <c r="N171" s="96" t="s">
        <v>553</v>
      </c>
      <c r="O171" s="96"/>
      <c r="P171" s="97" t="s">
        <v>472</v>
      </c>
      <c r="Q171" s="96"/>
      <c r="R171" s="96">
        <v>11</v>
      </c>
      <c r="S171" s="96"/>
      <c r="T171" s="95">
        <v>2990</v>
      </c>
      <c r="U171" s="94" t="s">
        <v>991</v>
      </c>
      <c r="V171" s="217"/>
      <c r="W171" s="217"/>
      <c r="X171" s="125"/>
      <c r="Y171" s="125"/>
      <c r="Z171" s="125"/>
      <c r="AA171" s="125"/>
      <c r="AB171" s="125"/>
      <c r="AC171" s="125"/>
      <c r="AD171" s="125"/>
      <c r="AE171" s="125"/>
      <c r="AF171" s="125"/>
      <c r="AG171" s="125"/>
      <c r="AH171" s="125"/>
      <c r="AI171" s="125"/>
      <c r="AJ171" s="125"/>
      <c r="AK171" s="125"/>
      <c r="AL171" s="125"/>
      <c r="AM171" s="125"/>
      <c r="AN171" s="125"/>
      <c r="AO171" s="125"/>
      <c r="AP171" s="125"/>
      <c r="AQ171" s="125"/>
      <c r="AR171" s="125"/>
      <c r="AS171" s="125"/>
      <c r="AT171" s="125"/>
      <c r="AU171" s="125"/>
      <c r="AV171" s="125"/>
      <c r="AW171" s="125"/>
      <c r="AX171" s="125"/>
      <c r="AY171" s="125"/>
      <c r="AZ171" s="125"/>
      <c r="BA171" s="125"/>
      <c r="BB171" s="125"/>
      <c r="BC171" s="125"/>
      <c r="BD171" s="125"/>
      <c r="BE171" s="125"/>
      <c r="BF171" s="125"/>
      <c r="BG171" s="125"/>
      <c r="BH171" s="125"/>
    </row>
    <row r="172" spans="1:60" s="124" customFormat="1" ht="116.25">
      <c r="A172" s="232" t="s">
        <v>447</v>
      </c>
      <c r="B172" s="231">
        <v>2570</v>
      </c>
      <c r="C172" s="100" t="s">
        <v>555</v>
      </c>
      <c r="D172" s="100"/>
      <c r="E172" s="100" t="s">
        <v>667</v>
      </c>
      <c r="F172" s="100" t="s">
        <v>666</v>
      </c>
      <c r="G172" s="100" t="s">
        <v>605</v>
      </c>
      <c r="H172" s="100" t="s">
        <v>385</v>
      </c>
      <c r="I172" s="100"/>
      <c r="J172" s="100" t="s">
        <v>383</v>
      </c>
      <c r="K172" s="96" t="s">
        <v>149</v>
      </c>
      <c r="L172" s="99">
        <f t="shared" si="2"/>
        <v>66000</v>
      </c>
      <c r="M172" s="98">
        <f t="shared" si="3"/>
        <v>12</v>
      </c>
      <c r="N172" s="96" t="s">
        <v>553</v>
      </c>
      <c r="O172" s="96"/>
      <c r="P172" s="97" t="s">
        <v>472</v>
      </c>
      <c r="Q172" s="96"/>
      <c r="R172" s="96">
        <v>12</v>
      </c>
      <c r="S172" s="96"/>
      <c r="T172" s="95">
        <v>5500</v>
      </c>
      <c r="U172" s="94" t="s">
        <v>990</v>
      </c>
      <c r="V172" s="217"/>
      <c r="W172" s="217"/>
      <c r="X172" s="125"/>
      <c r="Y172" s="125"/>
      <c r="Z172" s="125"/>
      <c r="AA172" s="125"/>
      <c r="AB172" s="125"/>
      <c r="AC172" s="125"/>
      <c r="AD172" s="125"/>
      <c r="AE172" s="125"/>
      <c r="AF172" s="125"/>
      <c r="AG172" s="125"/>
      <c r="AH172" s="125"/>
      <c r="AI172" s="125"/>
      <c r="AJ172" s="125"/>
      <c r="AK172" s="125"/>
      <c r="AL172" s="125"/>
      <c r="AM172" s="125"/>
      <c r="AN172" s="125"/>
      <c r="AO172" s="125"/>
      <c r="AP172" s="125"/>
      <c r="AQ172" s="125"/>
      <c r="AR172" s="125"/>
      <c r="AS172" s="125"/>
      <c r="AT172" s="125"/>
      <c r="AU172" s="125"/>
      <c r="AV172" s="125"/>
      <c r="AW172" s="125"/>
      <c r="AX172" s="125"/>
      <c r="AY172" s="125"/>
      <c r="AZ172" s="125"/>
      <c r="BA172" s="125"/>
      <c r="BB172" s="125"/>
      <c r="BC172" s="125"/>
      <c r="BD172" s="125"/>
      <c r="BE172" s="125"/>
      <c r="BF172" s="125"/>
      <c r="BG172" s="125"/>
      <c r="BH172" s="125"/>
    </row>
    <row r="173" spans="1:60" s="124" customFormat="1" ht="116.25">
      <c r="A173" s="232" t="s">
        <v>447</v>
      </c>
      <c r="B173" s="231">
        <v>2570</v>
      </c>
      <c r="C173" s="100" t="s">
        <v>555</v>
      </c>
      <c r="D173" s="103"/>
      <c r="E173" s="100" t="s">
        <v>667</v>
      </c>
      <c r="F173" s="100" t="s">
        <v>666</v>
      </c>
      <c r="G173" s="100" t="s">
        <v>605</v>
      </c>
      <c r="H173" s="100" t="s">
        <v>156</v>
      </c>
      <c r="I173" s="100"/>
      <c r="J173" s="96" t="s">
        <v>154</v>
      </c>
      <c r="K173" s="96" t="s">
        <v>149</v>
      </c>
      <c r="L173" s="99">
        <f t="shared" si="2"/>
        <v>85600</v>
      </c>
      <c r="M173" s="98">
        <f t="shared" si="3"/>
        <v>20</v>
      </c>
      <c r="N173" s="96" t="s">
        <v>553</v>
      </c>
      <c r="O173" s="107"/>
      <c r="P173" s="97" t="s">
        <v>472</v>
      </c>
      <c r="Q173" s="107"/>
      <c r="R173" s="96">
        <v>20</v>
      </c>
      <c r="S173" s="107"/>
      <c r="T173" s="95">
        <v>4280</v>
      </c>
      <c r="U173" s="94" t="s">
        <v>989</v>
      </c>
      <c r="V173" s="217"/>
      <c r="W173" s="217"/>
      <c r="X173" s="125"/>
      <c r="Y173" s="125"/>
      <c r="Z173" s="125"/>
      <c r="AA173" s="125"/>
      <c r="AB173" s="125"/>
      <c r="AC173" s="125"/>
      <c r="AD173" s="125"/>
      <c r="AE173" s="125"/>
      <c r="AF173" s="125"/>
      <c r="AG173" s="125"/>
      <c r="AH173" s="125"/>
      <c r="AI173" s="125"/>
      <c r="AJ173" s="125"/>
      <c r="AK173" s="125"/>
      <c r="AL173" s="125"/>
      <c r="AM173" s="125"/>
      <c r="AN173" s="125"/>
      <c r="AO173" s="125"/>
      <c r="AP173" s="125"/>
      <c r="AQ173" s="125"/>
      <c r="AR173" s="125"/>
      <c r="AS173" s="125"/>
      <c r="AT173" s="125"/>
      <c r="AU173" s="125"/>
      <c r="AV173" s="125"/>
      <c r="AW173" s="125"/>
      <c r="AX173" s="125"/>
      <c r="AY173" s="125"/>
      <c r="AZ173" s="125"/>
      <c r="BA173" s="125"/>
      <c r="BB173" s="125"/>
      <c r="BC173" s="125"/>
      <c r="BD173" s="125"/>
      <c r="BE173" s="125"/>
      <c r="BF173" s="125"/>
      <c r="BG173" s="125"/>
      <c r="BH173" s="125"/>
    </row>
    <row r="174" spans="1:60" s="124" customFormat="1" ht="116.25">
      <c r="A174" s="232" t="s">
        <v>447</v>
      </c>
      <c r="B174" s="231">
        <v>2570</v>
      </c>
      <c r="C174" s="100" t="s">
        <v>555</v>
      </c>
      <c r="D174" s="103"/>
      <c r="E174" s="100" t="s">
        <v>667</v>
      </c>
      <c r="F174" s="100" t="s">
        <v>666</v>
      </c>
      <c r="G174" s="100" t="s">
        <v>605</v>
      </c>
      <c r="H174" s="100" t="s">
        <v>456</v>
      </c>
      <c r="I174" s="100"/>
      <c r="J174" s="100" t="s">
        <v>442</v>
      </c>
      <c r="K174" s="96" t="s">
        <v>40</v>
      </c>
      <c r="L174" s="99">
        <f t="shared" si="2"/>
        <v>24000</v>
      </c>
      <c r="M174" s="98">
        <f t="shared" si="3"/>
        <v>40</v>
      </c>
      <c r="N174" s="96" t="s">
        <v>553</v>
      </c>
      <c r="O174" s="107"/>
      <c r="P174" s="97" t="s">
        <v>472</v>
      </c>
      <c r="Q174" s="107"/>
      <c r="R174" s="96">
        <v>40</v>
      </c>
      <c r="S174" s="107"/>
      <c r="T174" s="95">
        <v>600</v>
      </c>
      <c r="U174" s="94" t="s">
        <v>988</v>
      </c>
      <c r="V174" s="217"/>
      <c r="W174" s="217"/>
      <c r="X174" s="125"/>
      <c r="Y174" s="125"/>
      <c r="Z174" s="125"/>
      <c r="AA174" s="125"/>
      <c r="AB174" s="125"/>
      <c r="AC174" s="125"/>
      <c r="AD174" s="125"/>
      <c r="AE174" s="125"/>
      <c r="AF174" s="125"/>
      <c r="AG174" s="125"/>
      <c r="AH174" s="125"/>
      <c r="AI174" s="125"/>
      <c r="AJ174" s="125"/>
      <c r="AK174" s="125"/>
      <c r="AL174" s="125"/>
      <c r="AM174" s="125"/>
      <c r="AN174" s="125"/>
      <c r="AO174" s="125"/>
      <c r="AP174" s="125"/>
      <c r="AQ174" s="125"/>
      <c r="AR174" s="125"/>
      <c r="AS174" s="125"/>
      <c r="AT174" s="125"/>
      <c r="AU174" s="125"/>
      <c r="AV174" s="125"/>
      <c r="AW174" s="125"/>
      <c r="AX174" s="125"/>
      <c r="AY174" s="125"/>
      <c r="AZ174" s="125"/>
      <c r="BA174" s="125"/>
      <c r="BB174" s="125"/>
      <c r="BC174" s="125"/>
      <c r="BD174" s="125"/>
      <c r="BE174" s="125"/>
      <c r="BF174" s="125"/>
      <c r="BG174" s="125"/>
      <c r="BH174" s="125"/>
    </row>
    <row r="175" spans="1:60" s="124" customFormat="1" ht="116.25">
      <c r="A175" s="232" t="s">
        <v>447</v>
      </c>
      <c r="B175" s="231">
        <v>2570</v>
      </c>
      <c r="C175" s="100" t="s">
        <v>555</v>
      </c>
      <c r="D175" s="100"/>
      <c r="E175" s="100" t="s">
        <v>667</v>
      </c>
      <c r="F175" s="100" t="s">
        <v>666</v>
      </c>
      <c r="G175" s="100" t="s">
        <v>987</v>
      </c>
      <c r="H175" s="100" t="s">
        <v>216</v>
      </c>
      <c r="I175" s="100"/>
      <c r="J175" s="100" t="s">
        <v>214</v>
      </c>
      <c r="K175" s="96" t="s">
        <v>63</v>
      </c>
      <c r="L175" s="99">
        <f t="shared" si="2"/>
        <v>22500</v>
      </c>
      <c r="M175" s="98">
        <f t="shared" si="3"/>
        <v>1</v>
      </c>
      <c r="N175" s="96" t="s">
        <v>596</v>
      </c>
      <c r="O175" s="96"/>
      <c r="P175" s="97" t="s">
        <v>472</v>
      </c>
      <c r="Q175" s="96"/>
      <c r="R175" s="96">
        <v>1</v>
      </c>
      <c r="S175" s="96"/>
      <c r="T175" s="95">
        <v>22500</v>
      </c>
      <c r="U175" s="94" t="s">
        <v>986</v>
      </c>
      <c r="V175" s="217"/>
      <c r="W175" s="217"/>
      <c r="X175" s="125"/>
      <c r="Y175" s="125"/>
      <c r="Z175" s="125"/>
      <c r="AA175" s="125"/>
      <c r="AB175" s="125"/>
      <c r="AC175" s="125"/>
      <c r="AD175" s="125"/>
      <c r="AE175" s="125"/>
      <c r="AF175" s="125"/>
      <c r="AG175" s="125"/>
      <c r="AH175" s="125"/>
      <c r="AI175" s="125"/>
      <c r="AJ175" s="125"/>
      <c r="AK175" s="125"/>
      <c r="AL175" s="125"/>
      <c r="AM175" s="125"/>
      <c r="AN175" s="125"/>
      <c r="AO175" s="125"/>
      <c r="AP175" s="125"/>
      <c r="AQ175" s="125"/>
      <c r="AR175" s="125"/>
      <c r="AS175" s="125"/>
      <c r="AT175" s="125"/>
      <c r="AU175" s="125"/>
      <c r="AV175" s="125"/>
      <c r="AW175" s="125"/>
      <c r="AX175" s="125"/>
      <c r="AY175" s="125"/>
      <c r="AZ175" s="125"/>
      <c r="BA175" s="125"/>
      <c r="BB175" s="125"/>
      <c r="BC175" s="125"/>
      <c r="BD175" s="125"/>
      <c r="BE175" s="125"/>
      <c r="BF175" s="125"/>
      <c r="BG175" s="125"/>
      <c r="BH175" s="125"/>
    </row>
    <row r="176" spans="1:60" s="124" customFormat="1" ht="116.25">
      <c r="A176" s="232" t="s">
        <v>447</v>
      </c>
      <c r="B176" s="231">
        <v>2570</v>
      </c>
      <c r="C176" s="100" t="s">
        <v>555</v>
      </c>
      <c r="D176" s="103"/>
      <c r="E176" s="100" t="s">
        <v>667</v>
      </c>
      <c r="F176" s="100" t="s">
        <v>666</v>
      </c>
      <c r="G176" s="100" t="s">
        <v>985</v>
      </c>
      <c r="H176" s="100" t="s">
        <v>463</v>
      </c>
      <c r="I176" s="100"/>
      <c r="J176" s="100" t="s">
        <v>438</v>
      </c>
      <c r="K176" s="96" t="s">
        <v>63</v>
      </c>
      <c r="L176" s="99">
        <f t="shared" si="2"/>
        <v>33500</v>
      </c>
      <c r="M176" s="98">
        <f t="shared" si="3"/>
        <v>1</v>
      </c>
      <c r="N176" s="147" t="s">
        <v>558</v>
      </c>
      <c r="O176" s="143" t="s">
        <v>472</v>
      </c>
      <c r="P176" s="107"/>
      <c r="Q176" s="96">
        <v>1</v>
      </c>
      <c r="R176" s="107"/>
      <c r="S176" s="153"/>
      <c r="T176" s="104">
        <v>33500</v>
      </c>
      <c r="U176" s="148" t="s">
        <v>980</v>
      </c>
      <c r="V176" s="217"/>
      <c r="W176" s="217"/>
      <c r="X176" s="125"/>
      <c r="Y176" s="125"/>
      <c r="Z176" s="125"/>
      <c r="AA176" s="125"/>
      <c r="AB176" s="125"/>
      <c r="AC176" s="125"/>
      <c r="AD176" s="125"/>
      <c r="AE176" s="125"/>
      <c r="AF176" s="125"/>
      <c r="AG176" s="125"/>
      <c r="AH176" s="125"/>
      <c r="AI176" s="125"/>
      <c r="AJ176" s="125"/>
      <c r="AK176" s="125"/>
      <c r="AL176" s="125"/>
      <c r="AM176" s="125"/>
      <c r="AN176" s="125"/>
      <c r="AO176" s="125"/>
      <c r="AP176" s="125"/>
      <c r="AQ176" s="125"/>
      <c r="AR176" s="125"/>
      <c r="AS176" s="125"/>
      <c r="AT176" s="125"/>
      <c r="AU176" s="125"/>
      <c r="AV176" s="125"/>
      <c r="AW176" s="125"/>
      <c r="AX176" s="125"/>
      <c r="AY176" s="125"/>
      <c r="AZ176" s="125"/>
      <c r="BA176" s="125"/>
      <c r="BB176" s="125"/>
      <c r="BC176" s="125"/>
      <c r="BD176" s="125"/>
      <c r="BE176" s="125"/>
      <c r="BF176" s="125"/>
      <c r="BG176" s="125"/>
      <c r="BH176" s="125"/>
    </row>
    <row r="177" spans="1:60" s="124" customFormat="1" ht="116.25">
      <c r="A177" s="232" t="s">
        <v>447</v>
      </c>
      <c r="B177" s="231">
        <v>2570</v>
      </c>
      <c r="C177" s="100" t="s">
        <v>555</v>
      </c>
      <c r="D177" s="100"/>
      <c r="E177" s="100" t="s">
        <v>667</v>
      </c>
      <c r="F177" s="100" t="s">
        <v>666</v>
      </c>
      <c r="G177" s="100" t="s">
        <v>984</v>
      </c>
      <c r="H177" s="100" t="s">
        <v>363</v>
      </c>
      <c r="I177" s="100"/>
      <c r="J177" s="100" t="s">
        <v>205</v>
      </c>
      <c r="K177" s="96" t="s">
        <v>63</v>
      </c>
      <c r="L177" s="99">
        <f t="shared" si="2"/>
        <v>195300</v>
      </c>
      <c r="M177" s="98">
        <f t="shared" si="3"/>
        <v>7</v>
      </c>
      <c r="N177" s="147" t="s">
        <v>558</v>
      </c>
      <c r="O177" s="97" t="s">
        <v>472</v>
      </c>
      <c r="P177" s="98"/>
      <c r="Q177" s="98">
        <v>7</v>
      </c>
      <c r="R177" s="98"/>
      <c r="S177" s="96" t="s">
        <v>983</v>
      </c>
      <c r="T177" s="95">
        <v>27900</v>
      </c>
      <c r="U177" s="109" t="s">
        <v>982</v>
      </c>
      <c r="V177" s="217"/>
      <c r="W177" s="217"/>
      <c r="X177" s="125"/>
      <c r="Y177" s="125"/>
      <c r="Z177" s="125"/>
      <c r="AA177" s="125"/>
      <c r="AB177" s="125"/>
      <c r="AC177" s="125"/>
      <c r="AD177" s="125"/>
      <c r="AE177" s="125"/>
      <c r="AF177" s="125"/>
      <c r="AG177" s="125"/>
      <c r="AH177" s="125"/>
      <c r="AI177" s="125"/>
      <c r="AJ177" s="125"/>
      <c r="AK177" s="125"/>
      <c r="AL177" s="125"/>
      <c r="AM177" s="125"/>
      <c r="AN177" s="125"/>
      <c r="AO177" s="125"/>
      <c r="AP177" s="125"/>
      <c r="AQ177" s="125"/>
      <c r="AR177" s="125"/>
      <c r="AS177" s="125"/>
      <c r="AT177" s="125"/>
      <c r="AU177" s="125"/>
      <c r="AV177" s="125"/>
      <c r="AW177" s="125"/>
      <c r="AX177" s="125"/>
      <c r="AY177" s="125"/>
      <c r="AZ177" s="125"/>
      <c r="BA177" s="125"/>
      <c r="BB177" s="125"/>
      <c r="BC177" s="125"/>
      <c r="BD177" s="125"/>
      <c r="BE177" s="125"/>
      <c r="BF177" s="125"/>
      <c r="BG177" s="125"/>
      <c r="BH177" s="125"/>
    </row>
    <row r="178" spans="1:60" s="124" customFormat="1" ht="116.25">
      <c r="A178" s="232" t="s">
        <v>447</v>
      </c>
      <c r="B178" s="231">
        <v>2570</v>
      </c>
      <c r="C178" s="100" t="s">
        <v>555</v>
      </c>
      <c r="D178" s="100"/>
      <c r="E178" s="100" t="s">
        <v>667</v>
      </c>
      <c r="F178" s="100" t="s">
        <v>666</v>
      </c>
      <c r="G178" s="103" t="s">
        <v>981</v>
      </c>
      <c r="H178" s="100" t="s">
        <v>255</v>
      </c>
      <c r="I178" s="100"/>
      <c r="J178" s="100" t="s">
        <v>253</v>
      </c>
      <c r="K178" s="96" t="s">
        <v>63</v>
      </c>
      <c r="L178" s="106">
        <f t="shared" ref="L178:L241" si="4">M178*T178</f>
        <v>28600</v>
      </c>
      <c r="M178" s="98">
        <f t="shared" ref="M178:M241" si="5">Q178+R178</f>
        <v>1</v>
      </c>
      <c r="N178" s="147" t="s">
        <v>558</v>
      </c>
      <c r="O178" s="97" t="s">
        <v>472</v>
      </c>
      <c r="P178" s="96"/>
      <c r="Q178" s="96"/>
      <c r="R178" s="96">
        <v>1</v>
      </c>
      <c r="S178" s="96"/>
      <c r="T178" s="104">
        <v>28600</v>
      </c>
      <c r="U178" s="94" t="s">
        <v>980</v>
      </c>
      <c r="V178" s="217"/>
      <c r="W178" s="217"/>
      <c r="X178" s="125"/>
      <c r="Y178" s="125"/>
      <c r="Z178" s="125"/>
      <c r="AA178" s="125"/>
      <c r="AB178" s="125"/>
      <c r="AC178" s="125"/>
      <c r="AD178" s="125"/>
      <c r="AE178" s="125"/>
      <c r="AF178" s="125"/>
      <c r="AG178" s="125"/>
      <c r="AH178" s="125"/>
      <c r="AI178" s="125"/>
      <c r="AJ178" s="125"/>
      <c r="AK178" s="125"/>
      <c r="AL178" s="125"/>
      <c r="AM178" s="125"/>
      <c r="AN178" s="125"/>
      <c r="AO178" s="125"/>
      <c r="AP178" s="125"/>
      <c r="AQ178" s="125"/>
      <c r="AR178" s="125"/>
      <c r="AS178" s="125"/>
      <c r="AT178" s="125"/>
      <c r="AU178" s="125"/>
      <c r="AV178" s="125"/>
      <c r="AW178" s="125"/>
      <c r="AX178" s="125"/>
      <c r="AY178" s="125"/>
      <c r="AZ178" s="125"/>
      <c r="BA178" s="125"/>
      <c r="BB178" s="125"/>
      <c r="BC178" s="125"/>
      <c r="BD178" s="125"/>
      <c r="BE178" s="125"/>
      <c r="BF178" s="125"/>
      <c r="BG178" s="125"/>
      <c r="BH178" s="125"/>
    </row>
    <row r="179" spans="1:60" s="124" customFormat="1" ht="116.25">
      <c r="A179" s="232" t="s">
        <v>447</v>
      </c>
      <c r="B179" s="231">
        <v>2570</v>
      </c>
      <c r="C179" s="100" t="s">
        <v>555</v>
      </c>
      <c r="D179" s="100"/>
      <c r="E179" s="100" t="s">
        <v>667</v>
      </c>
      <c r="F179" s="100" t="s">
        <v>666</v>
      </c>
      <c r="G179" s="100" t="s">
        <v>979</v>
      </c>
      <c r="H179" s="100" t="s">
        <v>389</v>
      </c>
      <c r="I179" s="100"/>
      <c r="J179" s="100" t="s">
        <v>387</v>
      </c>
      <c r="K179" s="96" t="s">
        <v>149</v>
      </c>
      <c r="L179" s="99">
        <f t="shared" si="4"/>
        <v>61800</v>
      </c>
      <c r="M179" s="98">
        <f t="shared" si="5"/>
        <v>2</v>
      </c>
      <c r="N179" s="147" t="s">
        <v>558</v>
      </c>
      <c r="O179" s="97" t="s">
        <v>472</v>
      </c>
      <c r="P179" s="96"/>
      <c r="Q179" s="145"/>
      <c r="R179" s="145">
        <v>2</v>
      </c>
      <c r="S179" s="98"/>
      <c r="T179" s="95">
        <v>30900</v>
      </c>
      <c r="U179" s="109" t="s">
        <v>980</v>
      </c>
      <c r="V179" s="217"/>
      <c r="W179" s="217"/>
      <c r="X179" s="125"/>
      <c r="Y179" s="125"/>
      <c r="Z179" s="125"/>
      <c r="AA179" s="125"/>
      <c r="AB179" s="125"/>
      <c r="AC179" s="125"/>
      <c r="AD179" s="125"/>
      <c r="AE179" s="125"/>
      <c r="AF179" s="125"/>
      <c r="AG179" s="125"/>
      <c r="AH179" s="125"/>
      <c r="AI179" s="125"/>
      <c r="AJ179" s="125"/>
      <c r="AK179" s="125"/>
      <c r="AL179" s="125"/>
      <c r="AM179" s="125"/>
      <c r="AN179" s="125"/>
      <c r="AO179" s="125"/>
      <c r="AP179" s="125"/>
      <c r="AQ179" s="125"/>
      <c r="AR179" s="125"/>
      <c r="AS179" s="125"/>
      <c r="AT179" s="125"/>
      <c r="AU179" s="125"/>
      <c r="AV179" s="125"/>
      <c r="AW179" s="125"/>
      <c r="AX179" s="125"/>
      <c r="AY179" s="125"/>
      <c r="AZ179" s="125"/>
      <c r="BA179" s="125"/>
      <c r="BB179" s="125"/>
      <c r="BC179" s="125"/>
      <c r="BD179" s="125"/>
      <c r="BE179" s="125"/>
      <c r="BF179" s="125"/>
      <c r="BG179" s="125"/>
      <c r="BH179" s="125"/>
    </row>
    <row r="180" spans="1:60" s="124" customFormat="1" ht="116.25">
      <c r="A180" s="232" t="s">
        <v>447</v>
      </c>
      <c r="B180" s="231">
        <v>2570</v>
      </c>
      <c r="C180" s="100" t="s">
        <v>555</v>
      </c>
      <c r="D180" s="100"/>
      <c r="E180" s="100" t="s">
        <v>667</v>
      </c>
      <c r="F180" s="100" t="s">
        <v>666</v>
      </c>
      <c r="G180" s="100" t="s">
        <v>979</v>
      </c>
      <c r="H180" s="100" t="s">
        <v>148</v>
      </c>
      <c r="I180" s="100"/>
      <c r="J180" s="100" t="s">
        <v>146</v>
      </c>
      <c r="K180" s="96" t="s">
        <v>63</v>
      </c>
      <c r="L180" s="99">
        <f t="shared" si="4"/>
        <v>30900</v>
      </c>
      <c r="M180" s="98">
        <f t="shared" si="5"/>
        <v>1</v>
      </c>
      <c r="N180" s="147" t="s">
        <v>558</v>
      </c>
      <c r="O180" s="97" t="s">
        <v>472</v>
      </c>
      <c r="P180" s="98"/>
      <c r="Q180" s="145">
        <v>1</v>
      </c>
      <c r="R180" s="145"/>
      <c r="S180" s="149"/>
      <c r="T180" s="95">
        <v>30900</v>
      </c>
      <c r="U180" s="109" t="s">
        <v>978</v>
      </c>
      <c r="V180" s="217"/>
      <c r="W180" s="217"/>
      <c r="X180" s="125"/>
      <c r="Y180" s="125"/>
      <c r="Z180" s="125"/>
      <c r="AA180" s="125"/>
      <c r="AB180" s="125"/>
      <c r="AC180" s="125"/>
      <c r="AD180" s="125"/>
      <c r="AE180" s="125"/>
      <c r="AF180" s="125"/>
      <c r="AG180" s="125"/>
      <c r="AH180" s="125"/>
      <c r="AI180" s="125"/>
      <c r="AJ180" s="125"/>
      <c r="AK180" s="125"/>
      <c r="AL180" s="125"/>
      <c r="AM180" s="125"/>
      <c r="AN180" s="125"/>
      <c r="AO180" s="125"/>
      <c r="AP180" s="125"/>
      <c r="AQ180" s="125"/>
      <c r="AR180" s="125"/>
      <c r="AS180" s="125"/>
      <c r="AT180" s="125"/>
      <c r="AU180" s="125"/>
      <c r="AV180" s="125"/>
      <c r="AW180" s="125"/>
      <c r="AX180" s="125"/>
      <c r="AY180" s="125"/>
      <c r="AZ180" s="125"/>
      <c r="BA180" s="125"/>
      <c r="BB180" s="125"/>
      <c r="BC180" s="125"/>
      <c r="BD180" s="125"/>
      <c r="BE180" s="125"/>
      <c r="BF180" s="125"/>
      <c r="BG180" s="125"/>
      <c r="BH180" s="125"/>
    </row>
    <row r="181" spans="1:60" s="124" customFormat="1" ht="139.5">
      <c r="A181" s="232" t="s">
        <v>447</v>
      </c>
      <c r="B181" s="231">
        <v>2570</v>
      </c>
      <c r="C181" s="100" t="s">
        <v>555</v>
      </c>
      <c r="D181" s="100"/>
      <c r="E181" s="100" t="s">
        <v>667</v>
      </c>
      <c r="F181" s="100" t="s">
        <v>666</v>
      </c>
      <c r="G181" s="100" t="s">
        <v>977</v>
      </c>
      <c r="H181" s="100" t="s">
        <v>350</v>
      </c>
      <c r="I181" s="100"/>
      <c r="J181" s="100" t="s">
        <v>103</v>
      </c>
      <c r="K181" s="96" t="s">
        <v>63</v>
      </c>
      <c r="L181" s="99">
        <f t="shared" si="4"/>
        <v>227400</v>
      </c>
      <c r="M181" s="98">
        <f t="shared" si="5"/>
        <v>6</v>
      </c>
      <c r="N181" s="147" t="s">
        <v>558</v>
      </c>
      <c r="O181" s="97" t="s">
        <v>472</v>
      </c>
      <c r="P181" s="96"/>
      <c r="Q181" s="96">
        <v>3</v>
      </c>
      <c r="R181" s="96">
        <v>3</v>
      </c>
      <c r="S181" s="96" t="s">
        <v>976</v>
      </c>
      <c r="T181" s="95">
        <v>37900</v>
      </c>
      <c r="U181" s="94" t="s">
        <v>975</v>
      </c>
      <c r="V181" s="217"/>
      <c r="W181" s="217"/>
      <c r="X181" s="125"/>
      <c r="Y181" s="125"/>
      <c r="Z181" s="125"/>
      <c r="AA181" s="125"/>
      <c r="AB181" s="125"/>
      <c r="AC181" s="125"/>
      <c r="AD181" s="125"/>
      <c r="AE181" s="125"/>
      <c r="AF181" s="125"/>
      <c r="AG181" s="125"/>
      <c r="AH181" s="125"/>
      <c r="AI181" s="125"/>
      <c r="AJ181" s="125"/>
      <c r="AK181" s="125"/>
      <c r="AL181" s="125"/>
      <c r="AM181" s="125"/>
      <c r="AN181" s="125"/>
      <c r="AO181" s="125"/>
      <c r="AP181" s="125"/>
      <c r="AQ181" s="125"/>
      <c r="AR181" s="125"/>
      <c r="AS181" s="125"/>
      <c r="AT181" s="125"/>
      <c r="AU181" s="125"/>
      <c r="AV181" s="125"/>
      <c r="AW181" s="125"/>
      <c r="AX181" s="125"/>
      <c r="AY181" s="125"/>
      <c r="AZ181" s="125"/>
      <c r="BA181" s="125"/>
      <c r="BB181" s="125"/>
      <c r="BC181" s="125"/>
      <c r="BD181" s="125"/>
      <c r="BE181" s="125"/>
      <c r="BF181" s="125"/>
      <c r="BG181" s="125"/>
      <c r="BH181" s="125"/>
    </row>
    <row r="182" spans="1:60" s="124" customFormat="1" ht="116.25">
      <c r="A182" s="232" t="s">
        <v>447</v>
      </c>
      <c r="B182" s="231">
        <v>2570</v>
      </c>
      <c r="C182" s="100" t="s">
        <v>555</v>
      </c>
      <c r="D182" s="100"/>
      <c r="E182" s="100" t="s">
        <v>667</v>
      </c>
      <c r="F182" s="100" t="s">
        <v>666</v>
      </c>
      <c r="G182" s="103" t="s">
        <v>974</v>
      </c>
      <c r="H182" s="100" t="s">
        <v>141</v>
      </c>
      <c r="I182" s="100"/>
      <c r="J182" s="100" t="s">
        <v>139</v>
      </c>
      <c r="K182" s="96" t="s">
        <v>63</v>
      </c>
      <c r="L182" s="99">
        <f t="shared" si="4"/>
        <v>37900</v>
      </c>
      <c r="M182" s="98">
        <f t="shared" si="5"/>
        <v>1</v>
      </c>
      <c r="N182" s="147" t="s">
        <v>558</v>
      </c>
      <c r="O182" s="97" t="s">
        <v>472</v>
      </c>
      <c r="P182" s="96"/>
      <c r="Q182" s="96">
        <v>1</v>
      </c>
      <c r="R182" s="96"/>
      <c r="S182" s="96" t="s">
        <v>973</v>
      </c>
      <c r="T182" s="152">
        <v>37900</v>
      </c>
      <c r="U182" s="94" t="s">
        <v>972</v>
      </c>
      <c r="V182" s="217"/>
      <c r="W182" s="217"/>
      <c r="X182" s="125"/>
      <c r="Y182" s="125"/>
      <c r="Z182" s="125"/>
      <c r="AA182" s="125"/>
      <c r="AB182" s="125"/>
      <c r="AC182" s="125"/>
      <c r="AD182" s="125"/>
      <c r="AE182" s="125"/>
      <c r="AF182" s="125"/>
      <c r="AG182" s="125"/>
      <c r="AH182" s="125"/>
      <c r="AI182" s="125"/>
      <c r="AJ182" s="125"/>
      <c r="AK182" s="125"/>
      <c r="AL182" s="125"/>
      <c r="AM182" s="125"/>
      <c r="AN182" s="125"/>
      <c r="AO182" s="125"/>
      <c r="AP182" s="125"/>
      <c r="AQ182" s="125"/>
      <c r="AR182" s="125"/>
      <c r="AS182" s="125"/>
      <c r="AT182" s="125"/>
      <c r="AU182" s="125"/>
      <c r="AV182" s="125"/>
      <c r="AW182" s="125"/>
      <c r="AX182" s="125"/>
      <c r="AY182" s="125"/>
      <c r="AZ182" s="125"/>
      <c r="BA182" s="125"/>
      <c r="BB182" s="125"/>
      <c r="BC182" s="125"/>
      <c r="BD182" s="125"/>
      <c r="BE182" s="125"/>
      <c r="BF182" s="125"/>
      <c r="BG182" s="125"/>
      <c r="BH182" s="125"/>
    </row>
    <row r="183" spans="1:60" s="124" customFormat="1" ht="232.5">
      <c r="A183" s="232" t="s">
        <v>447</v>
      </c>
      <c r="B183" s="231">
        <v>2570</v>
      </c>
      <c r="C183" s="100" t="s">
        <v>555</v>
      </c>
      <c r="D183" s="100"/>
      <c r="E183" s="100" t="s">
        <v>667</v>
      </c>
      <c r="F183" s="100" t="s">
        <v>666</v>
      </c>
      <c r="G183" s="100" t="s">
        <v>968</v>
      </c>
      <c r="H183" s="100" t="s">
        <v>62</v>
      </c>
      <c r="I183" s="100"/>
      <c r="J183" s="100" t="s">
        <v>60</v>
      </c>
      <c r="K183" s="96" t="s">
        <v>40</v>
      </c>
      <c r="L183" s="99">
        <f t="shared" si="4"/>
        <v>204500</v>
      </c>
      <c r="M183" s="98">
        <f t="shared" si="5"/>
        <v>5</v>
      </c>
      <c r="N183" s="147" t="s">
        <v>558</v>
      </c>
      <c r="O183" s="97" t="s">
        <v>472</v>
      </c>
      <c r="P183" s="96"/>
      <c r="Q183" s="96">
        <v>5</v>
      </c>
      <c r="R183" s="96"/>
      <c r="S183" s="96" t="s">
        <v>971</v>
      </c>
      <c r="T183" s="95">
        <v>40900</v>
      </c>
      <c r="U183" s="94" t="s">
        <v>970</v>
      </c>
      <c r="V183" s="217"/>
      <c r="W183" s="217"/>
      <c r="X183" s="125"/>
      <c r="Y183" s="125"/>
      <c r="Z183" s="125"/>
      <c r="AA183" s="125"/>
      <c r="AB183" s="125"/>
      <c r="AC183" s="125"/>
      <c r="AD183" s="125"/>
      <c r="AE183" s="125"/>
      <c r="AF183" s="125"/>
      <c r="AG183" s="125"/>
      <c r="AH183" s="125"/>
      <c r="AI183" s="125"/>
      <c r="AJ183" s="125"/>
      <c r="AK183" s="125"/>
      <c r="AL183" s="125"/>
      <c r="AM183" s="125"/>
      <c r="AN183" s="125"/>
      <c r="AO183" s="125"/>
      <c r="AP183" s="125"/>
      <c r="AQ183" s="125"/>
      <c r="AR183" s="125"/>
      <c r="AS183" s="125"/>
      <c r="AT183" s="125"/>
      <c r="AU183" s="125"/>
      <c r="AV183" s="125"/>
      <c r="AW183" s="125"/>
      <c r="AX183" s="125"/>
      <c r="AY183" s="125"/>
      <c r="AZ183" s="125"/>
      <c r="BA183" s="125"/>
      <c r="BB183" s="125"/>
      <c r="BC183" s="125"/>
      <c r="BD183" s="125"/>
      <c r="BE183" s="125"/>
      <c r="BF183" s="125"/>
      <c r="BG183" s="125"/>
      <c r="BH183" s="125"/>
    </row>
    <row r="184" spans="1:60" s="124" customFormat="1" ht="116.25">
      <c r="A184" s="232" t="s">
        <v>447</v>
      </c>
      <c r="B184" s="231">
        <v>2570</v>
      </c>
      <c r="C184" s="100" t="s">
        <v>555</v>
      </c>
      <c r="D184" s="100"/>
      <c r="E184" s="100" t="s">
        <v>667</v>
      </c>
      <c r="F184" s="100" t="s">
        <v>666</v>
      </c>
      <c r="G184" s="100" t="s">
        <v>968</v>
      </c>
      <c r="H184" s="100" t="s">
        <v>18</v>
      </c>
      <c r="I184" s="100"/>
      <c r="J184" s="100" t="s">
        <v>14</v>
      </c>
      <c r="K184" s="96" t="s">
        <v>13</v>
      </c>
      <c r="L184" s="99">
        <f t="shared" si="4"/>
        <v>81800</v>
      </c>
      <c r="M184" s="98">
        <f t="shared" si="5"/>
        <v>2</v>
      </c>
      <c r="N184" s="147" t="s">
        <v>558</v>
      </c>
      <c r="O184" s="97" t="s">
        <v>472</v>
      </c>
      <c r="P184" s="98"/>
      <c r="Q184" s="98"/>
      <c r="R184" s="98">
        <v>2</v>
      </c>
      <c r="S184" s="98"/>
      <c r="T184" s="95">
        <v>40900</v>
      </c>
      <c r="U184" s="160" t="s">
        <v>969</v>
      </c>
      <c r="V184" s="217"/>
      <c r="W184" s="217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125"/>
      <c r="AK184" s="125"/>
      <c r="AL184" s="125"/>
      <c r="AM184" s="125"/>
      <c r="AN184" s="125"/>
      <c r="AO184" s="125"/>
      <c r="AP184" s="125"/>
      <c r="AQ184" s="125"/>
      <c r="AR184" s="125"/>
      <c r="AS184" s="125"/>
      <c r="AT184" s="125"/>
      <c r="AU184" s="125"/>
      <c r="AV184" s="125"/>
      <c r="AW184" s="125"/>
      <c r="AX184" s="125"/>
      <c r="AY184" s="125"/>
      <c r="AZ184" s="125"/>
      <c r="BA184" s="125"/>
      <c r="BB184" s="125"/>
      <c r="BC184" s="125"/>
      <c r="BD184" s="125"/>
      <c r="BE184" s="125"/>
      <c r="BF184" s="125"/>
      <c r="BG184" s="125"/>
      <c r="BH184" s="125"/>
    </row>
    <row r="185" spans="1:60" s="124" customFormat="1" ht="116.25">
      <c r="A185" s="232" t="s">
        <v>447</v>
      </c>
      <c r="B185" s="231">
        <v>2570</v>
      </c>
      <c r="C185" s="100" t="s">
        <v>555</v>
      </c>
      <c r="D185" s="100"/>
      <c r="E185" s="100" t="s">
        <v>667</v>
      </c>
      <c r="F185" s="100" t="s">
        <v>666</v>
      </c>
      <c r="G185" s="100" t="s">
        <v>968</v>
      </c>
      <c r="H185" s="100" t="s">
        <v>53</v>
      </c>
      <c r="I185" s="100"/>
      <c r="J185" s="100" t="s">
        <v>51</v>
      </c>
      <c r="K185" s="96" t="s">
        <v>40</v>
      </c>
      <c r="L185" s="99">
        <f t="shared" si="4"/>
        <v>163600</v>
      </c>
      <c r="M185" s="98">
        <f t="shared" si="5"/>
        <v>4</v>
      </c>
      <c r="N185" s="147" t="s">
        <v>558</v>
      </c>
      <c r="O185" s="97" t="s">
        <v>472</v>
      </c>
      <c r="P185" s="98"/>
      <c r="Q185" s="98"/>
      <c r="R185" s="98">
        <v>4</v>
      </c>
      <c r="S185" s="98"/>
      <c r="T185" s="95">
        <v>40900</v>
      </c>
      <c r="U185" s="160"/>
      <c r="V185" s="217"/>
      <c r="W185" s="217"/>
      <c r="X185" s="125"/>
      <c r="Y185" s="125"/>
      <c r="Z185" s="125"/>
      <c r="AA185" s="125"/>
      <c r="AB185" s="125"/>
      <c r="AC185" s="125"/>
      <c r="AD185" s="125"/>
      <c r="AE185" s="125"/>
      <c r="AF185" s="125"/>
      <c r="AG185" s="125"/>
      <c r="AH185" s="125"/>
      <c r="AI185" s="125"/>
      <c r="AJ185" s="125"/>
      <c r="AK185" s="125"/>
      <c r="AL185" s="125"/>
      <c r="AM185" s="125"/>
      <c r="AN185" s="125"/>
      <c r="AO185" s="125"/>
      <c r="AP185" s="125"/>
      <c r="AQ185" s="125"/>
      <c r="AR185" s="125"/>
      <c r="AS185" s="125"/>
      <c r="AT185" s="125"/>
      <c r="AU185" s="125"/>
      <c r="AV185" s="125"/>
      <c r="AW185" s="125"/>
      <c r="AX185" s="125"/>
      <c r="AY185" s="125"/>
      <c r="AZ185" s="125"/>
      <c r="BA185" s="125"/>
      <c r="BB185" s="125"/>
      <c r="BC185" s="125"/>
      <c r="BD185" s="125"/>
      <c r="BE185" s="125"/>
      <c r="BF185" s="125"/>
      <c r="BG185" s="125"/>
      <c r="BH185" s="125"/>
    </row>
    <row r="186" spans="1:60" s="124" customFormat="1" ht="116.25">
      <c r="A186" s="232" t="s">
        <v>447</v>
      </c>
      <c r="B186" s="231">
        <v>2570</v>
      </c>
      <c r="C186" s="100" t="s">
        <v>555</v>
      </c>
      <c r="D186" s="100"/>
      <c r="E186" s="100" t="s">
        <v>667</v>
      </c>
      <c r="F186" s="100" t="s">
        <v>666</v>
      </c>
      <c r="G186" s="103" t="s">
        <v>967</v>
      </c>
      <c r="H186" s="100" t="s">
        <v>365</v>
      </c>
      <c r="I186" s="100"/>
      <c r="J186" s="100" t="s">
        <v>110</v>
      </c>
      <c r="K186" s="96" t="s">
        <v>63</v>
      </c>
      <c r="L186" s="99">
        <f t="shared" si="4"/>
        <v>290400</v>
      </c>
      <c r="M186" s="98">
        <f t="shared" si="5"/>
        <v>8</v>
      </c>
      <c r="N186" s="147" t="s">
        <v>558</v>
      </c>
      <c r="O186" s="97" t="s">
        <v>472</v>
      </c>
      <c r="P186" s="96"/>
      <c r="Q186" s="96">
        <v>8</v>
      </c>
      <c r="R186" s="96"/>
      <c r="S186" s="134"/>
      <c r="T186" s="95">
        <v>36300</v>
      </c>
      <c r="U186" s="94" t="s">
        <v>965</v>
      </c>
      <c r="V186" s="217"/>
      <c r="W186" s="217"/>
      <c r="X186" s="125"/>
      <c r="Y186" s="125"/>
      <c r="Z186" s="125"/>
      <c r="AA186" s="125"/>
      <c r="AB186" s="125"/>
      <c r="AC186" s="125"/>
      <c r="AD186" s="125"/>
      <c r="AE186" s="125"/>
      <c r="AF186" s="125"/>
      <c r="AG186" s="125"/>
      <c r="AH186" s="125"/>
      <c r="AI186" s="125"/>
      <c r="AJ186" s="125"/>
      <c r="AK186" s="125"/>
      <c r="AL186" s="125"/>
      <c r="AM186" s="125"/>
      <c r="AN186" s="125"/>
      <c r="AO186" s="125"/>
      <c r="AP186" s="125"/>
      <c r="AQ186" s="125"/>
      <c r="AR186" s="125"/>
      <c r="AS186" s="125"/>
      <c r="AT186" s="125"/>
      <c r="AU186" s="125"/>
      <c r="AV186" s="125"/>
      <c r="AW186" s="125"/>
      <c r="AX186" s="125"/>
      <c r="AY186" s="125"/>
      <c r="AZ186" s="125"/>
      <c r="BA186" s="125"/>
      <c r="BB186" s="125"/>
      <c r="BC186" s="125"/>
      <c r="BD186" s="125"/>
      <c r="BE186" s="125"/>
      <c r="BF186" s="125"/>
      <c r="BG186" s="125"/>
      <c r="BH186" s="125"/>
    </row>
    <row r="187" spans="1:60" s="124" customFormat="1" ht="116.25">
      <c r="A187" s="232" t="s">
        <v>447</v>
      </c>
      <c r="B187" s="231">
        <v>2570</v>
      </c>
      <c r="C187" s="100" t="s">
        <v>555</v>
      </c>
      <c r="D187" s="100"/>
      <c r="E187" s="100" t="s">
        <v>667</v>
      </c>
      <c r="F187" s="100" t="s">
        <v>666</v>
      </c>
      <c r="G187" s="103" t="s">
        <v>966</v>
      </c>
      <c r="H187" s="100" t="s">
        <v>45</v>
      </c>
      <c r="I187" s="100"/>
      <c r="J187" s="100" t="s">
        <v>41</v>
      </c>
      <c r="K187" s="96" t="s">
        <v>40</v>
      </c>
      <c r="L187" s="106">
        <f t="shared" si="4"/>
        <v>435000</v>
      </c>
      <c r="M187" s="98">
        <f t="shared" si="5"/>
        <v>10</v>
      </c>
      <c r="N187" s="147" t="s">
        <v>558</v>
      </c>
      <c r="O187" s="97" t="s">
        <v>472</v>
      </c>
      <c r="P187" s="96"/>
      <c r="Q187" s="107">
        <v>10</v>
      </c>
      <c r="R187" s="96"/>
      <c r="S187" s="134"/>
      <c r="T187" s="104">
        <v>43500</v>
      </c>
      <c r="U187" s="94" t="s">
        <v>965</v>
      </c>
      <c r="V187" s="217"/>
      <c r="W187" s="217"/>
      <c r="X187" s="125"/>
      <c r="Y187" s="125"/>
      <c r="Z187" s="125"/>
      <c r="AA187" s="125"/>
      <c r="AB187" s="125"/>
      <c r="AC187" s="125"/>
      <c r="AD187" s="125"/>
      <c r="AE187" s="125"/>
      <c r="AF187" s="125"/>
      <c r="AG187" s="125"/>
      <c r="AH187" s="125"/>
      <c r="AI187" s="125"/>
      <c r="AJ187" s="125"/>
      <c r="AK187" s="125"/>
      <c r="AL187" s="125"/>
      <c r="AM187" s="125"/>
      <c r="AN187" s="125"/>
      <c r="AO187" s="125"/>
      <c r="AP187" s="125"/>
      <c r="AQ187" s="125"/>
      <c r="AR187" s="125"/>
      <c r="AS187" s="125"/>
      <c r="AT187" s="125"/>
      <c r="AU187" s="125"/>
      <c r="AV187" s="125"/>
      <c r="AW187" s="125"/>
      <c r="AX187" s="125"/>
      <c r="AY187" s="125"/>
      <c r="AZ187" s="125"/>
      <c r="BA187" s="125"/>
      <c r="BB187" s="125"/>
      <c r="BC187" s="125"/>
      <c r="BD187" s="125"/>
      <c r="BE187" s="125"/>
      <c r="BF187" s="125"/>
      <c r="BG187" s="125"/>
      <c r="BH187" s="125"/>
    </row>
    <row r="188" spans="1:60" s="124" customFormat="1" ht="116.25">
      <c r="A188" s="232" t="s">
        <v>447</v>
      </c>
      <c r="B188" s="231">
        <v>2570</v>
      </c>
      <c r="C188" s="100" t="s">
        <v>555</v>
      </c>
      <c r="D188" s="100"/>
      <c r="E188" s="100" t="s">
        <v>667</v>
      </c>
      <c r="F188" s="100" t="s">
        <v>666</v>
      </c>
      <c r="G188" s="126" t="s">
        <v>963</v>
      </c>
      <c r="H188" s="100" t="s">
        <v>265</v>
      </c>
      <c r="I188" s="100"/>
      <c r="J188" s="100" t="s">
        <v>263</v>
      </c>
      <c r="K188" s="96" t="s">
        <v>63</v>
      </c>
      <c r="L188" s="99">
        <f t="shared" si="4"/>
        <v>428800</v>
      </c>
      <c r="M188" s="98">
        <f t="shared" si="5"/>
        <v>8</v>
      </c>
      <c r="N188" s="147" t="s">
        <v>558</v>
      </c>
      <c r="O188" s="97" t="s">
        <v>472</v>
      </c>
      <c r="P188" s="96"/>
      <c r="Q188" s="96"/>
      <c r="R188" s="96">
        <v>8</v>
      </c>
      <c r="S188" s="96"/>
      <c r="T188" s="95">
        <v>53600</v>
      </c>
      <c r="U188" s="94" t="s">
        <v>964</v>
      </c>
      <c r="V188" s="217"/>
      <c r="W188" s="217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  <c r="AH188" s="125"/>
      <c r="AI188" s="125"/>
      <c r="AJ188" s="125"/>
      <c r="AK188" s="125"/>
      <c r="AL188" s="125"/>
      <c r="AM188" s="125"/>
      <c r="AN188" s="125"/>
      <c r="AO188" s="125"/>
      <c r="AP188" s="125"/>
      <c r="AQ188" s="125"/>
      <c r="AR188" s="125"/>
      <c r="AS188" s="125"/>
      <c r="AT188" s="125"/>
      <c r="AU188" s="125"/>
      <c r="AV188" s="125"/>
      <c r="AW188" s="125"/>
      <c r="AX188" s="125"/>
      <c r="AY188" s="125"/>
      <c r="AZ188" s="125"/>
      <c r="BA188" s="125"/>
      <c r="BB188" s="125"/>
      <c r="BC188" s="125"/>
      <c r="BD188" s="125"/>
      <c r="BE188" s="125"/>
      <c r="BF188" s="125"/>
      <c r="BG188" s="125"/>
      <c r="BH188" s="125"/>
    </row>
    <row r="189" spans="1:60" s="124" customFormat="1" ht="116.25">
      <c r="A189" s="232" t="s">
        <v>447</v>
      </c>
      <c r="B189" s="231">
        <v>2570</v>
      </c>
      <c r="C189" s="100" t="s">
        <v>555</v>
      </c>
      <c r="D189" s="100"/>
      <c r="E189" s="100" t="s">
        <v>667</v>
      </c>
      <c r="F189" s="100" t="s">
        <v>666</v>
      </c>
      <c r="G189" s="126" t="s">
        <v>963</v>
      </c>
      <c r="H189" s="100" t="s">
        <v>171</v>
      </c>
      <c r="I189" s="100"/>
      <c r="J189" s="100" t="s">
        <v>169</v>
      </c>
      <c r="K189" s="96" t="s">
        <v>149</v>
      </c>
      <c r="L189" s="99">
        <f t="shared" si="4"/>
        <v>53600</v>
      </c>
      <c r="M189" s="98">
        <f t="shared" si="5"/>
        <v>1</v>
      </c>
      <c r="N189" s="147" t="s">
        <v>558</v>
      </c>
      <c r="O189" s="97" t="s">
        <v>472</v>
      </c>
      <c r="P189" s="98"/>
      <c r="Q189" s="98">
        <v>1</v>
      </c>
      <c r="R189" s="98"/>
      <c r="S189" s="96" t="s">
        <v>962</v>
      </c>
      <c r="T189" s="95">
        <v>53600</v>
      </c>
      <c r="U189" s="131" t="s">
        <v>961</v>
      </c>
      <c r="V189" s="217"/>
      <c r="W189" s="217"/>
      <c r="X189" s="125"/>
      <c r="Y189" s="125"/>
      <c r="Z189" s="125"/>
      <c r="AA189" s="125"/>
      <c r="AB189" s="125"/>
      <c r="AC189" s="125"/>
      <c r="AD189" s="125"/>
      <c r="AE189" s="125"/>
      <c r="AF189" s="125"/>
      <c r="AG189" s="125"/>
      <c r="AH189" s="125"/>
      <c r="AI189" s="125"/>
      <c r="AJ189" s="125"/>
      <c r="AK189" s="125"/>
      <c r="AL189" s="125"/>
      <c r="AM189" s="125"/>
      <c r="AN189" s="125"/>
      <c r="AO189" s="125"/>
      <c r="AP189" s="125"/>
      <c r="AQ189" s="125"/>
      <c r="AR189" s="125"/>
      <c r="AS189" s="125"/>
      <c r="AT189" s="125"/>
      <c r="AU189" s="125"/>
      <c r="AV189" s="125"/>
      <c r="AW189" s="125"/>
      <c r="AX189" s="125"/>
      <c r="AY189" s="125"/>
      <c r="AZ189" s="125"/>
      <c r="BA189" s="125"/>
      <c r="BB189" s="125"/>
      <c r="BC189" s="125"/>
      <c r="BD189" s="125"/>
      <c r="BE189" s="125"/>
      <c r="BF189" s="125"/>
      <c r="BG189" s="125"/>
      <c r="BH189" s="125"/>
    </row>
    <row r="190" spans="1:60" s="124" customFormat="1" ht="116.25">
      <c r="A190" s="232" t="s">
        <v>447</v>
      </c>
      <c r="B190" s="231">
        <v>2570</v>
      </c>
      <c r="C190" s="100" t="s">
        <v>555</v>
      </c>
      <c r="D190" s="100"/>
      <c r="E190" s="100" t="s">
        <v>667</v>
      </c>
      <c r="F190" s="100" t="s">
        <v>666</v>
      </c>
      <c r="G190" s="126" t="s">
        <v>960</v>
      </c>
      <c r="H190" s="100" t="s">
        <v>50</v>
      </c>
      <c r="I190" s="100"/>
      <c r="J190" s="100" t="s">
        <v>46</v>
      </c>
      <c r="K190" s="96" t="s">
        <v>40</v>
      </c>
      <c r="L190" s="106">
        <f t="shared" si="4"/>
        <v>165000</v>
      </c>
      <c r="M190" s="98">
        <f t="shared" si="5"/>
        <v>3</v>
      </c>
      <c r="N190" s="147" t="s">
        <v>558</v>
      </c>
      <c r="O190" s="97" t="s">
        <v>472</v>
      </c>
      <c r="P190" s="96"/>
      <c r="Q190" s="96"/>
      <c r="R190" s="98">
        <v>3</v>
      </c>
      <c r="S190" s="98"/>
      <c r="T190" s="104">
        <v>55000</v>
      </c>
      <c r="U190" s="94" t="s">
        <v>959</v>
      </c>
      <c r="V190" s="217"/>
      <c r="W190" s="217"/>
      <c r="X190" s="125"/>
      <c r="Y190" s="125"/>
      <c r="Z190" s="125"/>
      <c r="AA190" s="125"/>
      <c r="AB190" s="125"/>
      <c r="AC190" s="125"/>
      <c r="AD190" s="125"/>
      <c r="AE190" s="125"/>
      <c r="AF190" s="125"/>
      <c r="AG190" s="125"/>
      <c r="AH190" s="125"/>
      <c r="AI190" s="125"/>
      <c r="AJ190" s="125"/>
      <c r="AK190" s="125"/>
      <c r="AL190" s="125"/>
      <c r="AM190" s="125"/>
      <c r="AN190" s="125"/>
      <c r="AO190" s="125"/>
      <c r="AP190" s="125"/>
      <c r="AQ190" s="125"/>
      <c r="AR190" s="125"/>
      <c r="AS190" s="125"/>
      <c r="AT190" s="125"/>
      <c r="AU190" s="125"/>
      <c r="AV190" s="125"/>
      <c r="AW190" s="125"/>
      <c r="AX190" s="125"/>
      <c r="AY190" s="125"/>
      <c r="AZ190" s="125"/>
      <c r="BA190" s="125"/>
      <c r="BB190" s="125"/>
      <c r="BC190" s="125"/>
      <c r="BD190" s="125"/>
      <c r="BE190" s="125"/>
      <c r="BF190" s="125"/>
      <c r="BG190" s="125"/>
      <c r="BH190" s="125"/>
    </row>
    <row r="191" spans="1:60" s="124" customFormat="1" ht="116.25">
      <c r="A191" s="232" t="s">
        <v>447</v>
      </c>
      <c r="B191" s="231">
        <v>2570</v>
      </c>
      <c r="C191" s="100" t="s">
        <v>555</v>
      </c>
      <c r="D191" s="100"/>
      <c r="E191" s="100" t="s">
        <v>667</v>
      </c>
      <c r="F191" s="100" t="s">
        <v>666</v>
      </c>
      <c r="G191" s="126" t="s">
        <v>960</v>
      </c>
      <c r="H191" s="100" t="s">
        <v>259</v>
      </c>
      <c r="I191" s="100"/>
      <c r="J191" s="100" t="s">
        <v>257</v>
      </c>
      <c r="K191" s="96" t="s">
        <v>63</v>
      </c>
      <c r="L191" s="106">
        <f t="shared" si="4"/>
        <v>163200</v>
      </c>
      <c r="M191" s="98">
        <f t="shared" si="5"/>
        <v>3</v>
      </c>
      <c r="N191" s="147" t="s">
        <v>558</v>
      </c>
      <c r="O191" s="97" t="s">
        <v>472</v>
      </c>
      <c r="P191" s="96"/>
      <c r="Q191" s="96"/>
      <c r="R191" s="96">
        <v>3</v>
      </c>
      <c r="S191" s="96"/>
      <c r="T191" s="104">
        <v>54400</v>
      </c>
      <c r="U191" s="94" t="s">
        <v>959</v>
      </c>
      <c r="V191" s="217"/>
      <c r="W191" s="217"/>
      <c r="X191" s="125"/>
      <c r="Y191" s="125"/>
      <c r="Z191" s="125"/>
      <c r="AA191" s="125"/>
      <c r="AB191" s="125"/>
      <c r="AC191" s="125"/>
      <c r="AD191" s="125"/>
      <c r="AE191" s="125"/>
      <c r="AF191" s="125"/>
      <c r="AG191" s="125"/>
      <c r="AH191" s="125"/>
      <c r="AI191" s="125"/>
      <c r="AJ191" s="125"/>
      <c r="AK191" s="125"/>
      <c r="AL191" s="125"/>
      <c r="AM191" s="125"/>
      <c r="AN191" s="125"/>
      <c r="AO191" s="125"/>
      <c r="AP191" s="125"/>
      <c r="AQ191" s="125"/>
      <c r="AR191" s="125"/>
      <c r="AS191" s="125"/>
      <c r="AT191" s="125"/>
      <c r="AU191" s="125"/>
      <c r="AV191" s="125"/>
      <c r="AW191" s="125"/>
      <c r="AX191" s="125"/>
      <c r="AY191" s="125"/>
      <c r="AZ191" s="125"/>
      <c r="BA191" s="125"/>
      <c r="BB191" s="125"/>
      <c r="BC191" s="125"/>
      <c r="BD191" s="125"/>
      <c r="BE191" s="125"/>
      <c r="BF191" s="125"/>
      <c r="BG191" s="125"/>
      <c r="BH191" s="125"/>
    </row>
    <row r="192" spans="1:60" s="124" customFormat="1" ht="116.25">
      <c r="A192" s="232" t="s">
        <v>447</v>
      </c>
      <c r="B192" s="231">
        <v>2570</v>
      </c>
      <c r="C192" s="100" t="s">
        <v>555</v>
      </c>
      <c r="D192" s="100"/>
      <c r="E192" s="100" t="s">
        <v>667</v>
      </c>
      <c r="F192" s="100" t="s">
        <v>666</v>
      </c>
      <c r="G192" s="126" t="s">
        <v>958</v>
      </c>
      <c r="H192" s="100" t="s">
        <v>24</v>
      </c>
      <c r="I192" s="100"/>
      <c r="J192" s="100" t="s">
        <v>22</v>
      </c>
      <c r="K192" s="96" t="s">
        <v>13</v>
      </c>
      <c r="L192" s="99">
        <f t="shared" si="4"/>
        <v>217600</v>
      </c>
      <c r="M192" s="98">
        <f t="shared" si="5"/>
        <v>4</v>
      </c>
      <c r="N192" s="147" t="s">
        <v>558</v>
      </c>
      <c r="O192" s="97" t="s">
        <v>472</v>
      </c>
      <c r="P192" s="96"/>
      <c r="Q192" s="96"/>
      <c r="R192" s="96">
        <v>4</v>
      </c>
      <c r="S192" s="96"/>
      <c r="T192" s="95">
        <v>54400</v>
      </c>
      <c r="U192" s="94" t="s">
        <v>957</v>
      </c>
      <c r="V192" s="217"/>
      <c r="W192" s="217"/>
      <c r="X192" s="125"/>
      <c r="Y192" s="125"/>
      <c r="Z192" s="125"/>
      <c r="AA192" s="125"/>
      <c r="AB192" s="125"/>
      <c r="AC192" s="125"/>
      <c r="AD192" s="125"/>
      <c r="AE192" s="125"/>
      <c r="AF192" s="125"/>
      <c r="AG192" s="125"/>
      <c r="AH192" s="125"/>
      <c r="AI192" s="125"/>
      <c r="AJ192" s="125"/>
      <c r="AK192" s="125"/>
      <c r="AL192" s="125"/>
      <c r="AM192" s="125"/>
      <c r="AN192" s="125"/>
      <c r="AO192" s="125"/>
      <c r="AP192" s="125"/>
      <c r="AQ192" s="125"/>
      <c r="AR192" s="125"/>
      <c r="AS192" s="125"/>
      <c r="AT192" s="125"/>
      <c r="AU192" s="125"/>
      <c r="AV192" s="125"/>
      <c r="AW192" s="125"/>
      <c r="AX192" s="125"/>
      <c r="AY192" s="125"/>
      <c r="AZ192" s="125"/>
      <c r="BA192" s="125"/>
      <c r="BB192" s="125"/>
      <c r="BC192" s="125"/>
      <c r="BD192" s="125"/>
      <c r="BE192" s="125"/>
      <c r="BF192" s="125"/>
      <c r="BG192" s="125"/>
      <c r="BH192" s="125"/>
    </row>
    <row r="193" spans="1:60" s="124" customFormat="1" ht="116.25">
      <c r="A193" s="234" t="s">
        <v>447</v>
      </c>
      <c r="B193" s="231">
        <v>2570</v>
      </c>
      <c r="C193" s="157" t="s">
        <v>555</v>
      </c>
      <c r="D193" s="157"/>
      <c r="E193" s="157" t="s">
        <v>667</v>
      </c>
      <c r="F193" s="157" t="s">
        <v>666</v>
      </c>
      <c r="G193" s="158" t="s">
        <v>947</v>
      </c>
      <c r="H193" s="157" t="s">
        <v>457</v>
      </c>
      <c r="I193" s="157"/>
      <c r="J193" s="157" t="s">
        <v>441</v>
      </c>
      <c r="K193" s="134" t="s">
        <v>40</v>
      </c>
      <c r="L193" s="156">
        <f t="shared" si="4"/>
        <v>8000</v>
      </c>
      <c r="M193" s="149">
        <f t="shared" si="5"/>
        <v>1</v>
      </c>
      <c r="N193" s="155" t="s">
        <v>558</v>
      </c>
      <c r="O193" s="154" t="s">
        <v>472</v>
      </c>
      <c r="P193" s="134"/>
      <c r="Q193" s="153">
        <v>1</v>
      </c>
      <c r="R193" s="134"/>
      <c r="S193" s="134" t="s">
        <v>944</v>
      </c>
      <c r="T193" s="152">
        <v>8000</v>
      </c>
      <c r="U193" s="151"/>
      <c r="V193" s="217"/>
      <c r="W193" s="217"/>
      <c r="X193" s="125"/>
      <c r="Y193" s="125"/>
      <c r="Z193" s="125"/>
      <c r="AA193" s="125"/>
      <c r="AB193" s="125"/>
      <c r="AC193" s="125"/>
      <c r="AD193" s="125"/>
      <c r="AE193" s="125"/>
      <c r="AF193" s="125"/>
      <c r="AG193" s="125"/>
      <c r="AH193" s="125"/>
      <c r="AI193" s="125"/>
      <c r="AJ193" s="125"/>
      <c r="AK193" s="125"/>
      <c r="AL193" s="125"/>
      <c r="AM193" s="125"/>
      <c r="AN193" s="125"/>
      <c r="AO193" s="125"/>
      <c r="AP193" s="125"/>
      <c r="AQ193" s="125"/>
      <c r="AR193" s="125"/>
      <c r="AS193" s="125"/>
      <c r="AT193" s="125"/>
      <c r="AU193" s="125"/>
      <c r="AV193" s="125"/>
      <c r="AW193" s="125"/>
      <c r="AX193" s="125"/>
      <c r="AY193" s="125"/>
      <c r="AZ193" s="125"/>
      <c r="BA193" s="125"/>
      <c r="BB193" s="125"/>
      <c r="BC193" s="125"/>
      <c r="BD193" s="125"/>
      <c r="BE193" s="125"/>
      <c r="BF193" s="125"/>
      <c r="BG193" s="125"/>
      <c r="BH193" s="125"/>
    </row>
    <row r="194" spans="1:60" s="124" customFormat="1" ht="116.25">
      <c r="A194" s="232" t="s">
        <v>447</v>
      </c>
      <c r="B194" s="231">
        <v>2570</v>
      </c>
      <c r="C194" s="100" t="s">
        <v>555</v>
      </c>
      <c r="D194" s="100"/>
      <c r="E194" s="100" t="s">
        <v>667</v>
      </c>
      <c r="F194" s="100" t="s">
        <v>666</v>
      </c>
      <c r="G194" s="100" t="s">
        <v>956</v>
      </c>
      <c r="H194" s="100" t="s">
        <v>946</v>
      </c>
      <c r="I194" s="100"/>
      <c r="J194" s="100" t="s">
        <v>945</v>
      </c>
      <c r="K194" s="96" t="s">
        <v>40</v>
      </c>
      <c r="L194" s="99">
        <f t="shared" si="4"/>
        <v>9400</v>
      </c>
      <c r="M194" s="98">
        <f t="shared" si="5"/>
        <v>1</v>
      </c>
      <c r="N194" s="96" t="s">
        <v>596</v>
      </c>
      <c r="O194" s="97" t="s">
        <v>472</v>
      </c>
      <c r="P194" s="96"/>
      <c r="Q194" s="96"/>
      <c r="R194" s="96">
        <v>1</v>
      </c>
      <c r="S194" s="96"/>
      <c r="T194" s="95">
        <v>9400</v>
      </c>
      <c r="U194" s="94" t="s">
        <v>955</v>
      </c>
      <c r="V194" s="217"/>
      <c r="W194" s="217"/>
      <c r="X194" s="125"/>
      <c r="Y194" s="125"/>
      <c r="Z194" s="125"/>
      <c r="AA194" s="125"/>
      <c r="AB194" s="125"/>
      <c r="AC194" s="125"/>
      <c r="AD194" s="125"/>
      <c r="AE194" s="125"/>
      <c r="AF194" s="125"/>
      <c r="AG194" s="125"/>
      <c r="AH194" s="125"/>
      <c r="AI194" s="125"/>
      <c r="AJ194" s="125"/>
      <c r="AK194" s="125"/>
      <c r="AL194" s="125"/>
      <c r="AM194" s="125"/>
      <c r="AN194" s="125"/>
      <c r="AO194" s="125"/>
      <c r="AP194" s="125"/>
      <c r="AQ194" s="125"/>
      <c r="AR194" s="125"/>
      <c r="AS194" s="125"/>
      <c r="AT194" s="125"/>
      <c r="AU194" s="125"/>
      <c r="AV194" s="125"/>
      <c r="AW194" s="125"/>
      <c r="AX194" s="125"/>
      <c r="AY194" s="125"/>
      <c r="AZ194" s="125"/>
      <c r="BA194" s="125"/>
      <c r="BB194" s="125"/>
      <c r="BC194" s="125"/>
      <c r="BD194" s="125"/>
      <c r="BE194" s="125"/>
      <c r="BF194" s="125"/>
      <c r="BG194" s="125"/>
      <c r="BH194" s="125"/>
    </row>
    <row r="195" spans="1:60" s="124" customFormat="1" ht="116.25">
      <c r="A195" s="232" t="s">
        <v>447</v>
      </c>
      <c r="B195" s="231">
        <v>2570</v>
      </c>
      <c r="C195" s="100" t="s">
        <v>555</v>
      </c>
      <c r="D195" s="100"/>
      <c r="E195" s="100" t="s">
        <v>667</v>
      </c>
      <c r="F195" s="100" t="s">
        <v>666</v>
      </c>
      <c r="G195" s="100" t="s">
        <v>956</v>
      </c>
      <c r="H195" s="100" t="s">
        <v>18</v>
      </c>
      <c r="I195" s="100"/>
      <c r="J195" s="100" t="s">
        <v>14</v>
      </c>
      <c r="K195" s="96" t="s">
        <v>13</v>
      </c>
      <c r="L195" s="99">
        <f t="shared" si="4"/>
        <v>9400</v>
      </c>
      <c r="M195" s="98">
        <f t="shared" si="5"/>
        <v>1</v>
      </c>
      <c r="N195" s="96" t="s">
        <v>596</v>
      </c>
      <c r="O195" s="97" t="s">
        <v>472</v>
      </c>
      <c r="P195" s="96"/>
      <c r="Q195" s="96"/>
      <c r="R195" s="96">
        <v>1</v>
      </c>
      <c r="S195" s="96"/>
      <c r="T195" s="95">
        <v>9400</v>
      </c>
      <c r="U195" s="94" t="s">
        <v>955</v>
      </c>
      <c r="V195" s="217"/>
      <c r="W195" s="217"/>
      <c r="X195" s="125"/>
      <c r="Y195" s="125"/>
      <c r="Z195" s="125"/>
      <c r="AA195" s="125"/>
      <c r="AB195" s="125"/>
      <c r="AC195" s="125"/>
      <c r="AD195" s="125"/>
      <c r="AE195" s="125"/>
      <c r="AF195" s="125"/>
      <c r="AG195" s="125"/>
      <c r="AH195" s="125"/>
      <c r="AI195" s="125"/>
      <c r="AJ195" s="125"/>
      <c r="AK195" s="125"/>
      <c r="AL195" s="125"/>
      <c r="AM195" s="125"/>
      <c r="AN195" s="125"/>
      <c r="AO195" s="125"/>
      <c r="AP195" s="125"/>
      <c r="AQ195" s="125"/>
      <c r="AR195" s="125"/>
      <c r="AS195" s="125"/>
      <c r="AT195" s="125"/>
      <c r="AU195" s="125"/>
      <c r="AV195" s="125"/>
      <c r="AW195" s="125"/>
      <c r="AX195" s="125"/>
      <c r="AY195" s="125"/>
      <c r="AZ195" s="125"/>
      <c r="BA195" s="125"/>
      <c r="BB195" s="125"/>
      <c r="BC195" s="125"/>
      <c r="BD195" s="125"/>
      <c r="BE195" s="125"/>
      <c r="BF195" s="125"/>
      <c r="BG195" s="125"/>
      <c r="BH195" s="125"/>
    </row>
    <row r="196" spans="1:60" s="124" customFormat="1" ht="116.25">
      <c r="A196" s="232" t="s">
        <v>447</v>
      </c>
      <c r="B196" s="231">
        <v>2570</v>
      </c>
      <c r="C196" s="100" t="s">
        <v>555</v>
      </c>
      <c r="D196" s="100"/>
      <c r="E196" s="100" t="s">
        <v>667</v>
      </c>
      <c r="F196" s="100" t="s">
        <v>666</v>
      </c>
      <c r="G196" s="100" t="s">
        <v>952</v>
      </c>
      <c r="H196" s="100" t="s">
        <v>50</v>
      </c>
      <c r="I196" s="100"/>
      <c r="J196" s="100" t="s">
        <v>46</v>
      </c>
      <c r="K196" s="96" t="s">
        <v>40</v>
      </c>
      <c r="L196" s="99">
        <f t="shared" si="4"/>
        <v>40000</v>
      </c>
      <c r="M196" s="98">
        <f t="shared" si="5"/>
        <v>1</v>
      </c>
      <c r="N196" s="96" t="s">
        <v>561</v>
      </c>
      <c r="O196" s="97"/>
      <c r="P196" s="97" t="s">
        <v>472</v>
      </c>
      <c r="Q196" s="96">
        <v>1</v>
      </c>
      <c r="R196" s="96"/>
      <c r="S196" s="96" t="s">
        <v>954</v>
      </c>
      <c r="T196" s="95">
        <v>40000</v>
      </c>
      <c r="U196" s="94" t="s">
        <v>953</v>
      </c>
      <c r="V196" s="217"/>
      <c r="W196" s="217"/>
      <c r="X196" s="125"/>
      <c r="Y196" s="125"/>
      <c r="Z196" s="125"/>
      <c r="AA196" s="125"/>
      <c r="AB196" s="125"/>
      <c r="AC196" s="125"/>
      <c r="AD196" s="125"/>
      <c r="AE196" s="125"/>
      <c r="AF196" s="125"/>
      <c r="AG196" s="125"/>
      <c r="AH196" s="125"/>
      <c r="AI196" s="125"/>
      <c r="AJ196" s="125"/>
      <c r="AK196" s="125"/>
      <c r="AL196" s="125"/>
      <c r="AM196" s="125"/>
      <c r="AN196" s="125"/>
      <c r="AO196" s="125"/>
      <c r="AP196" s="125"/>
      <c r="AQ196" s="125"/>
      <c r="AR196" s="125"/>
      <c r="AS196" s="125"/>
      <c r="AT196" s="125"/>
      <c r="AU196" s="125"/>
      <c r="AV196" s="125"/>
      <c r="AW196" s="125"/>
      <c r="AX196" s="125"/>
      <c r="AY196" s="125"/>
      <c r="AZ196" s="125"/>
      <c r="BA196" s="125"/>
      <c r="BB196" s="125"/>
      <c r="BC196" s="125"/>
      <c r="BD196" s="125"/>
      <c r="BE196" s="125"/>
      <c r="BF196" s="125"/>
      <c r="BG196" s="125"/>
      <c r="BH196" s="125"/>
    </row>
    <row r="197" spans="1:60" s="124" customFormat="1" ht="116.25">
      <c r="A197" s="232" t="s">
        <v>447</v>
      </c>
      <c r="B197" s="231">
        <v>2570</v>
      </c>
      <c r="C197" s="100" t="s">
        <v>555</v>
      </c>
      <c r="D197" s="100"/>
      <c r="E197" s="100" t="s">
        <v>667</v>
      </c>
      <c r="F197" s="100" t="s">
        <v>666</v>
      </c>
      <c r="G197" s="100" t="s">
        <v>952</v>
      </c>
      <c r="H197" s="100" t="s">
        <v>300</v>
      </c>
      <c r="I197" s="100"/>
      <c r="J197" s="100" t="s">
        <v>298</v>
      </c>
      <c r="K197" s="96" t="s">
        <v>149</v>
      </c>
      <c r="L197" s="99">
        <f t="shared" si="4"/>
        <v>39150</v>
      </c>
      <c r="M197" s="98">
        <f t="shared" si="5"/>
        <v>1</v>
      </c>
      <c r="N197" s="96" t="s">
        <v>561</v>
      </c>
      <c r="O197" s="97"/>
      <c r="P197" s="97" t="s">
        <v>472</v>
      </c>
      <c r="Q197" s="96"/>
      <c r="R197" s="96">
        <v>1</v>
      </c>
      <c r="S197" s="96"/>
      <c r="T197" s="95">
        <v>39150</v>
      </c>
      <c r="U197" s="94" t="s">
        <v>868</v>
      </c>
      <c r="V197" s="217"/>
      <c r="W197" s="217"/>
      <c r="X197" s="125"/>
      <c r="Y197" s="125"/>
      <c r="Z197" s="125"/>
      <c r="AA197" s="125"/>
      <c r="AB197" s="125"/>
      <c r="AC197" s="125"/>
      <c r="AD197" s="125"/>
      <c r="AE197" s="125"/>
      <c r="AF197" s="125"/>
      <c r="AG197" s="125"/>
      <c r="AH197" s="125"/>
      <c r="AI197" s="125"/>
      <c r="AJ197" s="125"/>
      <c r="AK197" s="125"/>
      <c r="AL197" s="125"/>
      <c r="AM197" s="125"/>
      <c r="AN197" s="125"/>
      <c r="AO197" s="125"/>
      <c r="AP197" s="125"/>
      <c r="AQ197" s="125"/>
      <c r="AR197" s="125"/>
      <c r="AS197" s="125"/>
      <c r="AT197" s="125"/>
      <c r="AU197" s="125"/>
      <c r="AV197" s="125"/>
      <c r="AW197" s="125"/>
      <c r="AX197" s="125"/>
      <c r="AY197" s="125"/>
      <c r="AZ197" s="125"/>
      <c r="BA197" s="125"/>
      <c r="BB197" s="125"/>
      <c r="BC197" s="125"/>
      <c r="BD197" s="125"/>
      <c r="BE197" s="125"/>
      <c r="BF197" s="125"/>
      <c r="BG197" s="125"/>
      <c r="BH197" s="125"/>
    </row>
    <row r="198" spans="1:60" s="124" customFormat="1" ht="116.25">
      <c r="A198" s="232" t="s">
        <v>447</v>
      </c>
      <c r="B198" s="231">
        <v>2570</v>
      </c>
      <c r="C198" s="100" t="s">
        <v>555</v>
      </c>
      <c r="D198" s="100"/>
      <c r="E198" s="100" t="s">
        <v>667</v>
      </c>
      <c r="F198" s="100" t="s">
        <v>666</v>
      </c>
      <c r="G198" s="100" t="s">
        <v>951</v>
      </c>
      <c r="H198" s="100" t="s">
        <v>45</v>
      </c>
      <c r="I198" s="100"/>
      <c r="J198" s="100" t="s">
        <v>41</v>
      </c>
      <c r="K198" s="96" t="s">
        <v>40</v>
      </c>
      <c r="L198" s="99">
        <f t="shared" si="4"/>
        <v>18000</v>
      </c>
      <c r="M198" s="98">
        <f t="shared" si="5"/>
        <v>10</v>
      </c>
      <c r="N198" s="98" t="s">
        <v>558</v>
      </c>
      <c r="O198" s="98"/>
      <c r="P198" s="97" t="s">
        <v>472</v>
      </c>
      <c r="Q198" s="98"/>
      <c r="R198" s="98">
        <v>10</v>
      </c>
      <c r="S198" s="98"/>
      <c r="T198" s="95">
        <v>1800</v>
      </c>
      <c r="U198" s="131" t="s">
        <v>949</v>
      </c>
      <c r="V198" s="217"/>
      <c r="W198" s="217"/>
      <c r="X198" s="125"/>
      <c r="Y198" s="125"/>
      <c r="Z198" s="125"/>
      <c r="AA198" s="125"/>
      <c r="AB198" s="125"/>
      <c r="AC198" s="125"/>
      <c r="AD198" s="125"/>
      <c r="AE198" s="125"/>
      <c r="AF198" s="125"/>
      <c r="AG198" s="125"/>
      <c r="AH198" s="125"/>
      <c r="AI198" s="125"/>
      <c r="AJ198" s="125"/>
      <c r="AK198" s="125"/>
      <c r="AL198" s="125"/>
      <c r="AM198" s="125"/>
      <c r="AN198" s="125"/>
      <c r="AO198" s="125"/>
      <c r="AP198" s="125"/>
      <c r="AQ198" s="125"/>
      <c r="AR198" s="125"/>
      <c r="AS198" s="125"/>
      <c r="AT198" s="125"/>
      <c r="AU198" s="125"/>
      <c r="AV198" s="125"/>
      <c r="AW198" s="125"/>
      <c r="AX198" s="125"/>
      <c r="AY198" s="125"/>
      <c r="AZ198" s="125"/>
      <c r="BA198" s="125"/>
      <c r="BB198" s="125"/>
      <c r="BC198" s="125"/>
      <c r="BD198" s="125"/>
      <c r="BE198" s="125"/>
      <c r="BF198" s="125"/>
      <c r="BG198" s="125"/>
      <c r="BH198" s="125"/>
    </row>
    <row r="199" spans="1:60" s="124" customFormat="1" ht="116.25">
      <c r="A199" s="232" t="s">
        <v>447</v>
      </c>
      <c r="B199" s="231">
        <v>2570</v>
      </c>
      <c r="C199" s="100" t="s">
        <v>555</v>
      </c>
      <c r="D199" s="100"/>
      <c r="E199" s="100" t="s">
        <v>667</v>
      </c>
      <c r="F199" s="100" t="s">
        <v>666</v>
      </c>
      <c r="G199" s="100" t="s">
        <v>951</v>
      </c>
      <c r="H199" s="100" t="s">
        <v>456</v>
      </c>
      <c r="I199" s="100"/>
      <c r="J199" s="100" t="s">
        <v>442</v>
      </c>
      <c r="K199" s="96" t="s">
        <v>40</v>
      </c>
      <c r="L199" s="99">
        <f t="shared" si="4"/>
        <v>12980</v>
      </c>
      <c r="M199" s="98">
        <f t="shared" si="5"/>
        <v>10</v>
      </c>
      <c r="N199" s="98" t="s">
        <v>558</v>
      </c>
      <c r="O199" s="98"/>
      <c r="P199" s="97" t="s">
        <v>472</v>
      </c>
      <c r="Q199" s="98"/>
      <c r="R199" s="98">
        <v>10</v>
      </c>
      <c r="S199" s="98"/>
      <c r="T199" s="95">
        <v>1298</v>
      </c>
      <c r="U199" s="131" t="s">
        <v>949</v>
      </c>
      <c r="V199" s="217"/>
      <c r="W199" s="217"/>
      <c r="X199" s="125"/>
      <c r="Y199" s="125"/>
      <c r="Z199" s="125"/>
      <c r="AA199" s="125"/>
      <c r="AB199" s="125"/>
      <c r="AC199" s="125"/>
      <c r="AD199" s="125"/>
      <c r="AE199" s="125"/>
      <c r="AF199" s="125"/>
      <c r="AG199" s="125"/>
      <c r="AH199" s="125"/>
      <c r="AI199" s="125"/>
      <c r="AJ199" s="125"/>
      <c r="AK199" s="125"/>
      <c r="AL199" s="125"/>
      <c r="AM199" s="125"/>
      <c r="AN199" s="125"/>
      <c r="AO199" s="125"/>
      <c r="AP199" s="125"/>
      <c r="AQ199" s="125"/>
      <c r="AR199" s="125"/>
      <c r="AS199" s="125"/>
      <c r="AT199" s="125"/>
      <c r="AU199" s="125"/>
      <c r="AV199" s="125"/>
      <c r="AW199" s="125"/>
      <c r="AX199" s="125"/>
      <c r="AY199" s="125"/>
      <c r="AZ199" s="125"/>
      <c r="BA199" s="125"/>
      <c r="BB199" s="125"/>
      <c r="BC199" s="125"/>
      <c r="BD199" s="125"/>
      <c r="BE199" s="125"/>
      <c r="BF199" s="125"/>
      <c r="BG199" s="125"/>
      <c r="BH199" s="125"/>
    </row>
    <row r="200" spans="1:60" s="124" customFormat="1" ht="116.25">
      <c r="A200" s="232" t="s">
        <v>447</v>
      </c>
      <c r="B200" s="231">
        <v>2570</v>
      </c>
      <c r="C200" s="100" t="s">
        <v>555</v>
      </c>
      <c r="D200" s="100"/>
      <c r="E200" s="100" t="s">
        <v>667</v>
      </c>
      <c r="F200" s="100" t="s">
        <v>666</v>
      </c>
      <c r="G200" s="100" t="s">
        <v>950</v>
      </c>
      <c r="H200" s="100" t="s">
        <v>204</v>
      </c>
      <c r="I200" s="100"/>
      <c r="J200" s="100" t="s">
        <v>202</v>
      </c>
      <c r="K200" s="96" t="s">
        <v>63</v>
      </c>
      <c r="L200" s="99">
        <f t="shared" si="4"/>
        <v>3000</v>
      </c>
      <c r="M200" s="98">
        <f t="shared" si="5"/>
        <v>2</v>
      </c>
      <c r="N200" s="98" t="s">
        <v>558</v>
      </c>
      <c r="O200" s="96"/>
      <c r="P200" s="97" t="s">
        <v>472</v>
      </c>
      <c r="Q200" s="98"/>
      <c r="R200" s="98">
        <v>2</v>
      </c>
      <c r="S200" s="98"/>
      <c r="T200" s="95">
        <v>1500</v>
      </c>
      <c r="U200" s="150" t="s">
        <v>949</v>
      </c>
      <c r="V200" s="217"/>
      <c r="W200" s="217"/>
      <c r="X200" s="125"/>
      <c r="Y200" s="125"/>
      <c r="Z200" s="125"/>
      <c r="AA200" s="125"/>
      <c r="AB200" s="125"/>
      <c r="AC200" s="125"/>
      <c r="AD200" s="125"/>
      <c r="AE200" s="125"/>
      <c r="AF200" s="125"/>
      <c r="AG200" s="125"/>
      <c r="AH200" s="125"/>
      <c r="AI200" s="125"/>
      <c r="AJ200" s="125"/>
      <c r="AK200" s="125"/>
      <c r="AL200" s="125"/>
      <c r="AM200" s="125"/>
      <c r="AN200" s="125"/>
      <c r="AO200" s="125"/>
      <c r="AP200" s="125"/>
      <c r="AQ200" s="125"/>
      <c r="AR200" s="125"/>
      <c r="AS200" s="125"/>
      <c r="AT200" s="125"/>
      <c r="AU200" s="125"/>
      <c r="AV200" s="125"/>
      <c r="AW200" s="125"/>
      <c r="AX200" s="125"/>
      <c r="AY200" s="125"/>
      <c r="AZ200" s="125"/>
      <c r="BA200" s="125"/>
      <c r="BB200" s="125"/>
      <c r="BC200" s="125"/>
      <c r="BD200" s="125"/>
      <c r="BE200" s="125"/>
      <c r="BF200" s="125"/>
      <c r="BG200" s="125"/>
      <c r="BH200" s="125"/>
    </row>
    <row r="201" spans="1:60" s="124" customFormat="1" ht="116.25">
      <c r="A201" s="232" t="s">
        <v>447</v>
      </c>
      <c r="B201" s="231">
        <v>2570</v>
      </c>
      <c r="C201" s="100" t="s">
        <v>555</v>
      </c>
      <c r="D201" s="100"/>
      <c r="E201" s="100" t="s">
        <v>667</v>
      </c>
      <c r="F201" s="100" t="s">
        <v>666</v>
      </c>
      <c r="G201" s="100" t="s">
        <v>947</v>
      </c>
      <c r="H201" s="100" t="s">
        <v>381</v>
      </c>
      <c r="I201" s="100"/>
      <c r="J201" s="100" t="s">
        <v>379</v>
      </c>
      <c r="K201" s="96" t="s">
        <v>63</v>
      </c>
      <c r="L201" s="106">
        <f t="shared" si="4"/>
        <v>8600</v>
      </c>
      <c r="M201" s="98">
        <f t="shared" si="5"/>
        <v>1</v>
      </c>
      <c r="N201" s="98" t="s">
        <v>558</v>
      </c>
      <c r="O201" s="97" t="s">
        <v>472</v>
      </c>
      <c r="P201" s="96"/>
      <c r="Q201" s="96"/>
      <c r="R201" s="107">
        <v>1</v>
      </c>
      <c r="S201" s="96"/>
      <c r="T201" s="104">
        <v>8600</v>
      </c>
      <c r="U201" s="94" t="s">
        <v>948</v>
      </c>
      <c r="V201" s="217"/>
      <c r="W201" s="217"/>
      <c r="X201" s="125"/>
      <c r="Y201" s="125"/>
      <c r="Z201" s="125"/>
      <c r="AA201" s="125"/>
      <c r="AB201" s="125"/>
      <c r="AC201" s="125"/>
      <c r="AD201" s="125"/>
      <c r="AE201" s="125"/>
      <c r="AF201" s="125"/>
      <c r="AG201" s="125"/>
      <c r="AH201" s="125"/>
      <c r="AI201" s="125"/>
      <c r="AJ201" s="125"/>
      <c r="AK201" s="125"/>
      <c r="AL201" s="125"/>
      <c r="AM201" s="125"/>
      <c r="AN201" s="125"/>
      <c r="AO201" s="125"/>
      <c r="AP201" s="125"/>
      <c r="AQ201" s="125"/>
      <c r="AR201" s="125"/>
      <c r="AS201" s="125"/>
      <c r="AT201" s="125"/>
      <c r="AU201" s="125"/>
      <c r="AV201" s="125"/>
      <c r="AW201" s="125"/>
      <c r="AX201" s="125"/>
      <c r="AY201" s="125"/>
      <c r="AZ201" s="125"/>
      <c r="BA201" s="125"/>
      <c r="BB201" s="125"/>
      <c r="BC201" s="125"/>
      <c r="BD201" s="125"/>
      <c r="BE201" s="125"/>
      <c r="BF201" s="125"/>
      <c r="BG201" s="125"/>
      <c r="BH201" s="125"/>
    </row>
    <row r="202" spans="1:60" s="124" customFormat="1" ht="116.25">
      <c r="A202" s="232" t="s">
        <v>447</v>
      </c>
      <c r="B202" s="231">
        <v>2570</v>
      </c>
      <c r="C202" s="100" t="s">
        <v>555</v>
      </c>
      <c r="D202" s="100"/>
      <c r="E202" s="100" t="s">
        <v>667</v>
      </c>
      <c r="F202" s="100" t="s">
        <v>666</v>
      </c>
      <c r="G202" s="100" t="s">
        <v>947</v>
      </c>
      <c r="H202" s="100" t="s">
        <v>946</v>
      </c>
      <c r="I202" s="100"/>
      <c r="J202" s="100" t="s">
        <v>945</v>
      </c>
      <c r="K202" s="96" t="s">
        <v>40</v>
      </c>
      <c r="L202" s="106">
        <f t="shared" si="4"/>
        <v>8600</v>
      </c>
      <c r="M202" s="98">
        <f t="shared" si="5"/>
        <v>1</v>
      </c>
      <c r="N202" s="98" t="s">
        <v>558</v>
      </c>
      <c r="O202" s="97" t="s">
        <v>472</v>
      </c>
      <c r="P202" s="98"/>
      <c r="Q202" s="98"/>
      <c r="R202" s="133">
        <v>1</v>
      </c>
      <c r="S202" s="98" t="s">
        <v>944</v>
      </c>
      <c r="T202" s="104">
        <v>8600</v>
      </c>
      <c r="U202" s="131" t="s">
        <v>943</v>
      </c>
      <c r="V202" s="217"/>
      <c r="W202" s="217"/>
      <c r="X202" s="125"/>
      <c r="Y202" s="125"/>
      <c r="Z202" s="125"/>
      <c r="AA202" s="125"/>
      <c r="AB202" s="125"/>
      <c r="AC202" s="125"/>
      <c r="AD202" s="125"/>
      <c r="AE202" s="125"/>
      <c r="AF202" s="125"/>
      <c r="AG202" s="125"/>
      <c r="AH202" s="125"/>
      <c r="AI202" s="125"/>
      <c r="AJ202" s="125"/>
      <c r="AK202" s="125"/>
      <c r="AL202" s="125"/>
      <c r="AM202" s="125"/>
      <c r="AN202" s="125"/>
      <c r="AO202" s="125"/>
      <c r="AP202" s="125"/>
      <c r="AQ202" s="125"/>
      <c r="AR202" s="125"/>
      <c r="AS202" s="125"/>
      <c r="AT202" s="125"/>
      <c r="AU202" s="125"/>
      <c r="AV202" s="125"/>
      <c r="AW202" s="125"/>
      <c r="AX202" s="125"/>
      <c r="AY202" s="125"/>
      <c r="AZ202" s="125"/>
      <c r="BA202" s="125"/>
      <c r="BB202" s="125"/>
      <c r="BC202" s="125"/>
      <c r="BD202" s="125"/>
      <c r="BE202" s="125"/>
      <c r="BF202" s="125"/>
      <c r="BG202" s="125"/>
      <c r="BH202" s="125"/>
    </row>
    <row r="203" spans="1:60" s="124" customFormat="1" ht="116.25">
      <c r="A203" s="232" t="s">
        <v>447</v>
      </c>
      <c r="B203" s="231">
        <v>2570</v>
      </c>
      <c r="C203" s="100" t="s">
        <v>555</v>
      </c>
      <c r="D203" s="100"/>
      <c r="E203" s="100" t="s">
        <v>667</v>
      </c>
      <c r="F203" s="100" t="s">
        <v>666</v>
      </c>
      <c r="G203" s="103" t="s">
        <v>942</v>
      </c>
      <c r="H203" s="103" t="s">
        <v>365</v>
      </c>
      <c r="I203" s="103"/>
      <c r="J203" s="103" t="s">
        <v>110</v>
      </c>
      <c r="K203" s="96" t="s">
        <v>63</v>
      </c>
      <c r="L203" s="99">
        <f t="shared" si="4"/>
        <v>54000</v>
      </c>
      <c r="M203" s="98">
        <f t="shared" si="5"/>
        <v>2</v>
      </c>
      <c r="N203" s="98" t="s">
        <v>558</v>
      </c>
      <c r="O203" s="108" t="s">
        <v>472</v>
      </c>
      <c r="P203" s="98"/>
      <c r="Q203" s="98"/>
      <c r="R203" s="98">
        <v>2</v>
      </c>
      <c r="S203" s="98"/>
      <c r="T203" s="95">
        <v>27000</v>
      </c>
      <c r="U203" s="131" t="s">
        <v>941</v>
      </c>
      <c r="V203" s="217"/>
      <c r="W203" s="217"/>
      <c r="X203" s="125"/>
      <c r="Y203" s="125"/>
      <c r="Z203" s="125"/>
      <c r="AA203" s="125"/>
      <c r="AB203" s="125"/>
      <c r="AC203" s="125"/>
      <c r="AD203" s="125"/>
      <c r="AE203" s="125"/>
      <c r="AF203" s="125"/>
      <c r="AG203" s="125"/>
      <c r="AH203" s="125"/>
      <c r="AI203" s="125"/>
      <c r="AJ203" s="125"/>
      <c r="AK203" s="125"/>
      <c r="AL203" s="125"/>
      <c r="AM203" s="125"/>
      <c r="AN203" s="125"/>
      <c r="AO203" s="125"/>
      <c r="AP203" s="125"/>
      <c r="AQ203" s="125"/>
      <c r="AR203" s="125"/>
      <c r="AS203" s="125"/>
      <c r="AT203" s="125"/>
      <c r="AU203" s="125"/>
      <c r="AV203" s="125"/>
      <c r="AW203" s="125"/>
      <c r="AX203" s="125"/>
      <c r="AY203" s="125"/>
      <c r="AZ203" s="125"/>
      <c r="BA203" s="125"/>
      <c r="BB203" s="125"/>
      <c r="BC203" s="125"/>
      <c r="BD203" s="125"/>
      <c r="BE203" s="125"/>
      <c r="BF203" s="125"/>
      <c r="BG203" s="125"/>
      <c r="BH203" s="125"/>
    </row>
    <row r="204" spans="1:60" s="124" customFormat="1" ht="116.25">
      <c r="A204" s="232" t="s">
        <v>447</v>
      </c>
      <c r="B204" s="231">
        <v>2570</v>
      </c>
      <c r="C204" s="100" t="s">
        <v>555</v>
      </c>
      <c r="D204" s="100"/>
      <c r="E204" s="100" t="s">
        <v>667</v>
      </c>
      <c r="F204" s="100" t="s">
        <v>666</v>
      </c>
      <c r="G204" s="103" t="s">
        <v>942</v>
      </c>
      <c r="H204" s="103" t="s">
        <v>365</v>
      </c>
      <c r="I204" s="103"/>
      <c r="J204" s="103" t="s">
        <v>110</v>
      </c>
      <c r="K204" s="96" t="s">
        <v>63</v>
      </c>
      <c r="L204" s="99">
        <f t="shared" si="4"/>
        <v>54000</v>
      </c>
      <c r="M204" s="98">
        <f t="shared" si="5"/>
        <v>2</v>
      </c>
      <c r="N204" s="98" t="s">
        <v>558</v>
      </c>
      <c r="O204" s="108" t="s">
        <v>472</v>
      </c>
      <c r="P204" s="98"/>
      <c r="Q204" s="98"/>
      <c r="R204" s="98">
        <v>2</v>
      </c>
      <c r="S204" s="98"/>
      <c r="T204" s="95">
        <v>27000</v>
      </c>
      <c r="U204" s="109" t="s">
        <v>941</v>
      </c>
      <c r="V204" s="217"/>
      <c r="W204" s="217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  <c r="AU204" s="125"/>
      <c r="AV204" s="125"/>
      <c r="AW204" s="125"/>
      <c r="AX204" s="125"/>
      <c r="AY204" s="125"/>
      <c r="AZ204" s="125"/>
      <c r="BA204" s="125"/>
      <c r="BB204" s="125"/>
      <c r="BC204" s="125"/>
      <c r="BD204" s="125"/>
      <c r="BE204" s="125"/>
      <c r="BF204" s="125"/>
      <c r="BG204" s="125"/>
      <c r="BH204" s="125"/>
    </row>
    <row r="205" spans="1:60" s="124" customFormat="1" ht="116.25">
      <c r="A205" s="232" t="s">
        <v>447</v>
      </c>
      <c r="B205" s="231">
        <v>2570</v>
      </c>
      <c r="C205" s="100" t="s">
        <v>555</v>
      </c>
      <c r="D205" s="100"/>
      <c r="E205" s="100" t="s">
        <v>667</v>
      </c>
      <c r="F205" s="100" t="s">
        <v>666</v>
      </c>
      <c r="G205" s="100" t="s">
        <v>942</v>
      </c>
      <c r="H205" s="100" t="s">
        <v>270</v>
      </c>
      <c r="I205" s="100"/>
      <c r="J205" s="100" t="s">
        <v>172</v>
      </c>
      <c r="K205" s="96" t="s">
        <v>149</v>
      </c>
      <c r="L205" s="99">
        <f t="shared" si="4"/>
        <v>9900</v>
      </c>
      <c r="M205" s="98">
        <f t="shared" si="5"/>
        <v>1</v>
      </c>
      <c r="N205" s="98" t="s">
        <v>558</v>
      </c>
      <c r="O205" s="96"/>
      <c r="P205" s="97" t="s">
        <v>472</v>
      </c>
      <c r="Q205" s="96">
        <v>1</v>
      </c>
      <c r="R205" s="96"/>
      <c r="S205" s="134"/>
      <c r="T205" s="95">
        <v>9900</v>
      </c>
      <c r="U205" s="94" t="s">
        <v>941</v>
      </c>
      <c r="V205" s="217"/>
      <c r="W205" s="217"/>
      <c r="X205" s="125"/>
      <c r="Y205" s="125"/>
      <c r="Z205" s="125"/>
      <c r="AA205" s="125"/>
      <c r="AB205" s="125"/>
      <c r="AC205" s="125"/>
      <c r="AD205" s="125"/>
      <c r="AE205" s="125"/>
      <c r="AF205" s="125"/>
      <c r="AG205" s="125"/>
      <c r="AH205" s="125"/>
      <c r="AI205" s="125"/>
      <c r="AJ205" s="125"/>
      <c r="AK205" s="125"/>
      <c r="AL205" s="125"/>
      <c r="AM205" s="125"/>
      <c r="AN205" s="125"/>
      <c r="AO205" s="125"/>
      <c r="AP205" s="125"/>
      <c r="AQ205" s="125"/>
      <c r="AR205" s="125"/>
      <c r="AS205" s="125"/>
      <c r="AT205" s="125"/>
      <c r="AU205" s="125"/>
      <c r="AV205" s="125"/>
      <c r="AW205" s="125"/>
      <c r="AX205" s="125"/>
      <c r="AY205" s="125"/>
      <c r="AZ205" s="125"/>
      <c r="BA205" s="125"/>
      <c r="BB205" s="125"/>
      <c r="BC205" s="125"/>
      <c r="BD205" s="125"/>
      <c r="BE205" s="125"/>
      <c r="BF205" s="125"/>
      <c r="BG205" s="125"/>
      <c r="BH205" s="125"/>
    </row>
    <row r="206" spans="1:60" s="124" customFormat="1" ht="116.25">
      <c r="A206" s="232" t="s">
        <v>447</v>
      </c>
      <c r="B206" s="231">
        <v>2570</v>
      </c>
      <c r="C206" s="100" t="s">
        <v>555</v>
      </c>
      <c r="D206" s="100"/>
      <c r="E206" s="100" t="s">
        <v>667</v>
      </c>
      <c r="F206" s="100" t="s">
        <v>666</v>
      </c>
      <c r="G206" s="103" t="s">
        <v>939</v>
      </c>
      <c r="H206" s="103" t="s">
        <v>450</v>
      </c>
      <c r="I206" s="103"/>
      <c r="J206" s="103" t="s">
        <v>445</v>
      </c>
      <c r="K206" s="96" t="s">
        <v>13</v>
      </c>
      <c r="L206" s="99">
        <f t="shared" si="4"/>
        <v>12840</v>
      </c>
      <c r="M206" s="98">
        <f t="shared" si="5"/>
        <v>1</v>
      </c>
      <c r="N206" s="96" t="s">
        <v>596</v>
      </c>
      <c r="O206" s="96"/>
      <c r="P206" s="97" t="s">
        <v>472</v>
      </c>
      <c r="Q206" s="96">
        <v>1</v>
      </c>
      <c r="R206" s="96"/>
      <c r="S206" s="96" t="s">
        <v>940</v>
      </c>
      <c r="T206" s="95">
        <v>12840</v>
      </c>
      <c r="U206" s="94" t="s">
        <v>937</v>
      </c>
      <c r="V206" s="217"/>
      <c r="W206" s="217"/>
      <c r="X206" s="125"/>
      <c r="Y206" s="125"/>
      <c r="Z206" s="125"/>
      <c r="AA206" s="125"/>
      <c r="AB206" s="125"/>
      <c r="AC206" s="125"/>
      <c r="AD206" s="125"/>
      <c r="AE206" s="125"/>
      <c r="AF206" s="125"/>
      <c r="AG206" s="125"/>
      <c r="AH206" s="125"/>
      <c r="AI206" s="125"/>
      <c r="AJ206" s="125"/>
      <c r="AK206" s="125"/>
      <c r="AL206" s="125"/>
      <c r="AM206" s="125"/>
      <c r="AN206" s="125"/>
      <c r="AO206" s="125"/>
      <c r="AP206" s="125"/>
      <c r="AQ206" s="125"/>
      <c r="AR206" s="125"/>
      <c r="AS206" s="125"/>
      <c r="AT206" s="125"/>
      <c r="AU206" s="125"/>
      <c r="AV206" s="125"/>
      <c r="AW206" s="125"/>
      <c r="AX206" s="125"/>
      <c r="AY206" s="125"/>
      <c r="AZ206" s="125"/>
      <c r="BA206" s="125"/>
      <c r="BB206" s="125"/>
      <c r="BC206" s="125"/>
      <c r="BD206" s="125"/>
      <c r="BE206" s="125"/>
      <c r="BF206" s="125"/>
      <c r="BG206" s="125"/>
      <c r="BH206" s="125"/>
    </row>
    <row r="207" spans="1:60" s="124" customFormat="1" ht="116.25">
      <c r="A207" s="232" t="s">
        <v>447</v>
      </c>
      <c r="B207" s="231">
        <v>2570</v>
      </c>
      <c r="C207" s="100" t="s">
        <v>555</v>
      </c>
      <c r="D207" s="100"/>
      <c r="E207" s="100" t="s">
        <v>667</v>
      </c>
      <c r="F207" s="100" t="s">
        <v>666</v>
      </c>
      <c r="G207" s="103" t="s">
        <v>939</v>
      </c>
      <c r="H207" s="103" t="s">
        <v>450</v>
      </c>
      <c r="I207" s="103"/>
      <c r="J207" s="103" t="s">
        <v>445</v>
      </c>
      <c r="K207" s="96" t="s">
        <v>13</v>
      </c>
      <c r="L207" s="99">
        <f t="shared" si="4"/>
        <v>3628</v>
      </c>
      <c r="M207" s="98">
        <f t="shared" si="5"/>
        <v>1</v>
      </c>
      <c r="N207" s="96" t="s">
        <v>596</v>
      </c>
      <c r="O207" s="96"/>
      <c r="P207" s="97" t="s">
        <v>472</v>
      </c>
      <c r="Q207" s="96">
        <v>1</v>
      </c>
      <c r="R207" s="96"/>
      <c r="S207" s="96" t="s">
        <v>938</v>
      </c>
      <c r="T207" s="95">
        <v>3628</v>
      </c>
      <c r="U207" s="94" t="s">
        <v>937</v>
      </c>
      <c r="V207" s="217"/>
      <c r="W207" s="217"/>
      <c r="X207" s="125"/>
      <c r="Y207" s="125"/>
      <c r="Z207" s="125"/>
      <c r="AA207" s="125"/>
      <c r="AB207" s="125"/>
      <c r="AC207" s="125"/>
      <c r="AD207" s="125"/>
      <c r="AE207" s="125"/>
      <c r="AF207" s="125"/>
      <c r="AG207" s="125"/>
      <c r="AH207" s="125"/>
      <c r="AI207" s="125"/>
      <c r="AJ207" s="125"/>
      <c r="AK207" s="125"/>
      <c r="AL207" s="125"/>
      <c r="AM207" s="125"/>
      <c r="AN207" s="125"/>
      <c r="AO207" s="125"/>
      <c r="AP207" s="125"/>
      <c r="AQ207" s="125"/>
      <c r="AR207" s="125"/>
      <c r="AS207" s="125"/>
      <c r="AT207" s="125"/>
      <c r="AU207" s="125"/>
      <c r="AV207" s="125"/>
      <c r="AW207" s="125"/>
      <c r="AX207" s="125"/>
      <c r="AY207" s="125"/>
      <c r="AZ207" s="125"/>
      <c r="BA207" s="125"/>
      <c r="BB207" s="125"/>
      <c r="BC207" s="125"/>
      <c r="BD207" s="125"/>
      <c r="BE207" s="125"/>
      <c r="BF207" s="125"/>
      <c r="BG207" s="125"/>
      <c r="BH207" s="125"/>
    </row>
    <row r="208" spans="1:60" s="124" customFormat="1" ht="116.25">
      <c r="A208" s="232" t="s">
        <v>447</v>
      </c>
      <c r="B208" s="231">
        <v>2570</v>
      </c>
      <c r="C208" s="100" t="s">
        <v>555</v>
      </c>
      <c r="D208" s="100"/>
      <c r="E208" s="100" t="s">
        <v>667</v>
      </c>
      <c r="F208" s="100" t="s">
        <v>666</v>
      </c>
      <c r="G208" s="100" t="s">
        <v>935</v>
      </c>
      <c r="H208" s="100" t="s">
        <v>270</v>
      </c>
      <c r="I208" s="100"/>
      <c r="J208" s="100" t="s">
        <v>172</v>
      </c>
      <c r="K208" s="96" t="s">
        <v>149</v>
      </c>
      <c r="L208" s="99">
        <f t="shared" si="4"/>
        <v>3600</v>
      </c>
      <c r="M208" s="98">
        <f t="shared" si="5"/>
        <v>3</v>
      </c>
      <c r="N208" s="98" t="s">
        <v>934</v>
      </c>
      <c r="O208" s="98"/>
      <c r="P208" s="97" t="s">
        <v>472</v>
      </c>
      <c r="Q208" s="98"/>
      <c r="R208" s="98">
        <v>3</v>
      </c>
      <c r="S208" s="98"/>
      <c r="T208" s="95">
        <v>1200</v>
      </c>
      <c r="U208" s="131" t="s">
        <v>936</v>
      </c>
      <c r="V208" s="217"/>
      <c r="W208" s="217"/>
      <c r="X208" s="125"/>
      <c r="Y208" s="125"/>
      <c r="Z208" s="125"/>
      <c r="AA208" s="125"/>
      <c r="AB208" s="125"/>
      <c r="AC208" s="125"/>
      <c r="AD208" s="125"/>
      <c r="AE208" s="125"/>
      <c r="AF208" s="125"/>
      <c r="AG208" s="125"/>
      <c r="AH208" s="125"/>
      <c r="AI208" s="125"/>
      <c r="AJ208" s="125"/>
      <c r="AK208" s="125"/>
      <c r="AL208" s="125"/>
      <c r="AM208" s="125"/>
      <c r="AN208" s="125"/>
      <c r="AO208" s="125"/>
      <c r="AP208" s="125"/>
      <c r="AQ208" s="125"/>
      <c r="AR208" s="125"/>
      <c r="AS208" s="125"/>
      <c r="AT208" s="125"/>
      <c r="AU208" s="125"/>
      <c r="AV208" s="125"/>
      <c r="AW208" s="125"/>
      <c r="AX208" s="125"/>
      <c r="AY208" s="125"/>
      <c r="AZ208" s="125"/>
      <c r="BA208" s="125"/>
      <c r="BB208" s="125"/>
      <c r="BC208" s="125"/>
      <c r="BD208" s="125"/>
      <c r="BE208" s="125"/>
      <c r="BF208" s="125"/>
      <c r="BG208" s="125"/>
      <c r="BH208" s="125"/>
    </row>
    <row r="209" spans="1:60" s="124" customFormat="1" ht="116.25">
      <c r="A209" s="232" t="s">
        <v>447</v>
      </c>
      <c r="B209" s="231">
        <v>2570</v>
      </c>
      <c r="C209" s="100" t="s">
        <v>555</v>
      </c>
      <c r="D209" s="100"/>
      <c r="E209" s="100" t="s">
        <v>667</v>
      </c>
      <c r="F209" s="100" t="s">
        <v>666</v>
      </c>
      <c r="G209" s="100" t="s">
        <v>935</v>
      </c>
      <c r="H209" s="100" t="s">
        <v>29</v>
      </c>
      <c r="I209" s="100"/>
      <c r="J209" s="100" t="s">
        <v>27</v>
      </c>
      <c r="K209" s="96" t="s">
        <v>13</v>
      </c>
      <c r="L209" s="99">
        <f t="shared" si="4"/>
        <v>4400</v>
      </c>
      <c r="M209" s="98">
        <f t="shared" si="5"/>
        <v>4</v>
      </c>
      <c r="N209" s="98" t="s">
        <v>934</v>
      </c>
      <c r="O209" s="98"/>
      <c r="P209" s="97" t="s">
        <v>472</v>
      </c>
      <c r="Q209" s="98"/>
      <c r="R209" s="98">
        <v>4</v>
      </c>
      <c r="S209" s="98"/>
      <c r="T209" s="95">
        <v>1100</v>
      </c>
      <c r="U209" s="131" t="s">
        <v>933</v>
      </c>
      <c r="V209" s="217"/>
      <c r="W209" s="217"/>
      <c r="X209" s="125"/>
      <c r="Y209" s="125"/>
      <c r="Z209" s="125"/>
      <c r="AA209" s="125"/>
      <c r="AB209" s="125"/>
      <c r="AC209" s="125"/>
      <c r="AD209" s="125"/>
      <c r="AE209" s="125"/>
      <c r="AF209" s="125"/>
      <c r="AG209" s="125"/>
      <c r="AH209" s="125"/>
      <c r="AI209" s="125"/>
      <c r="AJ209" s="125"/>
      <c r="AK209" s="125"/>
      <c r="AL209" s="125"/>
      <c r="AM209" s="125"/>
      <c r="AN209" s="125"/>
      <c r="AO209" s="125"/>
      <c r="AP209" s="125"/>
      <c r="AQ209" s="125"/>
      <c r="AR209" s="125"/>
      <c r="AS209" s="125"/>
      <c r="AT209" s="125"/>
      <c r="AU209" s="125"/>
      <c r="AV209" s="125"/>
      <c r="AW209" s="125"/>
      <c r="AX209" s="125"/>
      <c r="AY209" s="125"/>
      <c r="AZ209" s="125"/>
      <c r="BA209" s="125"/>
      <c r="BB209" s="125"/>
      <c r="BC209" s="125"/>
      <c r="BD209" s="125"/>
      <c r="BE209" s="125"/>
      <c r="BF209" s="125"/>
      <c r="BG209" s="125"/>
      <c r="BH209" s="125"/>
    </row>
    <row r="210" spans="1:60" s="124" customFormat="1" ht="116.25">
      <c r="A210" s="232" t="s">
        <v>447</v>
      </c>
      <c r="B210" s="231">
        <v>2570</v>
      </c>
      <c r="C210" s="100" t="s">
        <v>555</v>
      </c>
      <c r="D210" s="100"/>
      <c r="E210" s="100" t="s">
        <v>667</v>
      </c>
      <c r="F210" s="100" t="s">
        <v>666</v>
      </c>
      <c r="G210" s="100" t="s">
        <v>932</v>
      </c>
      <c r="H210" s="100" t="s">
        <v>461</v>
      </c>
      <c r="I210" s="100"/>
      <c r="J210" s="100" t="s">
        <v>439</v>
      </c>
      <c r="K210" s="96" t="s">
        <v>63</v>
      </c>
      <c r="L210" s="99">
        <f t="shared" si="4"/>
        <v>5950</v>
      </c>
      <c r="M210" s="98">
        <f t="shared" si="5"/>
        <v>5</v>
      </c>
      <c r="N210" s="96" t="s">
        <v>558</v>
      </c>
      <c r="O210" s="96"/>
      <c r="P210" s="97" t="s">
        <v>472</v>
      </c>
      <c r="Q210" s="96"/>
      <c r="R210" s="96">
        <v>5</v>
      </c>
      <c r="S210" s="96"/>
      <c r="T210" s="95">
        <v>1190</v>
      </c>
      <c r="U210" s="94" t="s">
        <v>868</v>
      </c>
      <c r="V210" s="217"/>
      <c r="W210" s="217"/>
      <c r="X210" s="125"/>
      <c r="Y210" s="125"/>
      <c r="Z210" s="125"/>
      <c r="AA210" s="125"/>
      <c r="AB210" s="125"/>
      <c r="AC210" s="125"/>
      <c r="AD210" s="125"/>
      <c r="AE210" s="125"/>
      <c r="AF210" s="125"/>
      <c r="AG210" s="125"/>
      <c r="AH210" s="125"/>
      <c r="AI210" s="125"/>
      <c r="AJ210" s="125"/>
      <c r="AK210" s="125"/>
      <c r="AL210" s="125"/>
      <c r="AM210" s="125"/>
      <c r="AN210" s="125"/>
      <c r="AO210" s="125"/>
      <c r="AP210" s="125"/>
      <c r="AQ210" s="125"/>
      <c r="AR210" s="125"/>
      <c r="AS210" s="125"/>
      <c r="AT210" s="125"/>
      <c r="AU210" s="125"/>
      <c r="AV210" s="125"/>
      <c r="AW210" s="125"/>
      <c r="AX210" s="125"/>
      <c r="AY210" s="125"/>
      <c r="AZ210" s="125"/>
      <c r="BA210" s="125"/>
      <c r="BB210" s="125"/>
      <c r="BC210" s="125"/>
      <c r="BD210" s="125"/>
      <c r="BE210" s="125"/>
      <c r="BF210" s="125"/>
      <c r="BG210" s="125"/>
      <c r="BH210" s="125"/>
    </row>
    <row r="211" spans="1:60" s="124" customFormat="1" ht="116.25">
      <c r="A211" s="232" t="s">
        <v>447</v>
      </c>
      <c r="B211" s="231">
        <v>2570</v>
      </c>
      <c r="C211" s="100" t="s">
        <v>555</v>
      </c>
      <c r="D211" s="100"/>
      <c r="E211" s="100" t="s">
        <v>667</v>
      </c>
      <c r="F211" s="100" t="s">
        <v>666</v>
      </c>
      <c r="G211" s="100" t="s">
        <v>932</v>
      </c>
      <c r="H211" s="100" t="s">
        <v>204</v>
      </c>
      <c r="I211" s="100"/>
      <c r="J211" s="100" t="s">
        <v>202</v>
      </c>
      <c r="K211" s="96" t="s">
        <v>63</v>
      </c>
      <c r="L211" s="99">
        <f t="shared" si="4"/>
        <v>8800</v>
      </c>
      <c r="M211" s="98">
        <f t="shared" si="5"/>
        <v>4</v>
      </c>
      <c r="N211" s="96" t="s">
        <v>558</v>
      </c>
      <c r="O211" s="96"/>
      <c r="P211" s="97" t="s">
        <v>472</v>
      </c>
      <c r="Q211" s="96"/>
      <c r="R211" s="96">
        <v>4</v>
      </c>
      <c r="S211" s="96"/>
      <c r="T211" s="95">
        <v>2200</v>
      </c>
      <c r="U211" s="94" t="s">
        <v>868</v>
      </c>
      <c r="V211" s="217"/>
      <c r="W211" s="217"/>
      <c r="X211" s="125"/>
      <c r="Y211" s="125"/>
      <c r="Z211" s="125"/>
      <c r="AA211" s="125"/>
      <c r="AB211" s="125"/>
      <c r="AC211" s="125"/>
      <c r="AD211" s="125"/>
      <c r="AE211" s="125"/>
      <c r="AF211" s="125"/>
      <c r="AG211" s="125"/>
      <c r="AH211" s="125"/>
      <c r="AI211" s="125"/>
      <c r="AJ211" s="125"/>
      <c r="AK211" s="125"/>
      <c r="AL211" s="125"/>
      <c r="AM211" s="125"/>
      <c r="AN211" s="125"/>
      <c r="AO211" s="125"/>
      <c r="AP211" s="125"/>
      <c r="AQ211" s="125"/>
      <c r="AR211" s="125"/>
      <c r="AS211" s="125"/>
      <c r="AT211" s="125"/>
      <c r="AU211" s="125"/>
      <c r="AV211" s="125"/>
      <c r="AW211" s="125"/>
      <c r="AX211" s="125"/>
      <c r="AY211" s="125"/>
      <c r="AZ211" s="125"/>
      <c r="BA211" s="125"/>
      <c r="BB211" s="125"/>
      <c r="BC211" s="125"/>
      <c r="BD211" s="125"/>
      <c r="BE211" s="125"/>
      <c r="BF211" s="125"/>
      <c r="BG211" s="125"/>
      <c r="BH211" s="125"/>
    </row>
    <row r="212" spans="1:60" s="124" customFormat="1" ht="116.25">
      <c r="A212" s="232" t="s">
        <v>447</v>
      </c>
      <c r="B212" s="231">
        <v>2570</v>
      </c>
      <c r="C212" s="100" t="s">
        <v>555</v>
      </c>
      <c r="D212" s="100"/>
      <c r="E212" s="100" t="s">
        <v>667</v>
      </c>
      <c r="F212" s="100" t="s">
        <v>666</v>
      </c>
      <c r="G212" s="100" t="s">
        <v>932</v>
      </c>
      <c r="H212" s="100" t="s">
        <v>171</v>
      </c>
      <c r="I212" s="100"/>
      <c r="J212" s="100" t="s">
        <v>169</v>
      </c>
      <c r="K212" s="96" t="s">
        <v>149</v>
      </c>
      <c r="L212" s="99">
        <f t="shared" si="4"/>
        <v>5200</v>
      </c>
      <c r="M212" s="98">
        <f t="shared" si="5"/>
        <v>2</v>
      </c>
      <c r="N212" s="96" t="s">
        <v>558</v>
      </c>
      <c r="O212" s="98"/>
      <c r="P212" s="97" t="s">
        <v>472</v>
      </c>
      <c r="Q212" s="98">
        <v>2</v>
      </c>
      <c r="R212" s="98"/>
      <c r="S212" s="96" t="s">
        <v>931</v>
      </c>
      <c r="T212" s="95">
        <v>2600</v>
      </c>
      <c r="U212" s="131" t="s">
        <v>868</v>
      </c>
      <c r="V212" s="217"/>
      <c r="W212" s="217"/>
      <c r="X212" s="125"/>
      <c r="Y212" s="125"/>
      <c r="Z212" s="125"/>
      <c r="AA212" s="125"/>
      <c r="AB212" s="125"/>
      <c r="AC212" s="125"/>
      <c r="AD212" s="125"/>
      <c r="AE212" s="125"/>
      <c r="AF212" s="125"/>
      <c r="AG212" s="125"/>
      <c r="AH212" s="125"/>
      <c r="AI212" s="125"/>
      <c r="AJ212" s="125"/>
      <c r="AK212" s="125"/>
      <c r="AL212" s="125"/>
      <c r="AM212" s="125"/>
      <c r="AN212" s="125"/>
      <c r="AO212" s="125"/>
      <c r="AP212" s="125"/>
      <c r="AQ212" s="125"/>
      <c r="AR212" s="125"/>
      <c r="AS212" s="125"/>
      <c r="AT212" s="125"/>
      <c r="AU212" s="125"/>
      <c r="AV212" s="125"/>
      <c r="AW212" s="125"/>
      <c r="AX212" s="125"/>
      <c r="AY212" s="125"/>
      <c r="AZ212" s="125"/>
      <c r="BA212" s="125"/>
      <c r="BB212" s="125"/>
      <c r="BC212" s="125"/>
      <c r="BD212" s="125"/>
      <c r="BE212" s="125"/>
      <c r="BF212" s="125"/>
      <c r="BG212" s="125"/>
      <c r="BH212" s="125"/>
    </row>
    <row r="213" spans="1:60" s="124" customFormat="1" ht="116.25">
      <c r="A213" s="232" t="s">
        <v>447</v>
      </c>
      <c r="B213" s="231">
        <v>2570</v>
      </c>
      <c r="C213" s="100" t="s">
        <v>477</v>
      </c>
      <c r="D213" s="100"/>
      <c r="E213" s="100" t="s">
        <v>667</v>
      </c>
      <c r="F213" s="100" t="s">
        <v>666</v>
      </c>
      <c r="G213" s="100" t="s">
        <v>930</v>
      </c>
      <c r="H213" s="100" t="s">
        <v>463</v>
      </c>
      <c r="I213" s="100"/>
      <c r="J213" s="100" t="s">
        <v>438</v>
      </c>
      <c r="K213" s="96" t="s">
        <v>63</v>
      </c>
      <c r="L213" s="99">
        <f t="shared" si="4"/>
        <v>93400</v>
      </c>
      <c r="M213" s="98">
        <f t="shared" si="5"/>
        <v>1</v>
      </c>
      <c r="N213" s="96" t="s">
        <v>553</v>
      </c>
      <c r="O213" s="96"/>
      <c r="P213" s="97" t="s">
        <v>472</v>
      </c>
      <c r="Q213" s="96"/>
      <c r="R213" s="96">
        <v>1</v>
      </c>
      <c r="S213" s="96"/>
      <c r="T213" s="95">
        <v>93400</v>
      </c>
      <c r="U213" s="109" t="s">
        <v>912</v>
      </c>
      <c r="V213" s="217"/>
      <c r="W213" s="217"/>
      <c r="X213" s="125"/>
      <c r="Y213" s="125"/>
      <c r="Z213" s="125"/>
      <c r="AA213" s="125"/>
      <c r="AB213" s="125"/>
      <c r="AC213" s="125"/>
      <c r="AD213" s="125"/>
      <c r="AE213" s="125"/>
      <c r="AF213" s="125"/>
      <c r="AG213" s="125"/>
      <c r="AH213" s="125"/>
      <c r="AI213" s="125"/>
      <c r="AJ213" s="125"/>
      <c r="AK213" s="125"/>
      <c r="AL213" s="125"/>
      <c r="AM213" s="125"/>
      <c r="AN213" s="125"/>
      <c r="AO213" s="125"/>
      <c r="AP213" s="125"/>
      <c r="AQ213" s="125"/>
      <c r="AR213" s="125"/>
      <c r="AS213" s="125"/>
      <c r="AT213" s="125"/>
      <c r="AU213" s="125"/>
      <c r="AV213" s="125"/>
      <c r="AW213" s="125"/>
      <c r="AX213" s="125"/>
      <c r="AY213" s="125"/>
      <c r="AZ213" s="125"/>
      <c r="BA213" s="125"/>
      <c r="BB213" s="125"/>
      <c r="BC213" s="125"/>
      <c r="BD213" s="125"/>
      <c r="BE213" s="125"/>
      <c r="BF213" s="125"/>
      <c r="BG213" s="125"/>
      <c r="BH213" s="125"/>
    </row>
    <row r="214" spans="1:60" s="124" customFormat="1" ht="116.25">
      <c r="A214" s="232" t="s">
        <v>447</v>
      </c>
      <c r="B214" s="231">
        <v>2570</v>
      </c>
      <c r="C214" s="100" t="s">
        <v>477</v>
      </c>
      <c r="D214" s="100"/>
      <c r="E214" s="100" t="s">
        <v>667</v>
      </c>
      <c r="F214" s="100" t="s">
        <v>666</v>
      </c>
      <c r="G214" s="100" t="s">
        <v>929</v>
      </c>
      <c r="H214" s="100" t="s">
        <v>426</v>
      </c>
      <c r="I214" s="100"/>
      <c r="J214" s="100" t="s">
        <v>424</v>
      </c>
      <c r="K214" s="96" t="s">
        <v>40</v>
      </c>
      <c r="L214" s="99">
        <f t="shared" si="4"/>
        <v>72890</v>
      </c>
      <c r="M214" s="98">
        <f t="shared" si="5"/>
        <v>1</v>
      </c>
      <c r="N214" s="96" t="s">
        <v>553</v>
      </c>
      <c r="O214" s="96"/>
      <c r="P214" s="97" t="s">
        <v>472</v>
      </c>
      <c r="Q214" s="96">
        <v>1</v>
      </c>
      <c r="R214" s="96"/>
      <c r="S214" s="96" t="s">
        <v>928</v>
      </c>
      <c r="T214" s="95">
        <v>72890</v>
      </c>
      <c r="U214" s="94" t="s">
        <v>912</v>
      </c>
      <c r="V214" s="217"/>
      <c r="W214" s="217"/>
      <c r="X214" s="125"/>
      <c r="Y214" s="125"/>
      <c r="Z214" s="125"/>
      <c r="AA214" s="125"/>
      <c r="AB214" s="125"/>
      <c r="AC214" s="125"/>
      <c r="AD214" s="125"/>
      <c r="AE214" s="125"/>
      <c r="AF214" s="125"/>
      <c r="AG214" s="125"/>
      <c r="AH214" s="125"/>
      <c r="AI214" s="125"/>
      <c r="AJ214" s="125"/>
      <c r="AK214" s="125"/>
      <c r="AL214" s="125"/>
      <c r="AM214" s="125"/>
      <c r="AN214" s="125"/>
      <c r="AO214" s="125"/>
      <c r="AP214" s="125"/>
      <c r="AQ214" s="125"/>
      <c r="AR214" s="125"/>
      <c r="AS214" s="125"/>
      <c r="AT214" s="125"/>
      <c r="AU214" s="125"/>
      <c r="AV214" s="125"/>
      <c r="AW214" s="125"/>
      <c r="AX214" s="125"/>
      <c r="AY214" s="125"/>
      <c r="AZ214" s="125"/>
      <c r="BA214" s="125"/>
      <c r="BB214" s="125"/>
      <c r="BC214" s="125"/>
      <c r="BD214" s="125"/>
      <c r="BE214" s="125"/>
      <c r="BF214" s="125"/>
      <c r="BG214" s="125"/>
      <c r="BH214" s="125"/>
    </row>
    <row r="215" spans="1:60" s="124" customFormat="1" ht="116.25">
      <c r="A215" s="232" t="s">
        <v>447</v>
      </c>
      <c r="B215" s="231">
        <v>2570</v>
      </c>
      <c r="C215" s="100" t="s">
        <v>477</v>
      </c>
      <c r="D215" s="100"/>
      <c r="E215" s="100" t="s">
        <v>667</v>
      </c>
      <c r="F215" s="100" t="s">
        <v>666</v>
      </c>
      <c r="G215" s="100" t="s">
        <v>925</v>
      </c>
      <c r="H215" s="100" t="s">
        <v>280</v>
      </c>
      <c r="I215" s="100"/>
      <c r="J215" s="100" t="s">
        <v>278</v>
      </c>
      <c r="K215" s="96" t="s">
        <v>40</v>
      </c>
      <c r="L215" s="99">
        <f t="shared" si="4"/>
        <v>92390</v>
      </c>
      <c r="M215" s="98">
        <f t="shared" si="5"/>
        <v>1</v>
      </c>
      <c r="N215" s="96" t="s">
        <v>553</v>
      </c>
      <c r="O215" s="98"/>
      <c r="P215" s="97" t="s">
        <v>472</v>
      </c>
      <c r="Q215" s="98">
        <v>1</v>
      </c>
      <c r="R215" s="98"/>
      <c r="S215" s="96" t="s">
        <v>927</v>
      </c>
      <c r="T215" s="95">
        <v>92390</v>
      </c>
      <c r="U215" s="131" t="s">
        <v>926</v>
      </c>
      <c r="V215" s="217"/>
      <c r="W215" s="217"/>
      <c r="X215" s="125"/>
      <c r="Y215" s="125"/>
      <c r="Z215" s="125"/>
      <c r="AA215" s="125"/>
      <c r="AB215" s="125"/>
      <c r="AC215" s="125"/>
      <c r="AD215" s="125"/>
      <c r="AE215" s="125"/>
      <c r="AF215" s="125"/>
      <c r="AG215" s="125"/>
      <c r="AH215" s="125"/>
      <c r="AI215" s="125"/>
      <c r="AJ215" s="125"/>
      <c r="AK215" s="125"/>
      <c r="AL215" s="125"/>
      <c r="AM215" s="125"/>
      <c r="AN215" s="125"/>
      <c r="AO215" s="125"/>
      <c r="AP215" s="125"/>
      <c r="AQ215" s="125"/>
      <c r="AR215" s="125"/>
      <c r="AS215" s="125"/>
      <c r="AT215" s="125"/>
      <c r="AU215" s="125"/>
      <c r="AV215" s="125"/>
      <c r="AW215" s="125"/>
      <c r="AX215" s="125"/>
      <c r="AY215" s="125"/>
      <c r="AZ215" s="125"/>
      <c r="BA215" s="125"/>
      <c r="BB215" s="125"/>
      <c r="BC215" s="125"/>
      <c r="BD215" s="125"/>
      <c r="BE215" s="125"/>
      <c r="BF215" s="125"/>
      <c r="BG215" s="125"/>
      <c r="BH215" s="125"/>
    </row>
    <row r="216" spans="1:60" s="124" customFormat="1" ht="116.25">
      <c r="A216" s="232" t="s">
        <v>447</v>
      </c>
      <c r="B216" s="231">
        <v>2570</v>
      </c>
      <c r="C216" s="100" t="s">
        <v>477</v>
      </c>
      <c r="D216" s="100"/>
      <c r="E216" s="100" t="s">
        <v>667</v>
      </c>
      <c r="F216" s="100" t="s">
        <v>666</v>
      </c>
      <c r="G216" s="100" t="s">
        <v>925</v>
      </c>
      <c r="H216" s="100" t="s">
        <v>223</v>
      </c>
      <c r="I216" s="100"/>
      <c r="J216" s="100" t="s">
        <v>221</v>
      </c>
      <c r="K216" s="96" t="s">
        <v>149</v>
      </c>
      <c r="L216" s="99">
        <f t="shared" si="4"/>
        <v>100000</v>
      </c>
      <c r="M216" s="98">
        <f t="shared" si="5"/>
        <v>1</v>
      </c>
      <c r="N216" s="96" t="s">
        <v>553</v>
      </c>
      <c r="O216" s="98"/>
      <c r="P216" s="97" t="s">
        <v>472</v>
      </c>
      <c r="Q216" s="98">
        <v>1</v>
      </c>
      <c r="R216" s="98"/>
      <c r="S216" s="96" t="s">
        <v>924</v>
      </c>
      <c r="T216" s="95">
        <v>100000</v>
      </c>
      <c r="U216" s="131" t="s">
        <v>923</v>
      </c>
      <c r="V216" s="217"/>
      <c r="W216" s="217"/>
      <c r="X216" s="125"/>
      <c r="Y216" s="125"/>
      <c r="Z216" s="125"/>
      <c r="AA216" s="125"/>
      <c r="AB216" s="125"/>
      <c r="AC216" s="125"/>
      <c r="AD216" s="125"/>
      <c r="AE216" s="125"/>
      <c r="AF216" s="125"/>
      <c r="AG216" s="125"/>
      <c r="AH216" s="125"/>
      <c r="AI216" s="125"/>
      <c r="AJ216" s="125"/>
      <c r="AK216" s="125"/>
      <c r="AL216" s="125"/>
      <c r="AM216" s="125"/>
      <c r="AN216" s="125"/>
      <c r="AO216" s="125"/>
      <c r="AP216" s="125"/>
      <c r="AQ216" s="125"/>
      <c r="AR216" s="125"/>
      <c r="AS216" s="125"/>
      <c r="AT216" s="125"/>
      <c r="AU216" s="125"/>
      <c r="AV216" s="125"/>
      <c r="AW216" s="125"/>
      <c r="AX216" s="125"/>
      <c r="AY216" s="125"/>
      <c r="AZ216" s="125"/>
      <c r="BA216" s="125"/>
      <c r="BB216" s="125"/>
      <c r="BC216" s="125"/>
      <c r="BD216" s="125"/>
      <c r="BE216" s="125"/>
      <c r="BF216" s="125"/>
      <c r="BG216" s="125"/>
      <c r="BH216" s="125"/>
    </row>
    <row r="217" spans="1:60" s="124" customFormat="1" ht="116.25">
      <c r="A217" s="232" t="s">
        <v>447</v>
      </c>
      <c r="B217" s="231">
        <v>2570</v>
      </c>
      <c r="C217" s="100" t="s">
        <v>477</v>
      </c>
      <c r="D217" s="100"/>
      <c r="E217" s="100" t="s">
        <v>667</v>
      </c>
      <c r="F217" s="100" t="s">
        <v>666</v>
      </c>
      <c r="G217" s="100" t="s">
        <v>919</v>
      </c>
      <c r="H217" s="100" t="s">
        <v>53</v>
      </c>
      <c r="I217" s="100"/>
      <c r="J217" s="100" t="s">
        <v>51</v>
      </c>
      <c r="K217" s="96" t="s">
        <v>40</v>
      </c>
      <c r="L217" s="99">
        <f t="shared" si="4"/>
        <v>150000</v>
      </c>
      <c r="M217" s="98">
        <f t="shared" si="5"/>
        <v>1</v>
      </c>
      <c r="N217" s="96" t="s">
        <v>553</v>
      </c>
      <c r="O217" s="98"/>
      <c r="P217" s="97" t="s">
        <v>472</v>
      </c>
      <c r="Q217" s="98">
        <v>1</v>
      </c>
      <c r="R217" s="98"/>
      <c r="S217" s="96" t="s">
        <v>674</v>
      </c>
      <c r="T217" s="95">
        <v>150000</v>
      </c>
      <c r="U217" s="131" t="s">
        <v>922</v>
      </c>
      <c r="V217" s="217"/>
      <c r="W217" s="217"/>
      <c r="X217" s="125"/>
      <c r="Y217" s="125"/>
      <c r="Z217" s="125"/>
      <c r="AA217" s="125"/>
      <c r="AB217" s="125"/>
      <c r="AC217" s="125"/>
      <c r="AD217" s="125"/>
      <c r="AE217" s="125"/>
      <c r="AF217" s="125"/>
      <c r="AG217" s="125"/>
      <c r="AH217" s="125"/>
      <c r="AI217" s="125"/>
      <c r="AJ217" s="125"/>
      <c r="AK217" s="125"/>
      <c r="AL217" s="125"/>
      <c r="AM217" s="125"/>
      <c r="AN217" s="125"/>
      <c r="AO217" s="125"/>
      <c r="AP217" s="125"/>
      <c r="AQ217" s="125"/>
      <c r="AR217" s="125"/>
      <c r="AS217" s="125"/>
      <c r="AT217" s="125"/>
      <c r="AU217" s="125"/>
      <c r="AV217" s="125"/>
      <c r="AW217" s="125"/>
      <c r="AX217" s="125"/>
      <c r="AY217" s="125"/>
      <c r="AZ217" s="125"/>
      <c r="BA217" s="125"/>
      <c r="BB217" s="125"/>
      <c r="BC217" s="125"/>
      <c r="BD217" s="125"/>
      <c r="BE217" s="125"/>
      <c r="BF217" s="125"/>
      <c r="BG217" s="125"/>
      <c r="BH217" s="125"/>
    </row>
    <row r="218" spans="1:60" s="124" customFormat="1" ht="116.25">
      <c r="A218" s="232" t="s">
        <v>447</v>
      </c>
      <c r="B218" s="231">
        <v>2570</v>
      </c>
      <c r="C218" s="100" t="s">
        <v>477</v>
      </c>
      <c r="D218" s="100"/>
      <c r="E218" s="100" t="s">
        <v>667</v>
      </c>
      <c r="F218" s="100" t="s">
        <v>666</v>
      </c>
      <c r="G218" s="100" t="s">
        <v>919</v>
      </c>
      <c r="H218" s="100" t="s">
        <v>300</v>
      </c>
      <c r="I218" s="100"/>
      <c r="J218" s="100" t="s">
        <v>298</v>
      </c>
      <c r="K218" s="96" t="s">
        <v>149</v>
      </c>
      <c r="L218" s="99">
        <f t="shared" si="4"/>
        <v>65000</v>
      </c>
      <c r="M218" s="98">
        <f t="shared" si="5"/>
        <v>1</v>
      </c>
      <c r="N218" s="96" t="s">
        <v>553</v>
      </c>
      <c r="O218" s="98"/>
      <c r="P218" s="97" t="s">
        <v>472</v>
      </c>
      <c r="Q218" s="98">
        <v>1</v>
      </c>
      <c r="R218" s="98"/>
      <c r="S218" s="96" t="s">
        <v>921</v>
      </c>
      <c r="T218" s="95">
        <v>65000</v>
      </c>
      <c r="U218" s="131" t="s">
        <v>920</v>
      </c>
      <c r="V218" s="217"/>
      <c r="W218" s="217"/>
      <c r="X218" s="125"/>
      <c r="Y218" s="125"/>
      <c r="Z218" s="125"/>
      <c r="AA218" s="125"/>
      <c r="AB218" s="125"/>
      <c r="AC218" s="125"/>
      <c r="AD218" s="125"/>
      <c r="AE218" s="125"/>
      <c r="AF218" s="125"/>
      <c r="AG218" s="125"/>
      <c r="AH218" s="125"/>
      <c r="AI218" s="125"/>
      <c r="AJ218" s="125"/>
      <c r="AK218" s="125"/>
      <c r="AL218" s="125"/>
      <c r="AM218" s="125"/>
      <c r="AN218" s="125"/>
      <c r="AO218" s="125"/>
      <c r="AP218" s="125"/>
      <c r="AQ218" s="125"/>
      <c r="AR218" s="125"/>
      <c r="AS218" s="125"/>
      <c r="AT218" s="125"/>
      <c r="AU218" s="125"/>
      <c r="AV218" s="125"/>
      <c r="AW218" s="125"/>
      <c r="AX218" s="125"/>
      <c r="AY218" s="125"/>
      <c r="AZ218" s="125"/>
      <c r="BA218" s="125"/>
      <c r="BB218" s="125"/>
      <c r="BC218" s="125"/>
      <c r="BD218" s="125"/>
      <c r="BE218" s="125"/>
      <c r="BF218" s="125"/>
      <c r="BG218" s="125"/>
      <c r="BH218" s="125"/>
    </row>
    <row r="219" spans="1:60" s="124" customFormat="1" ht="116.25">
      <c r="A219" s="232" t="s">
        <v>447</v>
      </c>
      <c r="B219" s="231">
        <v>2570</v>
      </c>
      <c r="C219" s="100" t="s">
        <v>477</v>
      </c>
      <c r="D219" s="100"/>
      <c r="E219" s="100" t="s">
        <v>667</v>
      </c>
      <c r="F219" s="100" t="s">
        <v>666</v>
      </c>
      <c r="G219" s="100" t="s">
        <v>919</v>
      </c>
      <c r="H219" s="100" t="s">
        <v>450</v>
      </c>
      <c r="I219" s="100"/>
      <c r="J219" s="100" t="s">
        <v>445</v>
      </c>
      <c r="K219" s="96" t="s">
        <v>13</v>
      </c>
      <c r="L219" s="99">
        <f t="shared" si="4"/>
        <v>11000</v>
      </c>
      <c r="M219" s="98">
        <f t="shared" si="5"/>
        <v>1</v>
      </c>
      <c r="N219" s="96" t="s">
        <v>558</v>
      </c>
      <c r="O219" s="108"/>
      <c r="P219" s="108" t="s">
        <v>472</v>
      </c>
      <c r="Q219" s="96">
        <v>1</v>
      </c>
      <c r="R219" s="96"/>
      <c r="S219" s="96" t="s">
        <v>918</v>
      </c>
      <c r="T219" s="95">
        <v>11000</v>
      </c>
      <c r="U219" s="94" t="s">
        <v>818</v>
      </c>
      <c r="V219" s="217"/>
      <c r="W219" s="217"/>
      <c r="X219" s="125"/>
      <c r="Y219" s="125"/>
      <c r="Z219" s="125"/>
      <c r="AA219" s="125"/>
      <c r="AB219" s="125"/>
      <c r="AC219" s="125"/>
      <c r="AD219" s="125"/>
      <c r="AE219" s="125"/>
      <c r="AF219" s="125"/>
      <c r="AG219" s="125"/>
      <c r="AH219" s="125"/>
      <c r="AI219" s="125"/>
      <c r="AJ219" s="125"/>
      <c r="AK219" s="125"/>
      <c r="AL219" s="125"/>
      <c r="AM219" s="125"/>
      <c r="AN219" s="125"/>
      <c r="AO219" s="125"/>
      <c r="AP219" s="125"/>
      <c r="AQ219" s="125"/>
      <c r="AR219" s="125"/>
      <c r="AS219" s="125"/>
      <c r="AT219" s="125"/>
      <c r="AU219" s="125"/>
      <c r="AV219" s="125"/>
      <c r="AW219" s="125"/>
      <c r="AX219" s="125"/>
      <c r="AY219" s="125"/>
      <c r="AZ219" s="125"/>
      <c r="BA219" s="125"/>
      <c r="BB219" s="125"/>
      <c r="BC219" s="125"/>
      <c r="BD219" s="125"/>
      <c r="BE219" s="125"/>
      <c r="BF219" s="125"/>
      <c r="BG219" s="125"/>
      <c r="BH219" s="125"/>
    </row>
    <row r="220" spans="1:60" s="124" customFormat="1" ht="116.25">
      <c r="A220" s="232" t="s">
        <v>447</v>
      </c>
      <c r="B220" s="231">
        <v>2570</v>
      </c>
      <c r="C220" s="100" t="s">
        <v>477</v>
      </c>
      <c r="D220" s="100"/>
      <c r="E220" s="100" t="s">
        <v>667</v>
      </c>
      <c r="F220" s="100" t="s">
        <v>666</v>
      </c>
      <c r="G220" s="100" t="s">
        <v>913</v>
      </c>
      <c r="H220" s="100" t="s">
        <v>204</v>
      </c>
      <c r="I220" s="100"/>
      <c r="J220" s="100" t="s">
        <v>202</v>
      </c>
      <c r="K220" s="96" t="s">
        <v>63</v>
      </c>
      <c r="L220" s="99">
        <f t="shared" si="4"/>
        <v>69790</v>
      </c>
      <c r="M220" s="98">
        <f t="shared" si="5"/>
        <v>1</v>
      </c>
      <c r="N220" s="96" t="s">
        <v>553</v>
      </c>
      <c r="O220" s="96"/>
      <c r="P220" s="97" t="s">
        <v>472</v>
      </c>
      <c r="Q220" s="96">
        <v>1</v>
      </c>
      <c r="R220" s="96"/>
      <c r="S220" s="96" t="s">
        <v>917</v>
      </c>
      <c r="T220" s="95">
        <v>69790</v>
      </c>
      <c r="U220" s="94" t="s">
        <v>916</v>
      </c>
      <c r="V220" s="217"/>
      <c r="W220" s="217"/>
      <c r="X220" s="125"/>
      <c r="Y220" s="125"/>
      <c r="Z220" s="125"/>
      <c r="AA220" s="125"/>
      <c r="AB220" s="125"/>
      <c r="AC220" s="125"/>
      <c r="AD220" s="125"/>
      <c r="AE220" s="125"/>
      <c r="AF220" s="125"/>
      <c r="AG220" s="125"/>
      <c r="AH220" s="125"/>
      <c r="AI220" s="125"/>
      <c r="AJ220" s="125"/>
      <c r="AK220" s="125"/>
      <c r="AL220" s="125"/>
      <c r="AM220" s="125"/>
      <c r="AN220" s="125"/>
      <c r="AO220" s="125"/>
      <c r="AP220" s="125"/>
      <c r="AQ220" s="125"/>
      <c r="AR220" s="125"/>
      <c r="AS220" s="125"/>
      <c r="AT220" s="125"/>
      <c r="AU220" s="125"/>
      <c r="AV220" s="125"/>
      <c r="AW220" s="125"/>
      <c r="AX220" s="125"/>
      <c r="AY220" s="125"/>
      <c r="AZ220" s="125"/>
      <c r="BA220" s="125"/>
      <c r="BB220" s="125"/>
      <c r="BC220" s="125"/>
      <c r="BD220" s="125"/>
      <c r="BE220" s="125"/>
      <c r="BF220" s="125"/>
      <c r="BG220" s="125"/>
      <c r="BH220" s="125"/>
    </row>
    <row r="221" spans="1:60" s="124" customFormat="1" ht="116.25">
      <c r="A221" s="232" t="s">
        <v>447</v>
      </c>
      <c r="B221" s="231">
        <v>2570</v>
      </c>
      <c r="C221" s="100" t="s">
        <v>477</v>
      </c>
      <c r="D221" s="100"/>
      <c r="E221" s="100" t="s">
        <v>667</v>
      </c>
      <c r="F221" s="100" t="s">
        <v>666</v>
      </c>
      <c r="G221" s="100" t="s">
        <v>913</v>
      </c>
      <c r="H221" s="100" t="s">
        <v>204</v>
      </c>
      <c r="I221" s="100"/>
      <c r="J221" s="100" t="s">
        <v>202</v>
      </c>
      <c r="K221" s="96" t="s">
        <v>63</v>
      </c>
      <c r="L221" s="99">
        <f t="shared" si="4"/>
        <v>69790</v>
      </c>
      <c r="M221" s="98">
        <f t="shared" si="5"/>
        <v>1</v>
      </c>
      <c r="N221" s="98" t="s">
        <v>553</v>
      </c>
      <c r="O221" s="98"/>
      <c r="P221" s="97" t="s">
        <v>472</v>
      </c>
      <c r="Q221" s="98">
        <v>1</v>
      </c>
      <c r="R221" s="98"/>
      <c r="S221" s="98" t="s">
        <v>915</v>
      </c>
      <c r="T221" s="95">
        <v>69790</v>
      </c>
      <c r="U221" s="109" t="s">
        <v>914</v>
      </c>
      <c r="V221" s="217"/>
      <c r="W221" s="217"/>
      <c r="X221" s="125"/>
      <c r="Y221" s="125"/>
      <c r="Z221" s="125"/>
      <c r="AA221" s="125"/>
      <c r="AB221" s="125"/>
      <c r="AC221" s="125"/>
      <c r="AD221" s="125"/>
      <c r="AE221" s="125"/>
      <c r="AF221" s="125"/>
      <c r="AG221" s="125"/>
      <c r="AH221" s="125"/>
      <c r="AI221" s="125"/>
      <c r="AJ221" s="125"/>
      <c r="AK221" s="125"/>
      <c r="AL221" s="125"/>
      <c r="AM221" s="125"/>
      <c r="AN221" s="125"/>
      <c r="AO221" s="125"/>
      <c r="AP221" s="125"/>
      <c r="AQ221" s="125"/>
      <c r="AR221" s="125"/>
      <c r="AS221" s="125"/>
      <c r="AT221" s="125"/>
      <c r="AU221" s="125"/>
      <c r="AV221" s="125"/>
      <c r="AW221" s="125"/>
      <c r="AX221" s="125"/>
      <c r="AY221" s="125"/>
      <c r="AZ221" s="125"/>
      <c r="BA221" s="125"/>
      <c r="BB221" s="125"/>
      <c r="BC221" s="125"/>
      <c r="BD221" s="125"/>
      <c r="BE221" s="125"/>
      <c r="BF221" s="125"/>
      <c r="BG221" s="125"/>
      <c r="BH221" s="125"/>
    </row>
    <row r="222" spans="1:60" s="124" customFormat="1" ht="116.25">
      <c r="A222" s="232" t="s">
        <v>447</v>
      </c>
      <c r="B222" s="231">
        <v>2570</v>
      </c>
      <c r="C222" s="100" t="s">
        <v>477</v>
      </c>
      <c r="D222" s="100"/>
      <c r="E222" s="100" t="s">
        <v>667</v>
      </c>
      <c r="F222" s="100" t="s">
        <v>666</v>
      </c>
      <c r="G222" s="100" t="s">
        <v>913</v>
      </c>
      <c r="H222" s="100" t="s">
        <v>135</v>
      </c>
      <c r="I222" s="100"/>
      <c r="J222" s="100" t="s">
        <v>133</v>
      </c>
      <c r="K222" s="96" t="s">
        <v>63</v>
      </c>
      <c r="L222" s="99">
        <f t="shared" si="4"/>
        <v>39266</v>
      </c>
      <c r="M222" s="98">
        <f t="shared" si="5"/>
        <v>1</v>
      </c>
      <c r="N222" s="98" t="s">
        <v>553</v>
      </c>
      <c r="O222" s="98"/>
      <c r="P222" s="97" t="s">
        <v>472</v>
      </c>
      <c r="Q222" s="98">
        <v>1</v>
      </c>
      <c r="R222" s="98"/>
      <c r="S222" s="149"/>
      <c r="T222" s="95">
        <v>39266</v>
      </c>
      <c r="U222" s="109" t="s">
        <v>912</v>
      </c>
      <c r="V222" s="217"/>
      <c r="W222" s="217"/>
      <c r="X222" s="125"/>
      <c r="Y222" s="125"/>
      <c r="Z222" s="125"/>
      <c r="AA222" s="125"/>
      <c r="AB222" s="125"/>
      <c r="AC222" s="125"/>
      <c r="AD222" s="125"/>
      <c r="AE222" s="125"/>
      <c r="AF222" s="125"/>
      <c r="AG222" s="125"/>
      <c r="AH222" s="125"/>
      <c r="AI222" s="125"/>
      <c r="AJ222" s="125"/>
      <c r="AK222" s="125"/>
      <c r="AL222" s="125"/>
      <c r="AM222" s="125"/>
      <c r="AN222" s="125"/>
      <c r="AO222" s="125"/>
      <c r="AP222" s="125"/>
      <c r="AQ222" s="125"/>
      <c r="AR222" s="125"/>
      <c r="AS222" s="125"/>
      <c r="AT222" s="125"/>
      <c r="AU222" s="125"/>
      <c r="AV222" s="125"/>
      <c r="AW222" s="125"/>
      <c r="AX222" s="125"/>
      <c r="AY222" s="125"/>
      <c r="AZ222" s="125"/>
      <c r="BA222" s="125"/>
      <c r="BB222" s="125"/>
      <c r="BC222" s="125"/>
      <c r="BD222" s="125"/>
      <c r="BE222" s="125"/>
      <c r="BF222" s="125"/>
      <c r="BG222" s="125"/>
      <c r="BH222" s="125"/>
    </row>
    <row r="223" spans="1:60" s="124" customFormat="1" ht="116.25">
      <c r="A223" s="232" t="s">
        <v>447</v>
      </c>
      <c r="B223" s="231">
        <v>2570</v>
      </c>
      <c r="C223" s="100" t="s">
        <v>477</v>
      </c>
      <c r="D223" s="100"/>
      <c r="E223" s="100" t="s">
        <v>667</v>
      </c>
      <c r="F223" s="100" t="s">
        <v>666</v>
      </c>
      <c r="G223" s="100" t="s">
        <v>911</v>
      </c>
      <c r="H223" s="100" t="s">
        <v>265</v>
      </c>
      <c r="I223" s="100"/>
      <c r="J223" s="100" t="s">
        <v>263</v>
      </c>
      <c r="K223" s="96" t="s">
        <v>63</v>
      </c>
      <c r="L223" s="99">
        <f t="shared" si="4"/>
        <v>39900</v>
      </c>
      <c r="M223" s="98">
        <f t="shared" si="5"/>
        <v>1</v>
      </c>
      <c r="N223" s="98" t="s">
        <v>553</v>
      </c>
      <c r="O223" s="96"/>
      <c r="P223" s="97" t="s">
        <v>472</v>
      </c>
      <c r="Q223" s="96">
        <v>1</v>
      </c>
      <c r="R223" s="96"/>
      <c r="S223" s="96" t="s">
        <v>910</v>
      </c>
      <c r="T223" s="95">
        <v>39900</v>
      </c>
      <c r="U223" s="94" t="s">
        <v>909</v>
      </c>
      <c r="V223" s="217"/>
      <c r="W223" s="217"/>
      <c r="X223" s="125"/>
      <c r="Y223" s="125"/>
      <c r="Z223" s="125"/>
      <c r="AA223" s="125"/>
      <c r="AB223" s="125"/>
      <c r="AC223" s="125"/>
      <c r="AD223" s="125"/>
      <c r="AE223" s="125"/>
      <c r="AF223" s="125"/>
      <c r="AG223" s="125"/>
      <c r="AH223" s="125"/>
      <c r="AI223" s="125"/>
      <c r="AJ223" s="125"/>
      <c r="AK223" s="125"/>
      <c r="AL223" s="125"/>
      <c r="AM223" s="125"/>
      <c r="AN223" s="125"/>
      <c r="AO223" s="125"/>
      <c r="AP223" s="125"/>
      <c r="AQ223" s="125"/>
      <c r="AR223" s="125"/>
      <c r="AS223" s="125"/>
      <c r="AT223" s="125"/>
      <c r="AU223" s="125"/>
      <c r="AV223" s="125"/>
      <c r="AW223" s="125"/>
      <c r="AX223" s="125"/>
      <c r="AY223" s="125"/>
      <c r="AZ223" s="125"/>
      <c r="BA223" s="125"/>
      <c r="BB223" s="125"/>
      <c r="BC223" s="125"/>
      <c r="BD223" s="125"/>
      <c r="BE223" s="125"/>
      <c r="BF223" s="125"/>
      <c r="BG223" s="125"/>
      <c r="BH223" s="125"/>
    </row>
    <row r="224" spans="1:60" s="124" customFormat="1" ht="116.25">
      <c r="A224" s="232" t="s">
        <v>447</v>
      </c>
      <c r="B224" s="231">
        <v>2570</v>
      </c>
      <c r="C224" s="100" t="s">
        <v>477</v>
      </c>
      <c r="D224" s="100"/>
      <c r="E224" s="100" t="s">
        <v>667</v>
      </c>
      <c r="F224" s="100" t="s">
        <v>666</v>
      </c>
      <c r="G224" s="100" t="s">
        <v>908</v>
      </c>
      <c r="H224" s="100" t="s">
        <v>159</v>
      </c>
      <c r="I224" s="100"/>
      <c r="J224" s="100" t="s">
        <v>157</v>
      </c>
      <c r="K224" s="96" t="s">
        <v>149</v>
      </c>
      <c r="L224" s="99">
        <f t="shared" si="4"/>
        <v>22720</v>
      </c>
      <c r="M224" s="98">
        <f t="shared" si="5"/>
        <v>1</v>
      </c>
      <c r="N224" s="98" t="s">
        <v>553</v>
      </c>
      <c r="O224" s="96"/>
      <c r="P224" s="97" t="s">
        <v>472</v>
      </c>
      <c r="Q224" s="96">
        <v>1</v>
      </c>
      <c r="R224" s="96"/>
      <c r="S224" s="96" t="s">
        <v>907</v>
      </c>
      <c r="T224" s="95">
        <v>22720</v>
      </c>
      <c r="U224" s="94" t="s">
        <v>906</v>
      </c>
      <c r="V224" s="217"/>
      <c r="W224" s="217"/>
      <c r="X224" s="125"/>
      <c r="Y224" s="125"/>
      <c r="Z224" s="125"/>
      <c r="AA224" s="125"/>
      <c r="AB224" s="125"/>
      <c r="AC224" s="125"/>
      <c r="AD224" s="125"/>
      <c r="AE224" s="125"/>
      <c r="AF224" s="125"/>
      <c r="AG224" s="125"/>
      <c r="AH224" s="125"/>
      <c r="AI224" s="125"/>
      <c r="AJ224" s="125"/>
      <c r="AK224" s="125"/>
      <c r="AL224" s="125"/>
      <c r="AM224" s="125"/>
      <c r="AN224" s="125"/>
      <c r="AO224" s="125"/>
      <c r="AP224" s="125"/>
      <c r="AQ224" s="125"/>
      <c r="AR224" s="125"/>
      <c r="AS224" s="125"/>
      <c r="AT224" s="125"/>
      <c r="AU224" s="125"/>
      <c r="AV224" s="125"/>
      <c r="AW224" s="125"/>
      <c r="AX224" s="125"/>
      <c r="AY224" s="125"/>
      <c r="AZ224" s="125"/>
      <c r="BA224" s="125"/>
      <c r="BB224" s="125"/>
      <c r="BC224" s="125"/>
      <c r="BD224" s="125"/>
      <c r="BE224" s="125"/>
      <c r="BF224" s="125"/>
      <c r="BG224" s="125"/>
      <c r="BH224" s="125"/>
    </row>
    <row r="225" spans="1:60" s="124" customFormat="1" ht="116.25">
      <c r="A225" s="232" t="s">
        <v>447</v>
      </c>
      <c r="B225" s="231">
        <v>2570</v>
      </c>
      <c r="C225" s="100" t="s">
        <v>477</v>
      </c>
      <c r="D225" s="100"/>
      <c r="E225" s="100" t="s">
        <v>667</v>
      </c>
      <c r="F225" s="100" t="s">
        <v>666</v>
      </c>
      <c r="G225" s="100" t="s">
        <v>585</v>
      </c>
      <c r="H225" s="100" t="s">
        <v>905</v>
      </c>
      <c r="I225" s="100"/>
      <c r="J225" s="100" t="s">
        <v>904</v>
      </c>
      <c r="K225" s="96" t="s">
        <v>149</v>
      </c>
      <c r="L225" s="99">
        <f t="shared" si="4"/>
        <v>20000</v>
      </c>
      <c r="M225" s="98">
        <f t="shared" si="5"/>
        <v>1</v>
      </c>
      <c r="N225" s="98" t="s">
        <v>553</v>
      </c>
      <c r="O225" s="96"/>
      <c r="P225" s="97" t="s">
        <v>472</v>
      </c>
      <c r="Q225" s="96"/>
      <c r="R225" s="96">
        <v>1</v>
      </c>
      <c r="S225" s="96"/>
      <c r="T225" s="95">
        <v>20000</v>
      </c>
      <c r="U225" s="94" t="s">
        <v>903</v>
      </c>
      <c r="V225" s="217"/>
      <c r="W225" s="217"/>
      <c r="X225" s="125"/>
      <c r="Y225" s="125"/>
      <c r="Z225" s="125"/>
      <c r="AA225" s="125"/>
      <c r="AB225" s="125"/>
      <c r="AC225" s="125"/>
      <c r="AD225" s="125"/>
      <c r="AE225" s="125"/>
      <c r="AF225" s="125"/>
      <c r="AG225" s="125"/>
      <c r="AH225" s="125"/>
      <c r="AI225" s="125"/>
      <c r="AJ225" s="125"/>
      <c r="AK225" s="125"/>
      <c r="AL225" s="125"/>
      <c r="AM225" s="125"/>
      <c r="AN225" s="125"/>
      <c r="AO225" s="125"/>
      <c r="AP225" s="125"/>
      <c r="AQ225" s="125"/>
      <c r="AR225" s="125"/>
      <c r="AS225" s="125"/>
      <c r="AT225" s="125"/>
      <c r="AU225" s="125"/>
      <c r="AV225" s="125"/>
      <c r="AW225" s="125"/>
      <c r="AX225" s="125"/>
      <c r="AY225" s="125"/>
      <c r="AZ225" s="125"/>
      <c r="BA225" s="125"/>
      <c r="BB225" s="125"/>
      <c r="BC225" s="125"/>
      <c r="BD225" s="125"/>
      <c r="BE225" s="125"/>
      <c r="BF225" s="125"/>
      <c r="BG225" s="125"/>
      <c r="BH225" s="125"/>
    </row>
    <row r="226" spans="1:60" s="124" customFormat="1" ht="116.25">
      <c r="A226" s="232" t="s">
        <v>447</v>
      </c>
      <c r="B226" s="231">
        <v>2570</v>
      </c>
      <c r="C226" s="100" t="s">
        <v>477</v>
      </c>
      <c r="D226" s="100"/>
      <c r="E226" s="100" t="s">
        <v>667</v>
      </c>
      <c r="F226" s="100" t="s">
        <v>666</v>
      </c>
      <c r="G226" s="100" t="s">
        <v>902</v>
      </c>
      <c r="H226" s="100" t="s">
        <v>232</v>
      </c>
      <c r="I226" s="100"/>
      <c r="J226" s="100" t="s">
        <v>230</v>
      </c>
      <c r="K226" s="96" t="s">
        <v>13</v>
      </c>
      <c r="L226" s="99">
        <f t="shared" si="4"/>
        <v>30000</v>
      </c>
      <c r="M226" s="98">
        <f t="shared" si="5"/>
        <v>6</v>
      </c>
      <c r="N226" s="98" t="s">
        <v>553</v>
      </c>
      <c r="O226" s="96"/>
      <c r="P226" s="97" t="s">
        <v>472</v>
      </c>
      <c r="Q226" s="96"/>
      <c r="R226" s="107">
        <v>6</v>
      </c>
      <c r="S226" s="96"/>
      <c r="T226" s="95">
        <v>5000</v>
      </c>
      <c r="U226" s="148" t="s">
        <v>901</v>
      </c>
      <c r="V226" s="217"/>
      <c r="W226" s="217"/>
      <c r="X226" s="125"/>
      <c r="Y226" s="125"/>
      <c r="Z226" s="125"/>
      <c r="AA226" s="125"/>
      <c r="AB226" s="125"/>
      <c r="AC226" s="125"/>
      <c r="AD226" s="125"/>
      <c r="AE226" s="125"/>
      <c r="AF226" s="125"/>
      <c r="AG226" s="125"/>
      <c r="AH226" s="125"/>
      <c r="AI226" s="125"/>
      <c r="AJ226" s="125"/>
      <c r="AK226" s="125"/>
      <c r="AL226" s="125"/>
      <c r="AM226" s="125"/>
      <c r="AN226" s="125"/>
      <c r="AO226" s="125"/>
      <c r="AP226" s="125"/>
      <c r="AQ226" s="125"/>
      <c r="AR226" s="125"/>
      <c r="AS226" s="125"/>
      <c r="AT226" s="125"/>
      <c r="AU226" s="125"/>
      <c r="AV226" s="125"/>
      <c r="AW226" s="125"/>
      <c r="AX226" s="125"/>
      <c r="AY226" s="125"/>
      <c r="AZ226" s="125"/>
      <c r="BA226" s="125"/>
      <c r="BB226" s="125"/>
      <c r="BC226" s="125"/>
      <c r="BD226" s="125"/>
      <c r="BE226" s="125"/>
      <c r="BF226" s="125"/>
      <c r="BG226" s="125"/>
      <c r="BH226" s="125"/>
    </row>
    <row r="227" spans="1:60" s="124" customFormat="1" ht="116.25">
      <c r="A227" s="232" t="s">
        <v>447</v>
      </c>
      <c r="B227" s="231">
        <v>2570</v>
      </c>
      <c r="C227" s="100" t="s">
        <v>477</v>
      </c>
      <c r="D227" s="100"/>
      <c r="E227" s="100" t="s">
        <v>667</v>
      </c>
      <c r="F227" s="100" t="s">
        <v>666</v>
      </c>
      <c r="G227" s="100" t="s">
        <v>895</v>
      </c>
      <c r="H227" s="100" t="s">
        <v>232</v>
      </c>
      <c r="I227" s="100"/>
      <c r="J227" s="100" t="s">
        <v>230</v>
      </c>
      <c r="K227" s="96" t="s">
        <v>13</v>
      </c>
      <c r="L227" s="99">
        <f t="shared" si="4"/>
        <v>26500</v>
      </c>
      <c r="M227" s="98">
        <f t="shared" si="5"/>
        <v>1</v>
      </c>
      <c r="N227" s="98" t="s">
        <v>558</v>
      </c>
      <c r="O227" s="97" t="s">
        <v>472</v>
      </c>
      <c r="P227" s="97"/>
      <c r="Q227" s="96">
        <v>1</v>
      </c>
      <c r="R227" s="107"/>
      <c r="S227" s="96" t="s">
        <v>900</v>
      </c>
      <c r="T227" s="95">
        <v>26500</v>
      </c>
      <c r="U227" s="94" t="s">
        <v>841</v>
      </c>
      <c r="V227" s="217"/>
      <c r="W227" s="217"/>
      <c r="X227" s="125"/>
      <c r="Y227" s="125"/>
      <c r="Z227" s="125"/>
      <c r="AA227" s="125"/>
      <c r="AB227" s="125"/>
      <c r="AC227" s="125"/>
      <c r="AD227" s="125"/>
      <c r="AE227" s="125"/>
      <c r="AF227" s="125"/>
      <c r="AG227" s="125"/>
      <c r="AH227" s="125"/>
      <c r="AI227" s="125"/>
      <c r="AJ227" s="125"/>
      <c r="AK227" s="125"/>
      <c r="AL227" s="125"/>
      <c r="AM227" s="125"/>
      <c r="AN227" s="125"/>
      <c r="AO227" s="125"/>
      <c r="AP227" s="125"/>
      <c r="AQ227" s="125"/>
      <c r="AR227" s="125"/>
      <c r="AS227" s="125"/>
      <c r="AT227" s="125"/>
      <c r="AU227" s="125"/>
      <c r="AV227" s="125"/>
      <c r="AW227" s="125"/>
      <c r="AX227" s="125"/>
      <c r="AY227" s="125"/>
      <c r="AZ227" s="125"/>
      <c r="BA227" s="125"/>
      <c r="BB227" s="125"/>
      <c r="BC227" s="125"/>
      <c r="BD227" s="125"/>
      <c r="BE227" s="125"/>
      <c r="BF227" s="125"/>
      <c r="BG227" s="125"/>
      <c r="BH227" s="125"/>
    </row>
    <row r="228" spans="1:60" s="124" customFormat="1" ht="116.25">
      <c r="A228" s="232" t="s">
        <v>447</v>
      </c>
      <c r="B228" s="231">
        <v>2570</v>
      </c>
      <c r="C228" s="100" t="s">
        <v>477</v>
      </c>
      <c r="D228" s="100"/>
      <c r="E228" s="100" t="s">
        <v>667</v>
      </c>
      <c r="F228" s="100" t="s">
        <v>666</v>
      </c>
      <c r="G228" s="100" t="s">
        <v>895</v>
      </c>
      <c r="H228" s="100" t="s">
        <v>164</v>
      </c>
      <c r="I228" s="100"/>
      <c r="J228" s="100" t="s">
        <v>160</v>
      </c>
      <c r="K228" s="96" t="s">
        <v>149</v>
      </c>
      <c r="L228" s="99">
        <f t="shared" si="4"/>
        <v>29900</v>
      </c>
      <c r="M228" s="98">
        <f t="shared" si="5"/>
        <v>1</v>
      </c>
      <c r="N228" s="96" t="s">
        <v>558</v>
      </c>
      <c r="O228" s="97" t="s">
        <v>472</v>
      </c>
      <c r="P228" s="96"/>
      <c r="Q228" s="96">
        <v>1</v>
      </c>
      <c r="R228" s="96"/>
      <c r="S228" s="96" t="s">
        <v>899</v>
      </c>
      <c r="T228" s="95">
        <v>29900</v>
      </c>
      <c r="U228" s="94" t="s">
        <v>898</v>
      </c>
      <c r="V228" s="217"/>
      <c r="W228" s="217"/>
      <c r="X228" s="125"/>
      <c r="Y228" s="125"/>
      <c r="Z228" s="125"/>
      <c r="AA228" s="125"/>
      <c r="AB228" s="125"/>
      <c r="AC228" s="125"/>
      <c r="AD228" s="125"/>
      <c r="AE228" s="125"/>
      <c r="AF228" s="125"/>
      <c r="AG228" s="125"/>
      <c r="AH228" s="125"/>
      <c r="AI228" s="125"/>
      <c r="AJ228" s="125"/>
      <c r="AK228" s="125"/>
      <c r="AL228" s="125"/>
      <c r="AM228" s="125"/>
      <c r="AN228" s="125"/>
      <c r="AO228" s="125"/>
      <c r="AP228" s="125"/>
      <c r="AQ228" s="125"/>
      <c r="AR228" s="125"/>
      <c r="AS228" s="125"/>
      <c r="AT228" s="125"/>
      <c r="AU228" s="125"/>
      <c r="AV228" s="125"/>
      <c r="AW228" s="125"/>
      <c r="AX228" s="125"/>
      <c r="AY228" s="125"/>
      <c r="AZ228" s="125"/>
      <c r="BA228" s="125"/>
      <c r="BB228" s="125"/>
      <c r="BC228" s="125"/>
      <c r="BD228" s="125"/>
      <c r="BE228" s="125"/>
      <c r="BF228" s="125"/>
      <c r="BG228" s="125"/>
      <c r="BH228" s="125"/>
    </row>
    <row r="229" spans="1:60" s="124" customFormat="1" ht="116.25">
      <c r="A229" s="232" t="s">
        <v>447</v>
      </c>
      <c r="B229" s="231">
        <v>2570</v>
      </c>
      <c r="C229" s="100" t="s">
        <v>477</v>
      </c>
      <c r="D229" s="100"/>
      <c r="E229" s="100" t="s">
        <v>667</v>
      </c>
      <c r="F229" s="100" t="s">
        <v>666</v>
      </c>
      <c r="G229" s="100" t="s">
        <v>895</v>
      </c>
      <c r="H229" s="100" t="s">
        <v>262</v>
      </c>
      <c r="I229" s="100"/>
      <c r="J229" s="100" t="s">
        <v>260</v>
      </c>
      <c r="K229" s="96" t="s">
        <v>63</v>
      </c>
      <c r="L229" s="99">
        <f t="shared" si="4"/>
        <v>29900</v>
      </c>
      <c r="M229" s="98">
        <f t="shared" si="5"/>
        <v>1</v>
      </c>
      <c r="N229" s="96" t="s">
        <v>558</v>
      </c>
      <c r="O229" s="97" t="s">
        <v>472</v>
      </c>
      <c r="P229" s="96"/>
      <c r="Q229" s="96">
        <v>1</v>
      </c>
      <c r="R229" s="96"/>
      <c r="S229" s="134"/>
      <c r="T229" s="95">
        <v>29900</v>
      </c>
      <c r="U229" s="109" t="s">
        <v>897</v>
      </c>
      <c r="V229" s="217"/>
      <c r="W229" s="217"/>
      <c r="X229" s="125"/>
      <c r="Y229" s="125"/>
      <c r="Z229" s="125"/>
      <c r="AA229" s="125"/>
      <c r="AB229" s="125"/>
      <c r="AC229" s="125"/>
      <c r="AD229" s="125"/>
      <c r="AE229" s="125"/>
      <c r="AF229" s="125"/>
      <c r="AG229" s="125"/>
      <c r="AH229" s="125"/>
      <c r="AI229" s="125"/>
      <c r="AJ229" s="125"/>
      <c r="AK229" s="125"/>
      <c r="AL229" s="125"/>
      <c r="AM229" s="125"/>
      <c r="AN229" s="125"/>
      <c r="AO229" s="125"/>
      <c r="AP229" s="125"/>
      <c r="AQ229" s="125"/>
      <c r="AR229" s="125"/>
      <c r="AS229" s="125"/>
      <c r="AT229" s="125"/>
      <c r="AU229" s="125"/>
      <c r="AV229" s="125"/>
      <c r="AW229" s="125"/>
      <c r="AX229" s="125"/>
      <c r="AY229" s="125"/>
      <c r="AZ229" s="125"/>
      <c r="BA229" s="125"/>
      <c r="BB229" s="125"/>
      <c r="BC229" s="125"/>
      <c r="BD229" s="125"/>
      <c r="BE229" s="125"/>
      <c r="BF229" s="125"/>
      <c r="BG229" s="125"/>
      <c r="BH229" s="125"/>
    </row>
    <row r="230" spans="1:60" s="124" customFormat="1" ht="116.25">
      <c r="A230" s="232" t="s">
        <v>447</v>
      </c>
      <c r="B230" s="231">
        <v>2570</v>
      </c>
      <c r="C230" s="100" t="s">
        <v>477</v>
      </c>
      <c r="D230" s="100"/>
      <c r="E230" s="100" t="s">
        <v>667</v>
      </c>
      <c r="F230" s="100" t="s">
        <v>666</v>
      </c>
      <c r="G230" s="100" t="s">
        <v>895</v>
      </c>
      <c r="H230" s="100" t="s">
        <v>201</v>
      </c>
      <c r="I230" s="100"/>
      <c r="J230" s="100" t="s">
        <v>199</v>
      </c>
      <c r="K230" s="96" t="s">
        <v>63</v>
      </c>
      <c r="L230" s="99">
        <f t="shared" si="4"/>
        <v>29900</v>
      </c>
      <c r="M230" s="98">
        <f t="shared" si="5"/>
        <v>1</v>
      </c>
      <c r="N230" s="96" t="s">
        <v>558</v>
      </c>
      <c r="O230" s="97" t="s">
        <v>472</v>
      </c>
      <c r="P230" s="96"/>
      <c r="Q230" s="96"/>
      <c r="R230" s="96">
        <v>1</v>
      </c>
      <c r="S230" s="96"/>
      <c r="T230" s="95">
        <v>29900</v>
      </c>
      <c r="U230" s="109" t="s">
        <v>896</v>
      </c>
      <c r="V230" s="217"/>
      <c r="W230" s="217"/>
      <c r="X230" s="125"/>
      <c r="Y230" s="125"/>
      <c r="Z230" s="125"/>
      <c r="AA230" s="125"/>
      <c r="AB230" s="125"/>
      <c r="AC230" s="125"/>
      <c r="AD230" s="125"/>
      <c r="AE230" s="125"/>
      <c r="AF230" s="125"/>
      <c r="AG230" s="125"/>
      <c r="AH230" s="125"/>
      <c r="AI230" s="125"/>
      <c r="AJ230" s="125"/>
      <c r="AK230" s="125"/>
      <c r="AL230" s="125"/>
      <c r="AM230" s="125"/>
      <c r="AN230" s="125"/>
      <c r="AO230" s="125"/>
      <c r="AP230" s="125"/>
      <c r="AQ230" s="125"/>
      <c r="AR230" s="125"/>
      <c r="AS230" s="125"/>
      <c r="AT230" s="125"/>
      <c r="AU230" s="125"/>
      <c r="AV230" s="125"/>
      <c r="AW230" s="125"/>
      <c r="AX230" s="125"/>
      <c r="AY230" s="125"/>
      <c r="AZ230" s="125"/>
      <c r="BA230" s="125"/>
      <c r="BB230" s="125"/>
      <c r="BC230" s="125"/>
      <c r="BD230" s="125"/>
      <c r="BE230" s="125"/>
      <c r="BF230" s="125"/>
      <c r="BG230" s="125"/>
      <c r="BH230" s="125"/>
    </row>
    <row r="231" spans="1:60" s="124" customFormat="1" ht="116.25">
      <c r="A231" s="232" t="s">
        <v>447</v>
      </c>
      <c r="B231" s="231">
        <v>2570</v>
      </c>
      <c r="C231" s="100" t="s">
        <v>477</v>
      </c>
      <c r="D231" s="100"/>
      <c r="E231" s="100" t="s">
        <v>667</v>
      </c>
      <c r="F231" s="100" t="s">
        <v>666</v>
      </c>
      <c r="G231" s="100" t="s">
        <v>895</v>
      </c>
      <c r="H231" s="100" t="s">
        <v>894</v>
      </c>
      <c r="I231" s="100"/>
      <c r="J231" s="100" t="s">
        <v>320</v>
      </c>
      <c r="K231" s="96" t="s">
        <v>40</v>
      </c>
      <c r="L231" s="99">
        <f t="shared" si="4"/>
        <v>29900</v>
      </c>
      <c r="M231" s="98">
        <f t="shared" si="5"/>
        <v>1</v>
      </c>
      <c r="N231" s="96" t="s">
        <v>558</v>
      </c>
      <c r="O231" s="97" t="s">
        <v>472</v>
      </c>
      <c r="P231" s="96"/>
      <c r="Q231" s="96"/>
      <c r="R231" s="96">
        <v>1</v>
      </c>
      <c r="S231" s="96"/>
      <c r="T231" s="95">
        <v>29900</v>
      </c>
      <c r="U231" s="109" t="s">
        <v>893</v>
      </c>
      <c r="V231" s="217"/>
      <c r="W231" s="217"/>
      <c r="X231" s="125"/>
      <c r="Y231" s="125"/>
      <c r="Z231" s="125"/>
      <c r="AA231" s="125"/>
      <c r="AB231" s="125"/>
      <c r="AC231" s="125"/>
      <c r="AD231" s="125"/>
      <c r="AE231" s="125"/>
      <c r="AF231" s="125"/>
      <c r="AG231" s="125"/>
      <c r="AH231" s="125"/>
      <c r="AI231" s="125"/>
      <c r="AJ231" s="125"/>
      <c r="AK231" s="125"/>
      <c r="AL231" s="125"/>
      <c r="AM231" s="125"/>
      <c r="AN231" s="125"/>
      <c r="AO231" s="125"/>
      <c r="AP231" s="125"/>
      <c r="AQ231" s="125"/>
      <c r="AR231" s="125"/>
      <c r="AS231" s="125"/>
      <c r="AT231" s="125"/>
      <c r="AU231" s="125"/>
      <c r="AV231" s="125"/>
      <c r="AW231" s="125"/>
      <c r="AX231" s="125"/>
      <c r="AY231" s="125"/>
      <c r="AZ231" s="125"/>
      <c r="BA231" s="125"/>
      <c r="BB231" s="125"/>
      <c r="BC231" s="125"/>
      <c r="BD231" s="125"/>
      <c r="BE231" s="125"/>
      <c r="BF231" s="125"/>
      <c r="BG231" s="125"/>
      <c r="BH231" s="125"/>
    </row>
    <row r="232" spans="1:60" s="124" customFormat="1" ht="116.25">
      <c r="A232" s="232" t="s">
        <v>447</v>
      </c>
      <c r="B232" s="231">
        <v>2570</v>
      </c>
      <c r="C232" s="100" t="s">
        <v>477</v>
      </c>
      <c r="D232" s="100"/>
      <c r="E232" s="100" t="s">
        <v>667</v>
      </c>
      <c r="F232" s="100" t="s">
        <v>666</v>
      </c>
      <c r="G232" s="100" t="s">
        <v>888</v>
      </c>
      <c r="H232" s="100" t="s">
        <v>265</v>
      </c>
      <c r="I232" s="100"/>
      <c r="J232" s="100" t="s">
        <v>263</v>
      </c>
      <c r="K232" s="96" t="s">
        <v>63</v>
      </c>
      <c r="L232" s="99">
        <f t="shared" si="4"/>
        <v>43100</v>
      </c>
      <c r="M232" s="98">
        <f t="shared" si="5"/>
        <v>1</v>
      </c>
      <c r="N232" s="96" t="s">
        <v>558</v>
      </c>
      <c r="O232" s="97" t="s">
        <v>472</v>
      </c>
      <c r="P232" s="96"/>
      <c r="Q232" s="96">
        <v>1</v>
      </c>
      <c r="R232" s="96"/>
      <c r="S232" s="96" t="s">
        <v>892</v>
      </c>
      <c r="T232" s="95">
        <v>43100</v>
      </c>
      <c r="U232" s="109" t="s">
        <v>891</v>
      </c>
      <c r="V232" s="217"/>
      <c r="W232" s="217"/>
      <c r="X232" s="125"/>
      <c r="Y232" s="125"/>
      <c r="Z232" s="125"/>
      <c r="AA232" s="125"/>
      <c r="AB232" s="125"/>
      <c r="AC232" s="125"/>
      <c r="AD232" s="125"/>
      <c r="AE232" s="125"/>
      <c r="AF232" s="125"/>
      <c r="AG232" s="125"/>
      <c r="AH232" s="125"/>
      <c r="AI232" s="125"/>
      <c r="AJ232" s="125"/>
      <c r="AK232" s="125"/>
      <c r="AL232" s="125"/>
      <c r="AM232" s="125"/>
      <c r="AN232" s="125"/>
      <c r="AO232" s="125"/>
      <c r="AP232" s="125"/>
      <c r="AQ232" s="125"/>
      <c r="AR232" s="125"/>
      <c r="AS232" s="125"/>
      <c r="AT232" s="125"/>
      <c r="AU232" s="125"/>
      <c r="AV232" s="125"/>
      <c r="AW232" s="125"/>
      <c r="AX232" s="125"/>
      <c r="AY232" s="125"/>
      <c r="AZ232" s="125"/>
      <c r="BA232" s="125"/>
      <c r="BB232" s="125"/>
      <c r="BC232" s="125"/>
      <c r="BD232" s="125"/>
      <c r="BE232" s="125"/>
      <c r="BF232" s="125"/>
      <c r="BG232" s="125"/>
      <c r="BH232" s="125"/>
    </row>
    <row r="233" spans="1:60" s="124" customFormat="1" ht="116.25">
      <c r="A233" s="232" t="s">
        <v>447</v>
      </c>
      <c r="B233" s="231">
        <v>2570</v>
      </c>
      <c r="C233" s="100" t="s">
        <v>477</v>
      </c>
      <c r="D233" s="100"/>
      <c r="E233" s="100" t="s">
        <v>667</v>
      </c>
      <c r="F233" s="100" t="s">
        <v>666</v>
      </c>
      <c r="G233" s="100" t="s">
        <v>888</v>
      </c>
      <c r="H233" s="100" t="s">
        <v>195</v>
      </c>
      <c r="I233" s="100"/>
      <c r="J233" s="100" t="s">
        <v>193</v>
      </c>
      <c r="K233" s="96" t="s">
        <v>40</v>
      </c>
      <c r="L233" s="106">
        <f t="shared" si="4"/>
        <v>91800</v>
      </c>
      <c r="M233" s="98">
        <f t="shared" si="5"/>
        <v>2</v>
      </c>
      <c r="N233" s="96" t="s">
        <v>558</v>
      </c>
      <c r="O233" s="108" t="s">
        <v>472</v>
      </c>
      <c r="P233" s="96"/>
      <c r="Q233" s="96">
        <v>1</v>
      </c>
      <c r="R233" s="96">
        <v>1</v>
      </c>
      <c r="S233" s="96" t="s">
        <v>890</v>
      </c>
      <c r="T233" s="104">
        <v>45900</v>
      </c>
      <c r="U233" s="109" t="s">
        <v>889</v>
      </c>
      <c r="V233" s="217"/>
      <c r="W233" s="217"/>
      <c r="X233" s="125"/>
      <c r="Y233" s="125"/>
      <c r="Z233" s="125"/>
      <c r="AA233" s="125"/>
      <c r="AB233" s="125"/>
      <c r="AC233" s="125"/>
      <c r="AD233" s="125"/>
      <c r="AE233" s="125"/>
      <c r="AF233" s="125"/>
      <c r="AG233" s="125"/>
      <c r="AH233" s="125"/>
      <c r="AI233" s="125"/>
      <c r="AJ233" s="125"/>
      <c r="AK233" s="125"/>
      <c r="AL233" s="125"/>
      <c r="AM233" s="125"/>
      <c r="AN233" s="125"/>
      <c r="AO233" s="125"/>
      <c r="AP233" s="125"/>
      <c r="AQ233" s="125"/>
      <c r="AR233" s="125"/>
      <c r="AS233" s="125"/>
      <c r="AT233" s="125"/>
      <c r="AU233" s="125"/>
      <c r="AV233" s="125"/>
      <c r="AW233" s="125"/>
      <c r="AX233" s="125"/>
      <c r="AY233" s="125"/>
      <c r="AZ233" s="125"/>
      <c r="BA233" s="125"/>
      <c r="BB233" s="125"/>
      <c r="BC233" s="125"/>
      <c r="BD233" s="125"/>
      <c r="BE233" s="125"/>
      <c r="BF233" s="125"/>
      <c r="BG233" s="125"/>
      <c r="BH233" s="125"/>
    </row>
    <row r="234" spans="1:60" s="124" customFormat="1" ht="116.25">
      <c r="A234" s="232" t="s">
        <v>447</v>
      </c>
      <c r="B234" s="231">
        <v>2570</v>
      </c>
      <c r="C234" s="100" t="s">
        <v>477</v>
      </c>
      <c r="D234" s="100"/>
      <c r="E234" s="100" t="s">
        <v>667</v>
      </c>
      <c r="F234" s="100" t="s">
        <v>666</v>
      </c>
      <c r="G234" s="100" t="s">
        <v>888</v>
      </c>
      <c r="H234" s="100" t="s">
        <v>62</v>
      </c>
      <c r="I234" s="100"/>
      <c r="J234" s="100" t="s">
        <v>60</v>
      </c>
      <c r="K234" s="96" t="s">
        <v>40</v>
      </c>
      <c r="L234" s="106">
        <f t="shared" si="4"/>
        <v>65800</v>
      </c>
      <c r="M234" s="98">
        <f t="shared" si="5"/>
        <v>2</v>
      </c>
      <c r="N234" s="96" t="s">
        <v>558</v>
      </c>
      <c r="O234" s="108" t="s">
        <v>472</v>
      </c>
      <c r="P234" s="96"/>
      <c r="Q234" s="96">
        <v>1</v>
      </c>
      <c r="R234" s="96">
        <v>1</v>
      </c>
      <c r="S234" s="96" t="s">
        <v>887</v>
      </c>
      <c r="T234" s="104">
        <v>32900</v>
      </c>
      <c r="U234" s="109" t="s">
        <v>886</v>
      </c>
      <c r="V234" s="217"/>
      <c r="W234" s="217"/>
      <c r="X234" s="125"/>
      <c r="Y234" s="125"/>
      <c r="Z234" s="125"/>
      <c r="AA234" s="125"/>
      <c r="AB234" s="125"/>
      <c r="AC234" s="125"/>
      <c r="AD234" s="125"/>
      <c r="AE234" s="125"/>
      <c r="AF234" s="125"/>
      <c r="AG234" s="125"/>
      <c r="AH234" s="125"/>
      <c r="AI234" s="125"/>
      <c r="AJ234" s="125"/>
      <c r="AK234" s="125"/>
      <c r="AL234" s="125"/>
      <c r="AM234" s="125"/>
      <c r="AN234" s="125"/>
      <c r="AO234" s="125"/>
      <c r="AP234" s="125"/>
      <c r="AQ234" s="125"/>
      <c r="AR234" s="125"/>
      <c r="AS234" s="125"/>
      <c r="AT234" s="125"/>
      <c r="AU234" s="125"/>
      <c r="AV234" s="125"/>
      <c r="AW234" s="125"/>
      <c r="AX234" s="125"/>
      <c r="AY234" s="125"/>
      <c r="AZ234" s="125"/>
      <c r="BA234" s="125"/>
      <c r="BB234" s="125"/>
      <c r="BC234" s="125"/>
      <c r="BD234" s="125"/>
      <c r="BE234" s="125"/>
      <c r="BF234" s="125"/>
      <c r="BG234" s="125"/>
      <c r="BH234" s="125"/>
    </row>
    <row r="235" spans="1:60" s="124" customFormat="1" ht="116.25">
      <c r="A235" s="232" t="s">
        <v>447</v>
      </c>
      <c r="B235" s="231">
        <v>2570</v>
      </c>
      <c r="C235" s="100" t="s">
        <v>477</v>
      </c>
      <c r="D235" s="100"/>
      <c r="E235" s="100" t="s">
        <v>667</v>
      </c>
      <c r="F235" s="100" t="s">
        <v>666</v>
      </c>
      <c r="G235" s="100" t="s">
        <v>880</v>
      </c>
      <c r="H235" s="100" t="s">
        <v>50</v>
      </c>
      <c r="I235" s="100"/>
      <c r="J235" s="100" t="s">
        <v>46</v>
      </c>
      <c r="K235" s="96" t="s">
        <v>40</v>
      </c>
      <c r="L235" s="99">
        <f t="shared" si="4"/>
        <v>48600</v>
      </c>
      <c r="M235" s="98">
        <f t="shared" si="5"/>
        <v>1</v>
      </c>
      <c r="N235" s="96" t="s">
        <v>558</v>
      </c>
      <c r="O235" s="97" t="s">
        <v>472</v>
      </c>
      <c r="P235" s="96"/>
      <c r="Q235" s="96">
        <v>1</v>
      </c>
      <c r="R235" s="96"/>
      <c r="S235" s="96" t="s">
        <v>885</v>
      </c>
      <c r="T235" s="95">
        <v>48600</v>
      </c>
      <c r="U235" s="109" t="s">
        <v>884</v>
      </c>
      <c r="V235" s="217"/>
      <c r="W235" s="217"/>
      <c r="X235" s="125"/>
      <c r="Y235" s="125"/>
      <c r="Z235" s="125"/>
      <c r="AA235" s="125"/>
      <c r="AB235" s="125"/>
      <c r="AC235" s="125"/>
      <c r="AD235" s="125"/>
      <c r="AE235" s="125"/>
      <c r="AF235" s="125"/>
      <c r="AG235" s="125"/>
      <c r="AH235" s="125"/>
      <c r="AI235" s="125"/>
      <c r="AJ235" s="125"/>
      <c r="AK235" s="125"/>
      <c r="AL235" s="125"/>
      <c r="AM235" s="125"/>
      <c r="AN235" s="125"/>
      <c r="AO235" s="125"/>
      <c r="AP235" s="125"/>
      <c r="AQ235" s="125"/>
      <c r="AR235" s="125"/>
      <c r="AS235" s="125"/>
      <c r="AT235" s="125"/>
      <c r="AU235" s="125"/>
      <c r="AV235" s="125"/>
      <c r="AW235" s="125"/>
      <c r="AX235" s="125"/>
      <c r="AY235" s="125"/>
      <c r="AZ235" s="125"/>
      <c r="BA235" s="125"/>
      <c r="BB235" s="125"/>
      <c r="BC235" s="125"/>
      <c r="BD235" s="125"/>
      <c r="BE235" s="125"/>
      <c r="BF235" s="125"/>
      <c r="BG235" s="125"/>
      <c r="BH235" s="125"/>
    </row>
    <row r="236" spans="1:60" s="124" customFormat="1" ht="116.25">
      <c r="A236" s="232" t="s">
        <v>447</v>
      </c>
      <c r="B236" s="231">
        <v>2570</v>
      </c>
      <c r="C236" s="100" t="s">
        <v>477</v>
      </c>
      <c r="D236" s="100"/>
      <c r="E236" s="100" t="s">
        <v>667</v>
      </c>
      <c r="F236" s="100" t="s">
        <v>666</v>
      </c>
      <c r="G236" s="100" t="s">
        <v>880</v>
      </c>
      <c r="H236" s="100" t="s">
        <v>50</v>
      </c>
      <c r="I236" s="100"/>
      <c r="J236" s="100" t="s">
        <v>46</v>
      </c>
      <c r="K236" s="96" t="s">
        <v>40</v>
      </c>
      <c r="L236" s="99">
        <f t="shared" si="4"/>
        <v>14900</v>
      </c>
      <c r="M236" s="98">
        <f t="shared" si="5"/>
        <v>1</v>
      </c>
      <c r="N236" s="96" t="s">
        <v>558</v>
      </c>
      <c r="O236" s="97" t="s">
        <v>472</v>
      </c>
      <c r="P236" s="96"/>
      <c r="Q236" s="96"/>
      <c r="R236" s="96">
        <v>1</v>
      </c>
      <c r="S236" s="96"/>
      <c r="T236" s="104">
        <v>14900</v>
      </c>
      <c r="U236" s="94" t="s">
        <v>883</v>
      </c>
      <c r="V236" s="217"/>
      <c r="W236" s="217"/>
      <c r="X236" s="125"/>
      <c r="Y236" s="125"/>
      <c r="Z236" s="125"/>
      <c r="AA236" s="125"/>
      <c r="AB236" s="125"/>
      <c r="AC236" s="125"/>
      <c r="AD236" s="125"/>
      <c r="AE236" s="125"/>
      <c r="AF236" s="125"/>
      <c r="AG236" s="125"/>
      <c r="AH236" s="125"/>
      <c r="AI236" s="125"/>
      <c r="AJ236" s="125"/>
      <c r="AK236" s="125"/>
      <c r="AL236" s="125"/>
      <c r="AM236" s="125"/>
      <c r="AN236" s="125"/>
      <c r="AO236" s="125"/>
      <c r="AP236" s="125"/>
      <c r="AQ236" s="125"/>
      <c r="AR236" s="125"/>
      <c r="AS236" s="125"/>
      <c r="AT236" s="125"/>
      <c r="AU236" s="125"/>
      <c r="AV236" s="125"/>
      <c r="AW236" s="125"/>
      <c r="AX236" s="125"/>
      <c r="AY236" s="125"/>
      <c r="AZ236" s="125"/>
      <c r="BA236" s="125"/>
      <c r="BB236" s="125"/>
      <c r="BC236" s="125"/>
      <c r="BD236" s="125"/>
      <c r="BE236" s="125"/>
      <c r="BF236" s="125"/>
      <c r="BG236" s="125"/>
      <c r="BH236" s="125"/>
    </row>
    <row r="237" spans="1:60" s="124" customFormat="1" ht="116.25">
      <c r="A237" s="232" t="s">
        <v>447</v>
      </c>
      <c r="B237" s="231">
        <v>2570</v>
      </c>
      <c r="C237" s="100" t="s">
        <v>477</v>
      </c>
      <c r="D237" s="100"/>
      <c r="E237" s="100" t="s">
        <v>667</v>
      </c>
      <c r="F237" s="100" t="s">
        <v>666</v>
      </c>
      <c r="G237" s="100" t="s">
        <v>880</v>
      </c>
      <c r="H237" s="100" t="s">
        <v>148</v>
      </c>
      <c r="I237" s="100"/>
      <c r="J237" s="100" t="s">
        <v>146</v>
      </c>
      <c r="K237" s="96" t="s">
        <v>63</v>
      </c>
      <c r="L237" s="99">
        <f t="shared" si="4"/>
        <v>48600</v>
      </c>
      <c r="M237" s="98">
        <f t="shared" si="5"/>
        <v>1</v>
      </c>
      <c r="N237" s="96" t="s">
        <v>558</v>
      </c>
      <c r="O237" s="97" t="s">
        <v>472</v>
      </c>
      <c r="P237" s="96"/>
      <c r="Q237" s="96">
        <v>1</v>
      </c>
      <c r="R237" s="96"/>
      <c r="S237" s="96" t="s">
        <v>882</v>
      </c>
      <c r="T237" s="95">
        <v>48600</v>
      </c>
      <c r="U237" s="94" t="s">
        <v>881</v>
      </c>
      <c r="V237" s="217"/>
      <c r="W237" s="217"/>
      <c r="X237" s="125"/>
      <c r="Y237" s="125"/>
      <c r="Z237" s="125"/>
      <c r="AA237" s="125"/>
      <c r="AB237" s="125"/>
      <c r="AC237" s="125"/>
      <c r="AD237" s="125"/>
      <c r="AE237" s="125"/>
      <c r="AF237" s="125"/>
      <c r="AG237" s="125"/>
      <c r="AH237" s="125"/>
      <c r="AI237" s="125"/>
      <c r="AJ237" s="125"/>
      <c r="AK237" s="125"/>
      <c r="AL237" s="125"/>
      <c r="AM237" s="125"/>
      <c r="AN237" s="125"/>
      <c r="AO237" s="125"/>
      <c r="AP237" s="125"/>
      <c r="AQ237" s="125"/>
      <c r="AR237" s="125"/>
      <c r="AS237" s="125"/>
      <c r="AT237" s="125"/>
      <c r="AU237" s="125"/>
      <c r="AV237" s="125"/>
      <c r="AW237" s="125"/>
      <c r="AX237" s="125"/>
      <c r="AY237" s="125"/>
      <c r="AZ237" s="125"/>
      <c r="BA237" s="125"/>
      <c r="BB237" s="125"/>
      <c r="BC237" s="125"/>
      <c r="BD237" s="125"/>
      <c r="BE237" s="125"/>
      <c r="BF237" s="125"/>
      <c r="BG237" s="125"/>
      <c r="BH237" s="125"/>
    </row>
    <row r="238" spans="1:60" s="124" customFormat="1" ht="116.25">
      <c r="A238" s="232" t="s">
        <v>447</v>
      </c>
      <c r="B238" s="231">
        <v>2570</v>
      </c>
      <c r="C238" s="100" t="s">
        <v>477</v>
      </c>
      <c r="D238" s="100"/>
      <c r="E238" s="100" t="s">
        <v>667</v>
      </c>
      <c r="F238" s="100" t="s">
        <v>666</v>
      </c>
      <c r="G238" s="100" t="s">
        <v>880</v>
      </c>
      <c r="H238" s="100" t="s">
        <v>121</v>
      </c>
      <c r="I238" s="100"/>
      <c r="J238" s="100" t="s">
        <v>119</v>
      </c>
      <c r="K238" s="96" t="s">
        <v>63</v>
      </c>
      <c r="L238" s="99">
        <f t="shared" si="4"/>
        <v>145800</v>
      </c>
      <c r="M238" s="98">
        <f t="shared" si="5"/>
        <v>3</v>
      </c>
      <c r="N238" s="96" t="s">
        <v>558</v>
      </c>
      <c r="O238" s="97" t="s">
        <v>472</v>
      </c>
      <c r="P238" s="96"/>
      <c r="Q238" s="96">
        <v>1</v>
      </c>
      <c r="R238" s="96">
        <v>2</v>
      </c>
      <c r="S238" s="96" t="s">
        <v>879</v>
      </c>
      <c r="T238" s="95">
        <v>48600</v>
      </c>
      <c r="U238" s="94" t="s">
        <v>878</v>
      </c>
      <c r="V238" s="217"/>
      <c r="W238" s="217"/>
      <c r="X238" s="125"/>
      <c r="Y238" s="125"/>
      <c r="Z238" s="125"/>
      <c r="AA238" s="125"/>
      <c r="AB238" s="125"/>
      <c r="AC238" s="125"/>
      <c r="AD238" s="125"/>
      <c r="AE238" s="125"/>
      <c r="AF238" s="125"/>
      <c r="AG238" s="125"/>
      <c r="AH238" s="125"/>
      <c r="AI238" s="125"/>
      <c r="AJ238" s="125"/>
      <c r="AK238" s="125"/>
      <c r="AL238" s="125"/>
      <c r="AM238" s="125"/>
      <c r="AN238" s="125"/>
      <c r="AO238" s="125"/>
      <c r="AP238" s="125"/>
      <c r="AQ238" s="125"/>
      <c r="AR238" s="125"/>
      <c r="AS238" s="125"/>
      <c r="AT238" s="125"/>
      <c r="AU238" s="125"/>
      <c r="AV238" s="125"/>
      <c r="AW238" s="125"/>
      <c r="AX238" s="125"/>
      <c r="AY238" s="125"/>
      <c r="AZ238" s="125"/>
      <c r="BA238" s="125"/>
      <c r="BB238" s="125"/>
      <c r="BC238" s="125"/>
      <c r="BD238" s="125"/>
      <c r="BE238" s="125"/>
      <c r="BF238" s="125"/>
      <c r="BG238" s="125"/>
      <c r="BH238" s="125"/>
    </row>
    <row r="239" spans="1:60" s="124" customFormat="1" ht="116.25">
      <c r="A239" s="232" t="s">
        <v>447</v>
      </c>
      <c r="B239" s="231">
        <v>2570</v>
      </c>
      <c r="C239" s="100" t="s">
        <v>477</v>
      </c>
      <c r="D239" s="100"/>
      <c r="E239" s="100" t="s">
        <v>667</v>
      </c>
      <c r="F239" s="100" t="s">
        <v>666</v>
      </c>
      <c r="G239" s="100" t="s">
        <v>875</v>
      </c>
      <c r="H239" s="100" t="s">
        <v>377</v>
      </c>
      <c r="I239" s="100"/>
      <c r="J239" s="100" t="s">
        <v>375</v>
      </c>
      <c r="K239" s="96" t="s">
        <v>63</v>
      </c>
      <c r="L239" s="99">
        <f t="shared" si="4"/>
        <v>14900</v>
      </c>
      <c r="M239" s="98">
        <f t="shared" si="5"/>
        <v>1</v>
      </c>
      <c r="N239" s="96" t="s">
        <v>617</v>
      </c>
      <c r="O239" s="97" t="s">
        <v>472</v>
      </c>
      <c r="P239" s="108"/>
      <c r="Q239" s="96">
        <v>1</v>
      </c>
      <c r="R239" s="96"/>
      <c r="S239" s="96" t="s">
        <v>877</v>
      </c>
      <c r="T239" s="95">
        <v>14900</v>
      </c>
      <c r="U239" s="94" t="s">
        <v>876</v>
      </c>
      <c r="V239" s="217"/>
      <c r="W239" s="217"/>
      <c r="X239" s="125"/>
      <c r="Y239" s="125"/>
      <c r="Z239" s="125"/>
      <c r="AA239" s="125"/>
      <c r="AB239" s="125"/>
      <c r="AC239" s="125"/>
      <c r="AD239" s="125"/>
      <c r="AE239" s="125"/>
      <c r="AF239" s="125"/>
      <c r="AG239" s="125"/>
      <c r="AH239" s="125"/>
      <c r="AI239" s="125"/>
      <c r="AJ239" s="125"/>
      <c r="AK239" s="125"/>
      <c r="AL239" s="125"/>
      <c r="AM239" s="125"/>
      <c r="AN239" s="125"/>
      <c r="AO239" s="125"/>
      <c r="AP239" s="125"/>
      <c r="AQ239" s="125"/>
      <c r="AR239" s="125"/>
      <c r="AS239" s="125"/>
      <c r="AT239" s="125"/>
      <c r="AU239" s="125"/>
      <c r="AV239" s="125"/>
      <c r="AW239" s="125"/>
      <c r="AX239" s="125"/>
      <c r="AY239" s="125"/>
      <c r="AZ239" s="125"/>
      <c r="BA239" s="125"/>
      <c r="BB239" s="125"/>
      <c r="BC239" s="125"/>
      <c r="BD239" s="125"/>
      <c r="BE239" s="125"/>
      <c r="BF239" s="125"/>
      <c r="BG239" s="125"/>
      <c r="BH239" s="125"/>
    </row>
    <row r="240" spans="1:60" s="124" customFormat="1" ht="116.25">
      <c r="A240" s="232" t="s">
        <v>447</v>
      </c>
      <c r="B240" s="231">
        <v>2570</v>
      </c>
      <c r="C240" s="100" t="s">
        <v>477</v>
      </c>
      <c r="D240" s="100"/>
      <c r="E240" s="100" t="s">
        <v>667</v>
      </c>
      <c r="F240" s="100" t="s">
        <v>666</v>
      </c>
      <c r="G240" s="100" t="s">
        <v>875</v>
      </c>
      <c r="H240" s="100" t="s">
        <v>164</v>
      </c>
      <c r="I240" s="100"/>
      <c r="J240" s="100" t="s">
        <v>160</v>
      </c>
      <c r="K240" s="96" t="s">
        <v>149</v>
      </c>
      <c r="L240" s="99">
        <f t="shared" si="4"/>
        <v>14900</v>
      </c>
      <c r="M240" s="98">
        <f t="shared" si="5"/>
        <v>1</v>
      </c>
      <c r="N240" s="96" t="s">
        <v>617</v>
      </c>
      <c r="O240" s="97" t="s">
        <v>472</v>
      </c>
      <c r="P240" s="96"/>
      <c r="Q240" s="96">
        <v>1</v>
      </c>
      <c r="R240" s="96"/>
      <c r="S240" s="96" t="s">
        <v>874</v>
      </c>
      <c r="T240" s="95">
        <v>14900</v>
      </c>
      <c r="U240" s="109" t="s">
        <v>873</v>
      </c>
      <c r="V240" s="217"/>
      <c r="W240" s="217"/>
      <c r="X240" s="125"/>
      <c r="Y240" s="125"/>
      <c r="Z240" s="125"/>
      <c r="AA240" s="125"/>
      <c r="AB240" s="125"/>
      <c r="AC240" s="125"/>
      <c r="AD240" s="125"/>
      <c r="AE240" s="125"/>
      <c r="AF240" s="125"/>
      <c r="AG240" s="125"/>
      <c r="AH240" s="125"/>
      <c r="AI240" s="125"/>
      <c r="AJ240" s="125"/>
      <c r="AK240" s="125"/>
      <c r="AL240" s="125"/>
      <c r="AM240" s="125"/>
      <c r="AN240" s="125"/>
      <c r="AO240" s="125"/>
      <c r="AP240" s="125"/>
      <c r="AQ240" s="125"/>
      <c r="AR240" s="125"/>
      <c r="AS240" s="125"/>
      <c r="AT240" s="125"/>
      <c r="AU240" s="125"/>
      <c r="AV240" s="125"/>
      <c r="AW240" s="125"/>
      <c r="AX240" s="125"/>
      <c r="AY240" s="125"/>
      <c r="AZ240" s="125"/>
      <c r="BA240" s="125"/>
      <c r="BB240" s="125"/>
      <c r="BC240" s="125"/>
      <c r="BD240" s="125"/>
      <c r="BE240" s="125"/>
      <c r="BF240" s="125"/>
      <c r="BG240" s="125"/>
      <c r="BH240" s="125"/>
    </row>
    <row r="241" spans="1:60" s="124" customFormat="1" ht="116.25">
      <c r="A241" s="232" t="s">
        <v>447</v>
      </c>
      <c r="B241" s="231">
        <v>2570</v>
      </c>
      <c r="C241" s="100" t="s">
        <v>477</v>
      </c>
      <c r="D241" s="100"/>
      <c r="E241" s="100" t="s">
        <v>667</v>
      </c>
      <c r="F241" s="100" t="s">
        <v>666</v>
      </c>
      <c r="G241" s="100" t="s">
        <v>872</v>
      </c>
      <c r="H241" s="100" t="s">
        <v>201</v>
      </c>
      <c r="I241" s="100"/>
      <c r="J241" s="100" t="s">
        <v>199</v>
      </c>
      <c r="K241" s="96" t="s">
        <v>63</v>
      </c>
      <c r="L241" s="99">
        <f t="shared" si="4"/>
        <v>34900</v>
      </c>
      <c r="M241" s="98">
        <f t="shared" si="5"/>
        <v>1</v>
      </c>
      <c r="N241" s="96" t="s">
        <v>617</v>
      </c>
      <c r="O241" s="97" t="s">
        <v>472</v>
      </c>
      <c r="P241" s="96"/>
      <c r="Q241" s="96"/>
      <c r="R241" s="96">
        <v>1</v>
      </c>
      <c r="S241" s="96"/>
      <c r="T241" s="95">
        <v>34900</v>
      </c>
      <c r="U241" s="94" t="s">
        <v>871</v>
      </c>
      <c r="V241" s="217"/>
      <c r="W241" s="217"/>
      <c r="X241" s="125"/>
      <c r="Y241" s="125"/>
      <c r="Z241" s="125"/>
      <c r="AA241" s="125"/>
      <c r="AB241" s="125"/>
      <c r="AC241" s="125"/>
      <c r="AD241" s="125"/>
      <c r="AE241" s="125"/>
      <c r="AF241" s="125"/>
      <c r="AG241" s="125"/>
      <c r="AH241" s="125"/>
      <c r="AI241" s="125"/>
      <c r="AJ241" s="125"/>
      <c r="AK241" s="125"/>
      <c r="AL241" s="125"/>
      <c r="AM241" s="125"/>
      <c r="AN241" s="125"/>
      <c r="AO241" s="125"/>
      <c r="AP241" s="125"/>
      <c r="AQ241" s="125"/>
      <c r="AR241" s="125"/>
      <c r="AS241" s="125"/>
      <c r="AT241" s="125"/>
      <c r="AU241" s="125"/>
      <c r="AV241" s="125"/>
      <c r="AW241" s="125"/>
      <c r="AX241" s="125"/>
      <c r="AY241" s="125"/>
      <c r="AZ241" s="125"/>
      <c r="BA241" s="125"/>
      <c r="BB241" s="125"/>
      <c r="BC241" s="125"/>
      <c r="BD241" s="125"/>
      <c r="BE241" s="125"/>
      <c r="BF241" s="125"/>
      <c r="BG241" s="125"/>
      <c r="BH241" s="125"/>
    </row>
    <row r="242" spans="1:60" s="124" customFormat="1" ht="116.25">
      <c r="A242" s="232" t="s">
        <v>447</v>
      </c>
      <c r="B242" s="231">
        <v>2570</v>
      </c>
      <c r="C242" s="100" t="s">
        <v>477</v>
      </c>
      <c r="D242" s="100"/>
      <c r="E242" s="100" t="s">
        <v>667</v>
      </c>
      <c r="F242" s="100" t="s">
        <v>666</v>
      </c>
      <c r="G242" s="100" t="s">
        <v>870</v>
      </c>
      <c r="H242" s="100" t="s">
        <v>195</v>
      </c>
      <c r="I242" s="100"/>
      <c r="J242" s="100" t="s">
        <v>193</v>
      </c>
      <c r="K242" s="96" t="s">
        <v>40</v>
      </c>
      <c r="L242" s="99">
        <f t="shared" ref="L242:L286" si="6">M242*T242</f>
        <v>45000</v>
      </c>
      <c r="M242" s="98">
        <f t="shared" ref="M242:M305" si="7">Q242+R242</f>
        <v>1</v>
      </c>
      <c r="N242" s="96" t="s">
        <v>617</v>
      </c>
      <c r="O242" s="97" t="s">
        <v>472</v>
      </c>
      <c r="P242" s="96"/>
      <c r="Q242" s="96"/>
      <c r="R242" s="96">
        <v>1</v>
      </c>
      <c r="S242" s="96"/>
      <c r="T242" s="95">
        <v>45000</v>
      </c>
      <c r="U242" s="94" t="s">
        <v>868</v>
      </c>
      <c r="V242" s="217"/>
      <c r="W242" s="217"/>
      <c r="X242" s="125"/>
      <c r="Y242" s="125"/>
      <c r="Z242" s="125"/>
      <c r="AA242" s="125"/>
      <c r="AB242" s="125"/>
      <c r="AC242" s="125"/>
      <c r="AD242" s="125"/>
      <c r="AE242" s="125"/>
      <c r="AF242" s="125"/>
      <c r="AG242" s="125"/>
      <c r="AH242" s="125"/>
      <c r="AI242" s="125"/>
      <c r="AJ242" s="125"/>
      <c r="AK242" s="125"/>
      <c r="AL242" s="125"/>
      <c r="AM242" s="125"/>
      <c r="AN242" s="125"/>
      <c r="AO242" s="125"/>
      <c r="AP242" s="125"/>
      <c r="AQ242" s="125"/>
      <c r="AR242" s="125"/>
      <c r="AS242" s="125"/>
      <c r="AT242" s="125"/>
      <c r="AU242" s="125"/>
      <c r="AV242" s="125"/>
      <c r="AW242" s="125"/>
      <c r="AX242" s="125"/>
      <c r="AY242" s="125"/>
      <c r="AZ242" s="125"/>
      <c r="BA242" s="125"/>
      <c r="BB242" s="125"/>
      <c r="BC242" s="125"/>
      <c r="BD242" s="125"/>
      <c r="BE242" s="125"/>
      <c r="BF242" s="125"/>
      <c r="BG242" s="125"/>
      <c r="BH242" s="125"/>
    </row>
    <row r="243" spans="1:60" s="124" customFormat="1" ht="116.25">
      <c r="A243" s="232" t="s">
        <v>447</v>
      </c>
      <c r="B243" s="231">
        <v>2570</v>
      </c>
      <c r="C243" s="100" t="s">
        <v>477</v>
      </c>
      <c r="D243" s="100"/>
      <c r="E243" s="100" t="s">
        <v>667</v>
      </c>
      <c r="F243" s="100" t="s">
        <v>666</v>
      </c>
      <c r="G243" s="100" t="s">
        <v>869</v>
      </c>
      <c r="H243" s="100" t="s">
        <v>463</v>
      </c>
      <c r="I243" s="100"/>
      <c r="J243" s="100" t="s">
        <v>438</v>
      </c>
      <c r="K243" s="96" t="s">
        <v>63</v>
      </c>
      <c r="L243" s="99">
        <f t="shared" si="6"/>
        <v>15000</v>
      </c>
      <c r="M243" s="98">
        <f t="shared" si="7"/>
        <v>1</v>
      </c>
      <c r="N243" s="96" t="s">
        <v>558</v>
      </c>
      <c r="O243" s="97" t="s">
        <v>472</v>
      </c>
      <c r="P243" s="96"/>
      <c r="Q243" s="96"/>
      <c r="R243" s="96">
        <v>1</v>
      </c>
      <c r="S243" s="96"/>
      <c r="T243" s="95">
        <v>15000</v>
      </c>
      <c r="U243" s="94" t="s">
        <v>868</v>
      </c>
      <c r="V243" s="217"/>
      <c r="W243" s="217"/>
      <c r="X243" s="125"/>
      <c r="Y243" s="125"/>
      <c r="Z243" s="125"/>
      <c r="AA243" s="125"/>
      <c r="AB243" s="125"/>
      <c r="AC243" s="125"/>
      <c r="AD243" s="125"/>
      <c r="AE243" s="125"/>
      <c r="AF243" s="125"/>
      <c r="AG243" s="125"/>
      <c r="AH243" s="125"/>
      <c r="AI243" s="125"/>
      <c r="AJ243" s="125"/>
      <c r="AK243" s="125"/>
      <c r="AL243" s="125"/>
      <c r="AM243" s="125"/>
      <c r="AN243" s="125"/>
      <c r="AO243" s="125"/>
      <c r="AP243" s="125"/>
      <c r="AQ243" s="125"/>
      <c r="AR243" s="125"/>
      <c r="AS243" s="125"/>
      <c r="AT243" s="125"/>
      <c r="AU243" s="125"/>
      <c r="AV243" s="125"/>
      <c r="AW243" s="125"/>
      <c r="AX243" s="125"/>
      <c r="AY243" s="125"/>
      <c r="AZ243" s="125"/>
      <c r="BA243" s="125"/>
      <c r="BB243" s="125"/>
      <c r="BC243" s="125"/>
      <c r="BD243" s="125"/>
      <c r="BE243" s="125"/>
      <c r="BF243" s="125"/>
      <c r="BG243" s="125"/>
      <c r="BH243" s="125"/>
    </row>
    <row r="244" spans="1:60" s="124" customFormat="1" ht="116.25">
      <c r="A244" s="232" t="s">
        <v>447</v>
      </c>
      <c r="B244" s="231">
        <v>2570</v>
      </c>
      <c r="C244" s="100" t="s">
        <v>477</v>
      </c>
      <c r="D244" s="100"/>
      <c r="E244" s="100" t="s">
        <v>667</v>
      </c>
      <c r="F244" s="100" t="s">
        <v>666</v>
      </c>
      <c r="G244" s="103" t="s">
        <v>867</v>
      </c>
      <c r="H244" s="100" t="s">
        <v>45</v>
      </c>
      <c r="I244" s="100"/>
      <c r="J244" s="100" t="s">
        <v>41</v>
      </c>
      <c r="K244" s="96" t="s">
        <v>40</v>
      </c>
      <c r="L244" s="99">
        <f t="shared" si="6"/>
        <v>46000</v>
      </c>
      <c r="M244" s="98">
        <f t="shared" si="7"/>
        <v>2</v>
      </c>
      <c r="N244" s="96" t="s">
        <v>558</v>
      </c>
      <c r="O244" s="97" t="s">
        <v>472</v>
      </c>
      <c r="P244" s="96"/>
      <c r="Q244" s="96"/>
      <c r="R244" s="96">
        <v>2</v>
      </c>
      <c r="S244" s="96"/>
      <c r="T244" s="104">
        <v>23000</v>
      </c>
      <c r="U244" s="94" t="s">
        <v>862</v>
      </c>
      <c r="V244" s="217"/>
      <c r="W244" s="217"/>
      <c r="X244" s="125"/>
      <c r="Y244" s="125"/>
      <c r="Z244" s="125"/>
      <c r="AA244" s="125"/>
      <c r="AB244" s="125"/>
      <c r="AC244" s="125"/>
      <c r="AD244" s="125"/>
      <c r="AE244" s="125"/>
      <c r="AF244" s="125"/>
      <c r="AG244" s="125"/>
      <c r="AH244" s="125"/>
      <c r="AI244" s="125"/>
      <c r="AJ244" s="125"/>
      <c r="AK244" s="125"/>
      <c r="AL244" s="125"/>
      <c r="AM244" s="125"/>
      <c r="AN244" s="125"/>
      <c r="AO244" s="125"/>
      <c r="AP244" s="125"/>
      <c r="AQ244" s="125"/>
      <c r="AR244" s="125"/>
      <c r="AS244" s="125"/>
      <c r="AT244" s="125"/>
      <c r="AU244" s="125"/>
      <c r="AV244" s="125"/>
      <c r="AW244" s="125"/>
      <c r="AX244" s="125"/>
      <c r="AY244" s="125"/>
      <c r="AZ244" s="125"/>
      <c r="BA244" s="125"/>
      <c r="BB244" s="125"/>
      <c r="BC244" s="125"/>
      <c r="BD244" s="125"/>
      <c r="BE244" s="125"/>
      <c r="BF244" s="125"/>
      <c r="BG244" s="125"/>
      <c r="BH244" s="125"/>
    </row>
    <row r="245" spans="1:60" s="124" customFormat="1" ht="116.25">
      <c r="A245" s="232" t="s">
        <v>447</v>
      </c>
      <c r="B245" s="231">
        <v>2570</v>
      </c>
      <c r="C245" s="100" t="s">
        <v>477</v>
      </c>
      <c r="D245" s="100"/>
      <c r="E245" s="100" t="s">
        <v>667</v>
      </c>
      <c r="F245" s="100" t="s">
        <v>666</v>
      </c>
      <c r="G245" s="103" t="s">
        <v>867</v>
      </c>
      <c r="H245" s="100" t="s">
        <v>148</v>
      </c>
      <c r="I245" s="100"/>
      <c r="J245" s="100" t="s">
        <v>146</v>
      </c>
      <c r="K245" s="96" t="s">
        <v>63</v>
      </c>
      <c r="L245" s="99">
        <f t="shared" si="6"/>
        <v>23000</v>
      </c>
      <c r="M245" s="98">
        <f t="shared" si="7"/>
        <v>1</v>
      </c>
      <c r="N245" s="96" t="s">
        <v>558</v>
      </c>
      <c r="O245" s="97" t="s">
        <v>472</v>
      </c>
      <c r="P245" s="96"/>
      <c r="Q245" s="96">
        <v>1</v>
      </c>
      <c r="R245" s="96"/>
      <c r="S245" s="96" t="s">
        <v>866</v>
      </c>
      <c r="T245" s="104">
        <v>23000</v>
      </c>
      <c r="U245" s="109" t="s">
        <v>865</v>
      </c>
      <c r="V245" s="217"/>
      <c r="W245" s="217"/>
      <c r="X245" s="125"/>
      <c r="Y245" s="125"/>
      <c r="Z245" s="125"/>
      <c r="AA245" s="125"/>
      <c r="AB245" s="125"/>
      <c r="AC245" s="125"/>
      <c r="AD245" s="125"/>
      <c r="AE245" s="125"/>
      <c r="AF245" s="125"/>
      <c r="AG245" s="125"/>
      <c r="AH245" s="125"/>
      <c r="AI245" s="125"/>
      <c r="AJ245" s="125"/>
      <c r="AK245" s="125"/>
      <c r="AL245" s="125"/>
      <c r="AM245" s="125"/>
      <c r="AN245" s="125"/>
      <c r="AO245" s="125"/>
      <c r="AP245" s="125"/>
      <c r="AQ245" s="125"/>
      <c r="AR245" s="125"/>
      <c r="AS245" s="125"/>
      <c r="AT245" s="125"/>
      <c r="AU245" s="125"/>
      <c r="AV245" s="125"/>
      <c r="AW245" s="125"/>
      <c r="AX245" s="125"/>
      <c r="AY245" s="125"/>
      <c r="AZ245" s="125"/>
      <c r="BA245" s="125"/>
      <c r="BB245" s="125"/>
      <c r="BC245" s="125"/>
      <c r="BD245" s="125"/>
      <c r="BE245" s="125"/>
      <c r="BF245" s="125"/>
      <c r="BG245" s="125"/>
      <c r="BH245" s="125"/>
    </row>
    <row r="246" spans="1:60" s="124" customFormat="1" ht="116.25">
      <c r="A246" s="232" t="s">
        <v>447</v>
      </c>
      <c r="B246" s="231">
        <v>2570</v>
      </c>
      <c r="C246" s="100" t="s">
        <v>477</v>
      </c>
      <c r="D246" s="100"/>
      <c r="E246" s="100" t="s">
        <v>667</v>
      </c>
      <c r="F246" s="100" t="s">
        <v>666</v>
      </c>
      <c r="G246" s="100" t="s">
        <v>864</v>
      </c>
      <c r="H246" s="100" t="s">
        <v>164</v>
      </c>
      <c r="I246" s="100"/>
      <c r="J246" s="100" t="s">
        <v>160</v>
      </c>
      <c r="K246" s="96" t="s">
        <v>149</v>
      </c>
      <c r="L246" s="99">
        <f t="shared" si="6"/>
        <v>19000</v>
      </c>
      <c r="M246" s="98">
        <f t="shared" si="7"/>
        <v>1</v>
      </c>
      <c r="N246" s="96" t="s">
        <v>558</v>
      </c>
      <c r="O246" s="97" t="s">
        <v>472</v>
      </c>
      <c r="P246" s="98"/>
      <c r="Q246" s="98">
        <v>1</v>
      </c>
      <c r="R246" s="98"/>
      <c r="S246" s="98"/>
      <c r="T246" s="95">
        <v>19000</v>
      </c>
      <c r="U246" s="131" t="s">
        <v>863</v>
      </c>
      <c r="V246" s="217"/>
      <c r="W246" s="217"/>
      <c r="X246" s="125"/>
      <c r="Y246" s="125"/>
      <c r="Z246" s="125"/>
      <c r="AA246" s="125"/>
      <c r="AB246" s="125"/>
      <c r="AC246" s="125"/>
      <c r="AD246" s="125"/>
      <c r="AE246" s="125"/>
      <c r="AF246" s="125"/>
      <c r="AG246" s="125"/>
      <c r="AH246" s="125"/>
      <c r="AI246" s="125"/>
      <c r="AJ246" s="125"/>
      <c r="AK246" s="125"/>
      <c r="AL246" s="125"/>
      <c r="AM246" s="125"/>
      <c r="AN246" s="125"/>
      <c r="AO246" s="125"/>
      <c r="AP246" s="125"/>
      <c r="AQ246" s="125"/>
      <c r="AR246" s="125"/>
      <c r="AS246" s="125"/>
      <c r="AT246" s="125"/>
      <c r="AU246" s="125"/>
      <c r="AV246" s="125"/>
      <c r="AW246" s="125"/>
      <c r="AX246" s="125"/>
      <c r="AY246" s="125"/>
      <c r="AZ246" s="125"/>
      <c r="BA246" s="125"/>
      <c r="BB246" s="125"/>
      <c r="BC246" s="125"/>
      <c r="BD246" s="125"/>
      <c r="BE246" s="125"/>
      <c r="BF246" s="125"/>
      <c r="BG246" s="125"/>
      <c r="BH246" s="125"/>
    </row>
    <row r="247" spans="1:60" s="124" customFormat="1" ht="116.25">
      <c r="A247" s="232" t="s">
        <v>447</v>
      </c>
      <c r="B247" s="231">
        <v>2570</v>
      </c>
      <c r="C247" s="100" t="s">
        <v>477</v>
      </c>
      <c r="D247" s="100"/>
      <c r="E247" s="100" t="s">
        <v>667</v>
      </c>
      <c r="F247" s="100" t="s">
        <v>666</v>
      </c>
      <c r="G247" s="100" t="s">
        <v>860</v>
      </c>
      <c r="H247" s="100" t="s">
        <v>109</v>
      </c>
      <c r="I247" s="100"/>
      <c r="J247" s="100" t="s">
        <v>107</v>
      </c>
      <c r="K247" s="96" t="s">
        <v>63</v>
      </c>
      <c r="L247" s="99">
        <f t="shared" si="6"/>
        <v>45000</v>
      </c>
      <c r="M247" s="98">
        <f t="shared" si="7"/>
        <v>1</v>
      </c>
      <c r="N247" s="96" t="s">
        <v>558</v>
      </c>
      <c r="O247" s="97" t="s">
        <v>472</v>
      </c>
      <c r="P247" s="98"/>
      <c r="Q247" s="98"/>
      <c r="R247" s="98">
        <v>1</v>
      </c>
      <c r="S247" s="98"/>
      <c r="T247" s="95">
        <v>45000</v>
      </c>
      <c r="U247" s="109" t="s">
        <v>862</v>
      </c>
      <c r="V247" s="217"/>
      <c r="W247" s="217"/>
      <c r="X247" s="125"/>
      <c r="Y247" s="125"/>
      <c r="Z247" s="125"/>
      <c r="AA247" s="125"/>
      <c r="AB247" s="125"/>
      <c r="AC247" s="125"/>
      <c r="AD247" s="125"/>
      <c r="AE247" s="125"/>
      <c r="AF247" s="125"/>
      <c r="AG247" s="125"/>
      <c r="AH247" s="125"/>
      <c r="AI247" s="125"/>
      <c r="AJ247" s="125"/>
      <c r="AK247" s="125"/>
      <c r="AL247" s="125"/>
      <c r="AM247" s="125"/>
      <c r="AN247" s="125"/>
      <c r="AO247" s="125"/>
      <c r="AP247" s="125"/>
      <c r="AQ247" s="125"/>
      <c r="AR247" s="125"/>
      <c r="AS247" s="125"/>
      <c r="AT247" s="125"/>
      <c r="AU247" s="125"/>
      <c r="AV247" s="125"/>
      <c r="AW247" s="125"/>
      <c r="AX247" s="125"/>
      <c r="AY247" s="125"/>
      <c r="AZ247" s="125"/>
      <c r="BA247" s="125"/>
      <c r="BB247" s="125"/>
      <c r="BC247" s="125"/>
      <c r="BD247" s="125"/>
      <c r="BE247" s="125"/>
      <c r="BF247" s="125"/>
      <c r="BG247" s="125"/>
      <c r="BH247" s="125"/>
    </row>
    <row r="248" spans="1:60" s="124" customFormat="1" ht="116.25">
      <c r="A248" s="232" t="s">
        <v>447</v>
      </c>
      <c r="B248" s="231">
        <v>2570</v>
      </c>
      <c r="C248" s="100" t="s">
        <v>477</v>
      </c>
      <c r="D248" s="100"/>
      <c r="E248" s="100" t="s">
        <v>667</v>
      </c>
      <c r="F248" s="100" t="s">
        <v>666</v>
      </c>
      <c r="G248" s="100" t="s">
        <v>860</v>
      </c>
      <c r="H248" s="100" t="s">
        <v>451</v>
      </c>
      <c r="I248" s="100"/>
      <c r="J248" s="100" t="s">
        <v>444</v>
      </c>
      <c r="K248" s="96" t="s">
        <v>13</v>
      </c>
      <c r="L248" s="99">
        <f t="shared" si="6"/>
        <v>45000</v>
      </c>
      <c r="M248" s="98">
        <f t="shared" si="7"/>
        <v>1</v>
      </c>
      <c r="N248" s="96" t="s">
        <v>558</v>
      </c>
      <c r="O248" s="97" t="s">
        <v>472</v>
      </c>
      <c r="P248" s="96"/>
      <c r="Q248" s="96"/>
      <c r="R248" s="96">
        <v>1</v>
      </c>
      <c r="S248" s="96"/>
      <c r="T248" s="95">
        <v>45000</v>
      </c>
      <c r="U248" s="94" t="s">
        <v>861</v>
      </c>
      <c r="V248" s="217"/>
      <c r="W248" s="217"/>
      <c r="X248" s="125"/>
      <c r="Y248" s="125"/>
      <c r="Z248" s="125"/>
      <c r="AA248" s="125"/>
      <c r="AB248" s="125"/>
      <c r="AC248" s="125"/>
      <c r="AD248" s="125"/>
      <c r="AE248" s="125"/>
      <c r="AF248" s="125"/>
      <c r="AG248" s="125"/>
      <c r="AH248" s="125"/>
      <c r="AI248" s="125"/>
      <c r="AJ248" s="125"/>
      <c r="AK248" s="125"/>
      <c r="AL248" s="125"/>
      <c r="AM248" s="125"/>
      <c r="AN248" s="125"/>
      <c r="AO248" s="125"/>
      <c r="AP248" s="125"/>
      <c r="AQ248" s="125"/>
      <c r="AR248" s="125"/>
      <c r="AS248" s="125"/>
      <c r="AT248" s="125"/>
      <c r="AU248" s="125"/>
      <c r="AV248" s="125"/>
      <c r="AW248" s="125"/>
      <c r="AX248" s="125"/>
      <c r="AY248" s="125"/>
      <c r="AZ248" s="125"/>
      <c r="BA248" s="125"/>
      <c r="BB248" s="125"/>
      <c r="BC248" s="125"/>
      <c r="BD248" s="125"/>
      <c r="BE248" s="125"/>
      <c r="BF248" s="125"/>
      <c r="BG248" s="125"/>
      <c r="BH248" s="125"/>
    </row>
    <row r="249" spans="1:60" s="124" customFormat="1" ht="116.25">
      <c r="A249" s="232" t="s">
        <v>447</v>
      </c>
      <c r="B249" s="231">
        <v>2570</v>
      </c>
      <c r="C249" s="100" t="s">
        <v>477</v>
      </c>
      <c r="D249" s="100"/>
      <c r="E249" s="100" t="s">
        <v>667</v>
      </c>
      <c r="F249" s="100" t="s">
        <v>666</v>
      </c>
      <c r="G249" s="100" t="s">
        <v>860</v>
      </c>
      <c r="H249" s="100" t="s">
        <v>216</v>
      </c>
      <c r="I249" s="100"/>
      <c r="J249" s="100" t="s">
        <v>214</v>
      </c>
      <c r="K249" s="96" t="s">
        <v>63</v>
      </c>
      <c r="L249" s="99">
        <f t="shared" si="6"/>
        <v>45000</v>
      </c>
      <c r="M249" s="98">
        <f t="shared" si="7"/>
        <v>1</v>
      </c>
      <c r="N249" s="96" t="s">
        <v>558</v>
      </c>
      <c r="O249" s="97" t="s">
        <v>472</v>
      </c>
      <c r="P249" s="96"/>
      <c r="Q249" s="96"/>
      <c r="R249" s="96">
        <v>1</v>
      </c>
      <c r="S249" s="96"/>
      <c r="T249" s="95">
        <v>45000</v>
      </c>
      <c r="U249" s="94" t="s">
        <v>859</v>
      </c>
      <c r="V249" s="217"/>
      <c r="W249" s="217"/>
      <c r="X249" s="125"/>
      <c r="Y249" s="125"/>
      <c r="Z249" s="125"/>
      <c r="AA249" s="125"/>
      <c r="AB249" s="125"/>
      <c r="AC249" s="125"/>
      <c r="AD249" s="125"/>
      <c r="AE249" s="125"/>
      <c r="AF249" s="125"/>
      <c r="AG249" s="125"/>
      <c r="AH249" s="125"/>
      <c r="AI249" s="125"/>
      <c r="AJ249" s="125"/>
      <c r="AK249" s="125"/>
      <c r="AL249" s="125"/>
      <c r="AM249" s="125"/>
      <c r="AN249" s="125"/>
      <c r="AO249" s="125"/>
      <c r="AP249" s="125"/>
      <c r="AQ249" s="125"/>
      <c r="AR249" s="125"/>
      <c r="AS249" s="125"/>
      <c r="AT249" s="125"/>
      <c r="AU249" s="125"/>
      <c r="AV249" s="125"/>
      <c r="AW249" s="125"/>
      <c r="AX249" s="125"/>
      <c r="AY249" s="125"/>
      <c r="AZ249" s="125"/>
      <c r="BA249" s="125"/>
      <c r="BB249" s="125"/>
      <c r="BC249" s="125"/>
      <c r="BD249" s="125"/>
      <c r="BE249" s="125"/>
      <c r="BF249" s="125"/>
      <c r="BG249" s="125"/>
      <c r="BH249" s="125"/>
    </row>
    <row r="250" spans="1:60" s="124" customFormat="1" ht="116.25">
      <c r="A250" s="232" t="s">
        <v>447</v>
      </c>
      <c r="B250" s="231">
        <v>2570</v>
      </c>
      <c r="C250" s="100" t="s">
        <v>477</v>
      </c>
      <c r="D250" s="100"/>
      <c r="E250" s="100" t="s">
        <v>667</v>
      </c>
      <c r="F250" s="100" t="s">
        <v>666</v>
      </c>
      <c r="G250" s="100" t="s">
        <v>860</v>
      </c>
      <c r="H250" s="100" t="s">
        <v>195</v>
      </c>
      <c r="I250" s="100"/>
      <c r="J250" s="100" t="s">
        <v>193</v>
      </c>
      <c r="K250" s="96" t="s">
        <v>40</v>
      </c>
      <c r="L250" s="99">
        <f t="shared" si="6"/>
        <v>45000</v>
      </c>
      <c r="M250" s="98">
        <f t="shared" si="7"/>
        <v>1</v>
      </c>
      <c r="N250" s="96" t="s">
        <v>558</v>
      </c>
      <c r="O250" s="97" t="s">
        <v>472</v>
      </c>
      <c r="P250" s="98"/>
      <c r="Q250" s="98"/>
      <c r="R250" s="98">
        <v>1</v>
      </c>
      <c r="S250" s="98"/>
      <c r="T250" s="95">
        <v>45000</v>
      </c>
      <c r="U250" s="109" t="s">
        <v>859</v>
      </c>
      <c r="V250" s="217"/>
      <c r="W250" s="217"/>
      <c r="X250" s="125"/>
      <c r="Y250" s="125"/>
      <c r="Z250" s="125"/>
      <c r="AA250" s="125"/>
      <c r="AB250" s="125"/>
      <c r="AC250" s="125"/>
      <c r="AD250" s="125"/>
      <c r="AE250" s="125"/>
      <c r="AF250" s="125"/>
      <c r="AG250" s="125"/>
      <c r="AH250" s="125"/>
      <c r="AI250" s="125"/>
      <c r="AJ250" s="125"/>
      <c r="AK250" s="125"/>
      <c r="AL250" s="125"/>
      <c r="AM250" s="125"/>
      <c r="AN250" s="125"/>
      <c r="AO250" s="125"/>
      <c r="AP250" s="125"/>
      <c r="AQ250" s="125"/>
      <c r="AR250" s="125"/>
      <c r="AS250" s="125"/>
      <c r="AT250" s="125"/>
      <c r="AU250" s="125"/>
      <c r="AV250" s="125"/>
      <c r="AW250" s="125"/>
      <c r="AX250" s="125"/>
      <c r="AY250" s="125"/>
      <c r="AZ250" s="125"/>
      <c r="BA250" s="125"/>
      <c r="BB250" s="125"/>
      <c r="BC250" s="125"/>
      <c r="BD250" s="125"/>
      <c r="BE250" s="125"/>
      <c r="BF250" s="125"/>
      <c r="BG250" s="125"/>
      <c r="BH250" s="125"/>
    </row>
    <row r="251" spans="1:60" s="124" customFormat="1" ht="116.25">
      <c r="A251" s="232" t="s">
        <v>447</v>
      </c>
      <c r="B251" s="231">
        <v>2570</v>
      </c>
      <c r="C251" s="100" t="s">
        <v>477</v>
      </c>
      <c r="D251" s="100"/>
      <c r="E251" s="100" t="s">
        <v>667</v>
      </c>
      <c r="F251" s="100" t="s">
        <v>666</v>
      </c>
      <c r="G251" s="100" t="s">
        <v>856</v>
      </c>
      <c r="H251" s="100" t="s">
        <v>39</v>
      </c>
      <c r="I251" s="100"/>
      <c r="J251" s="100" t="s">
        <v>34</v>
      </c>
      <c r="K251" s="96" t="s">
        <v>13</v>
      </c>
      <c r="L251" s="99">
        <f t="shared" si="6"/>
        <v>30000</v>
      </c>
      <c r="M251" s="98">
        <f t="shared" si="7"/>
        <v>1</v>
      </c>
      <c r="N251" s="96" t="s">
        <v>558</v>
      </c>
      <c r="O251" s="97" t="s">
        <v>472</v>
      </c>
      <c r="P251" s="98"/>
      <c r="Q251" s="98">
        <v>1</v>
      </c>
      <c r="R251" s="98"/>
      <c r="S251" s="96" t="s">
        <v>858</v>
      </c>
      <c r="T251" s="95">
        <v>30000</v>
      </c>
      <c r="U251" s="131" t="s">
        <v>857</v>
      </c>
      <c r="V251" s="217"/>
      <c r="W251" s="217"/>
      <c r="X251" s="125"/>
      <c r="Y251" s="125"/>
      <c r="Z251" s="125"/>
      <c r="AA251" s="125"/>
      <c r="AB251" s="125"/>
      <c r="AC251" s="125"/>
      <c r="AD251" s="125"/>
      <c r="AE251" s="125"/>
      <c r="AF251" s="125"/>
      <c r="AG251" s="125"/>
      <c r="AH251" s="125"/>
      <c r="AI251" s="125"/>
      <c r="AJ251" s="125"/>
      <c r="AK251" s="125"/>
      <c r="AL251" s="125"/>
      <c r="AM251" s="125"/>
      <c r="AN251" s="125"/>
      <c r="AO251" s="125"/>
      <c r="AP251" s="125"/>
      <c r="AQ251" s="125"/>
      <c r="AR251" s="125"/>
      <c r="AS251" s="125"/>
      <c r="AT251" s="125"/>
      <c r="AU251" s="125"/>
      <c r="AV251" s="125"/>
      <c r="AW251" s="125"/>
      <c r="AX251" s="125"/>
      <c r="AY251" s="125"/>
      <c r="AZ251" s="125"/>
      <c r="BA251" s="125"/>
      <c r="BB251" s="125"/>
      <c r="BC251" s="125"/>
      <c r="BD251" s="125"/>
      <c r="BE251" s="125"/>
      <c r="BF251" s="125"/>
      <c r="BG251" s="125"/>
      <c r="BH251" s="125"/>
    </row>
    <row r="252" spans="1:60" s="124" customFormat="1" ht="116.25">
      <c r="A252" s="232" t="s">
        <v>447</v>
      </c>
      <c r="B252" s="231">
        <v>2570</v>
      </c>
      <c r="C252" s="100" t="s">
        <v>477</v>
      </c>
      <c r="D252" s="100"/>
      <c r="E252" s="100" t="s">
        <v>667</v>
      </c>
      <c r="F252" s="100" t="s">
        <v>666</v>
      </c>
      <c r="G252" s="100" t="s">
        <v>856</v>
      </c>
      <c r="H252" s="100" t="s">
        <v>145</v>
      </c>
      <c r="I252" s="100"/>
      <c r="J252" s="100" t="s">
        <v>143</v>
      </c>
      <c r="K252" s="96" t="s">
        <v>63</v>
      </c>
      <c r="L252" s="99">
        <f t="shared" si="6"/>
        <v>60000</v>
      </c>
      <c r="M252" s="98">
        <f t="shared" si="7"/>
        <v>2</v>
      </c>
      <c r="N252" s="96" t="s">
        <v>558</v>
      </c>
      <c r="O252" s="97" t="s">
        <v>472</v>
      </c>
      <c r="P252" s="96"/>
      <c r="Q252" s="96"/>
      <c r="R252" s="96">
        <v>2</v>
      </c>
      <c r="S252" s="96"/>
      <c r="T252" s="95">
        <v>30000</v>
      </c>
      <c r="U252" s="94" t="s">
        <v>855</v>
      </c>
      <c r="V252" s="217"/>
      <c r="W252" s="217"/>
      <c r="X252" s="125"/>
      <c r="Y252" s="125"/>
      <c r="Z252" s="125"/>
      <c r="AA252" s="125"/>
      <c r="AB252" s="125"/>
      <c r="AC252" s="125"/>
      <c r="AD252" s="125"/>
      <c r="AE252" s="125"/>
      <c r="AF252" s="125"/>
      <c r="AG252" s="125"/>
      <c r="AH252" s="125"/>
      <c r="AI252" s="125"/>
      <c r="AJ252" s="125"/>
      <c r="AK252" s="125"/>
      <c r="AL252" s="125"/>
      <c r="AM252" s="125"/>
      <c r="AN252" s="125"/>
      <c r="AO252" s="125"/>
      <c r="AP252" s="125"/>
      <c r="AQ252" s="125"/>
      <c r="AR252" s="125"/>
      <c r="AS252" s="125"/>
      <c r="AT252" s="125"/>
      <c r="AU252" s="125"/>
      <c r="AV252" s="125"/>
      <c r="AW252" s="125"/>
      <c r="AX252" s="125"/>
      <c r="AY252" s="125"/>
      <c r="AZ252" s="125"/>
      <c r="BA252" s="125"/>
      <c r="BB252" s="125"/>
      <c r="BC252" s="125"/>
      <c r="BD252" s="125"/>
      <c r="BE252" s="125"/>
      <c r="BF252" s="125"/>
      <c r="BG252" s="125"/>
      <c r="BH252" s="125"/>
    </row>
    <row r="253" spans="1:60" s="124" customFormat="1" ht="116.25">
      <c r="A253" s="232" t="s">
        <v>447</v>
      </c>
      <c r="B253" s="231">
        <v>2570</v>
      </c>
      <c r="C253" s="100" t="s">
        <v>477</v>
      </c>
      <c r="D253" s="100"/>
      <c r="E253" s="100" t="s">
        <v>667</v>
      </c>
      <c r="F253" s="100" t="s">
        <v>666</v>
      </c>
      <c r="G253" s="100" t="s">
        <v>854</v>
      </c>
      <c r="H253" s="100" t="s">
        <v>853</v>
      </c>
      <c r="I253" s="100"/>
      <c r="J253" s="100" t="s">
        <v>852</v>
      </c>
      <c r="K253" s="96" t="s">
        <v>63</v>
      </c>
      <c r="L253" s="99">
        <f t="shared" si="6"/>
        <v>30000</v>
      </c>
      <c r="M253" s="98">
        <f t="shared" si="7"/>
        <v>1</v>
      </c>
      <c r="N253" s="96" t="s">
        <v>558</v>
      </c>
      <c r="O253" s="97" t="s">
        <v>472</v>
      </c>
      <c r="P253" s="96"/>
      <c r="Q253" s="96">
        <v>1</v>
      </c>
      <c r="R253" s="107"/>
      <c r="S253" s="96" t="s">
        <v>851</v>
      </c>
      <c r="T253" s="95">
        <v>30000</v>
      </c>
      <c r="U253" s="94" t="s">
        <v>850</v>
      </c>
      <c r="V253" s="217"/>
      <c r="W253" s="217"/>
      <c r="X253" s="125"/>
      <c r="Y253" s="125"/>
      <c r="Z253" s="125"/>
      <c r="AA253" s="125"/>
      <c r="AB253" s="125"/>
      <c r="AC253" s="125"/>
      <c r="AD253" s="125"/>
      <c r="AE253" s="125"/>
      <c r="AF253" s="125"/>
      <c r="AG253" s="125"/>
      <c r="AH253" s="125"/>
      <c r="AI253" s="125"/>
      <c r="AJ253" s="125"/>
      <c r="AK253" s="125"/>
      <c r="AL253" s="125"/>
      <c r="AM253" s="125"/>
      <c r="AN253" s="125"/>
      <c r="AO253" s="125"/>
      <c r="AP253" s="125"/>
      <c r="AQ253" s="125"/>
      <c r="AR253" s="125"/>
      <c r="AS253" s="125"/>
      <c r="AT253" s="125"/>
      <c r="AU253" s="125"/>
      <c r="AV253" s="125"/>
      <c r="AW253" s="125"/>
      <c r="AX253" s="125"/>
      <c r="AY253" s="125"/>
      <c r="AZ253" s="125"/>
      <c r="BA253" s="125"/>
      <c r="BB253" s="125"/>
      <c r="BC253" s="125"/>
      <c r="BD253" s="125"/>
      <c r="BE253" s="125"/>
      <c r="BF253" s="125"/>
      <c r="BG253" s="125"/>
      <c r="BH253" s="125"/>
    </row>
    <row r="254" spans="1:60" s="124" customFormat="1" ht="116.25">
      <c r="A254" s="232" t="s">
        <v>447</v>
      </c>
      <c r="B254" s="231">
        <v>2570</v>
      </c>
      <c r="C254" s="100" t="s">
        <v>538</v>
      </c>
      <c r="D254" s="100"/>
      <c r="E254" s="100" t="s">
        <v>667</v>
      </c>
      <c r="F254" s="100" t="s">
        <v>666</v>
      </c>
      <c r="G254" s="100" t="s">
        <v>845</v>
      </c>
      <c r="H254" s="100" t="s">
        <v>39</v>
      </c>
      <c r="I254" s="100"/>
      <c r="J254" s="100" t="s">
        <v>34</v>
      </c>
      <c r="K254" s="96" t="s">
        <v>13</v>
      </c>
      <c r="L254" s="99">
        <f t="shared" si="6"/>
        <v>13000</v>
      </c>
      <c r="M254" s="98">
        <f t="shared" si="7"/>
        <v>1</v>
      </c>
      <c r="N254" s="96" t="s">
        <v>558</v>
      </c>
      <c r="O254" s="97" t="s">
        <v>472</v>
      </c>
      <c r="P254" s="96"/>
      <c r="Q254" s="96">
        <v>1</v>
      </c>
      <c r="R254" s="96"/>
      <c r="S254" s="96" t="s">
        <v>849</v>
      </c>
      <c r="T254" s="95">
        <v>13000</v>
      </c>
      <c r="U254" s="94" t="s">
        <v>848</v>
      </c>
      <c r="V254" s="217"/>
      <c r="W254" s="217"/>
      <c r="X254" s="125"/>
      <c r="Y254" s="125"/>
      <c r="Z254" s="125"/>
      <c r="AA254" s="125"/>
      <c r="AB254" s="125"/>
      <c r="AC254" s="125"/>
      <c r="AD254" s="125"/>
      <c r="AE254" s="125"/>
      <c r="AF254" s="125"/>
      <c r="AG254" s="125"/>
      <c r="AH254" s="125"/>
      <c r="AI254" s="125"/>
      <c r="AJ254" s="125"/>
      <c r="AK254" s="125"/>
      <c r="AL254" s="125"/>
      <c r="AM254" s="125"/>
      <c r="AN254" s="125"/>
      <c r="AO254" s="125"/>
      <c r="AP254" s="125"/>
      <c r="AQ254" s="125"/>
      <c r="AR254" s="125"/>
      <c r="AS254" s="125"/>
      <c r="AT254" s="125"/>
      <c r="AU254" s="125"/>
      <c r="AV254" s="125"/>
      <c r="AW254" s="125"/>
      <c r="AX254" s="125"/>
      <c r="AY254" s="125"/>
      <c r="AZ254" s="125"/>
      <c r="BA254" s="125"/>
      <c r="BB254" s="125"/>
      <c r="BC254" s="125"/>
      <c r="BD254" s="125"/>
      <c r="BE254" s="125"/>
      <c r="BF254" s="125"/>
      <c r="BG254" s="125"/>
      <c r="BH254" s="125"/>
    </row>
    <row r="255" spans="1:60" s="124" customFormat="1" ht="116.25">
      <c r="A255" s="232" t="s">
        <v>447</v>
      </c>
      <c r="B255" s="231">
        <v>2570</v>
      </c>
      <c r="C255" s="100" t="s">
        <v>538</v>
      </c>
      <c r="D255" s="100"/>
      <c r="E255" s="100" t="s">
        <v>667</v>
      </c>
      <c r="F255" s="100" t="s">
        <v>666</v>
      </c>
      <c r="G255" s="100" t="s">
        <v>845</v>
      </c>
      <c r="H255" s="100" t="s">
        <v>164</v>
      </c>
      <c r="I255" s="100"/>
      <c r="J255" s="100" t="s">
        <v>160</v>
      </c>
      <c r="K255" s="96" t="s">
        <v>149</v>
      </c>
      <c r="L255" s="99">
        <f t="shared" si="6"/>
        <v>13000</v>
      </c>
      <c r="M255" s="98">
        <f t="shared" si="7"/>
        <v>1</v>
      </c>
      <c r="N255" s="96" t="s">
        <v>558</v>
      </c>
      <c r="O255" s="97" t="s">
        <v>472</v>
      </c>
      <c r="P255" s="96"/>
      <c r="Q255" s="147"/>
      <c r="R255" s="107">
        <v>1</v>
      </c>
      <c r="S255" s="107" t="s">
        <v>847</v>
      </c>
      <c r="T255" s="95">
        <v>13000</v>
      </c>
      <c r="U255" s="94" t="s">
        <v>846</v>
      </c>
      <c r="V255" s="217"/>
      <c r="W255" s="217"/>
      <c r="X255" s="125"/>
      <c r="Y255" s="125"/>
      <c r="Z255" s="125"/>
      <c r="AA255" s="125"/>
      <c r="AB255" s="125"/>
      <c r="AC255" s="125"/>
      <c r="AD255" s="125"/>
      <c r="AE255" s="125"/>
      <c r="AF255" s="125"/>
      <c r="AG255" s="125"/>
      <c r="AH255" s="125"/>
      <c r="AI255" s="125"/>
      <c r="AJ255" s="125"/>
      <c r="AK255" s="125"/>
      <c r="AL255" s="125"/>
      <c r="AM255" s="125"/>
      <c r="AN255" s="125"/>
      <c r="AO255" s="125"/>
      <c r="AP255" s="125"/>
      <c r="AQ255" s="125"/>
      <c r="AR255" s="125"/>
      <c r="AS255" s="125"/>
      <c r="AT255" s="125"/>
      <c r="AU255" s="125"/>
      <c r="AV255" s="125"/>
      <c r="AW255" s="125"/>
      <c r="AX255" s="125"/>
      <c r="AY255" s="125"/>
      <c r="AZ255" s="125"/>
      <c r="BA255" s="125"/>
      <c r="BB255" s="125"/>
      <c r="BC255" s="125"/>
      <c r="BD255" s="125"/>
      <c r="BE255" s="125"/>
      <c r="BF255" s="125"/>
      <c r="BG255" s="125"/>
      <c r="BH255" s="125"/>
    </row>
    <row r="256" spans="1:60" s="124" customFormat="1" ht="116.25">
      <c r="A256" s="232" t="s">
        <v>447</v>
      </c>
      <c r="B256" s="231">
        <v>2570</v>
      </c>
      <c r="C256" s="100" t="s">
        <v>538</v>
      </c>
      <c r="D256" s="100"/>
      <c r="E256" s="100" t="s">
        <v>667</v>
      </c>
      <c r="F256" s="100" t="s">
        <v>666</v>
      </c>
      <c r="G256" s="100" t="s">
        <v>845</v>
      </c>
      <c r="H256" s="100" t="s">
        <v>135</v>
      </c>
      <c r="I256" s="100"/>
      <c r="J256" s="100" t="s">
        <v>133</v>
      </c>
      <c r="K256" s="96" t="s">
        <v>63</v>
      </c>
      <c r="L256" s="99">
        <f t="shared" si="6"/>
        <v>13000</v>
      </c>
      <c r="M256" s="98">
        <f t="shared" si="7"/>
        <v>1</v>
      </c>
      <c r="N256" s="96" t="s">
        <v>558</v>
      </c>
      <c r="O256" s="97" t="s">
        <v>472</v>
      </c>
      <c r="P256" s="96"/>
      <c r="Q256" s="96"/>
      <c r="R256" s="96">
        <v>1</v>
      </c>
      <c r="S256" s="96"/>
      <c r="T256" s="95">
        <v>13000</v>
      </c>
      <c r="U256" s="94" t="s">
        <v>844</v>
      </c>
      <c r="V256" s="217"/>
      <c r="W256" s="217"/>
      <c r="X256" s="125"/>
      <c r="Y256" s="125"/>
      <c r="Z256" s="125"/>
      <c r="AA256" s="125"/>
      <c r="AB256" s="125"/>
      <c r="AC256" s="125"/>
      <c r="AD256" s="125"/>
      <c r="AE256" s="125"/>
      <c r="AF256" s="125"/>
      <c r="AG256" s="125"/>
      <c r="AH256" s="125"/>
      <c r="AI256" s="125"/>
      <c r="AJ256" s="125"/>
      <c r="AK256" s="125"/>
      <c r="AL256" s="125"/>
      <c r="AM256" s="125"/>
      <c r="AN256" s="125"/>
      <c r="AO256" s="125"/>
      <c r="AP256" s="125"/>
      <c r="AQ256" s="125"/>
      <c r="AR256" s="125"/>
      <c r="AS256" s="125"/>
      <c r="AT256" s="125"/>
      <c r="AU256" s="125"/>
      <c r="AV256" s="125"/>
      <c r="AW256" s="125"/>
      <c r="AX256" s="125"/>
      <c r="AY256" s="125"/>
      <c r="AZ256" s="125"/>
      <c r="BA256" s="125"/>
      <c r="BB256" s="125"/>
      <c r="BC256" s="125"/>
      <c r="BD256" s="125"/>
      <c r="BE256" s="125"/>
      <c r="BF256" s="125"/>
      <c r="BG256" s="125"/>
      <c r="BH256" s="125"/>
    </row>
    <row r="257" spans="1:60" s="124" customFormat="1" ht="116.25">
      <c r="A257" s="232" t="s">
        <v>447</v>
      </c>
      <c r="B257" s="231">
        <v>2570</v>
      </c>
      <c r="C257" s="100" t="s">
        <v>538</v>
      </c>
      <c r="D257" s="100"/>
      <c r="E257" s="100" t="s">
        <v>667</v>
      </c>
      <c r="F257" s="100" t="s">
        <v>666</v>
      </c>
      <c r="G257" s="100" t="s">
        <v>845</v>
      </c>
      <c r="H257" s="100" t="s">
        <v>59</v>
      </c>
      <c r="I257" s="100"/>
      <c r="J257" s="100" t="s">
        <v>57</v>
      </c>
      <c r="K257" s="96" t="s">
        <v>40</v>
      </c>
      <c r="L257" s="99">
        <f t="shared" si="6"/>
        <v>13000</v>
      </c>
      <c r="M257" s="98">
        <f t="shared" si="7"/>
        <v>1</v>
      </c>
      <c r="N257" s="96" t="s">
        <v>561</v>
      </c>
      <c r="O257" s="97" t="s">
        <v>472</v>
      </c>
      <c r="P257" s="96"/>
      <c r="Q257" s="96"/>
      <c r="R257" s="96">
        <v>1</v>
      </c>
      <c r="S257" s="96"/>
      <c r="T257" s="95">
        <v>13000</v>
      </c>
      <c r="U257" s="94" t="s">
        <v>844</v>
      </c>
      <c r="V257" s="217"/>
      <c r="W257" s="217"/>
      <c r="X257" s="125"/>
      <c r="Y257" s="125"/>
      <c r="Z257" s="125"/>
      <c r="AA257" s="125"/>
      <c r="AB257" s="125"/>
      <c r="AC257" s="125"/>
      <c r="AD257" s="125"/>
      <c r="AE257" s="125"/>
      <c r="AF257" s="125"/>
      <c r="AG257" s="125"/>
      <c r="AH257" s="125"/>
      <c r="AI257" s="125"/>
      <c r="AJ257" s="125"/>
      <c r="AK257" s="125"/>
      <c r="AL257" s="125"/>
      <c r="AM257" s="125"/>
      <c r="AN257" s="125"/>
      <c r="AO257" s="125"/>
      <c r="AP257" s="125"/>
      <c r="AQ257" s="125"/>
      <c r="AR257" s="125"/>
      <c r="AS257" s="125"/>
      <c r="AT257" s="125"/>
      <c r="AU257" s="125"/>
      <c r="AV257" s="125"/>
      <c r="AW257" s="125"/>
      <c r="AX257" s="125"/>
      <c r="AY257" s="125"/>
      <c r="AZ257" s="125"/>
      <c r="BA257" s="125"/>
      <c r="BB257" s="125"/>
      <c r="BC257" s="125"/>
      <c r="BD257" s="125"/>
      <c r="BE257" s="125"/>
      <c r="BF257" s="125"/>
      <c r="BG257" s="125"/>
      <c r="BH257" s="125"/>
    </row>
    <row r="258" spans="1:60" s="124" customFormat="1" ht="116.25">
      <c r="A258" s="232" t="s">
        <v>447</v>
      </c>
      <c r="B258" s="231">
        <v>2570</v>
      </c>
      <c r="C258" s="100" t="s">
        <v>538</v>
      </c>
      <c r="D258" s="100"/>
      <c r="E258" s="100" t="s">
        <v>667</v>
      </c>
      <c r="F258" s="100" t="s">
        <v>666</v>
      </c>
      <c r="G258" s="100" t="s">
        <v>843</v>
      </c>
      <c r="H258" s="100" t="s">
        <v>39</v>
      </c>
      <c r="I258" s="100"/>
      <c r="J258" s="100" t="s">
        <v>34</v>
      </c>
      <c r="K258" s="96" t="s">
        <v>13</v>
      </c>
      <c r="L258" s="99">
        <f t="shared" si="6"/>
        <v>18500</v>
      </c>
      <c r="M258" s="98">
        <f t="shared" si="7"/>
        <v>1</v>
      </c>
      <c r="N258" s="96" t="s">
        <v>561</v>
      </c>
      <c r="O258" s="97" t="s">
        <v>472</v>
      </c>
      <c r="P258" s="96"/>
      <c r="Q258" s="96">
        <v>1</v>
      </c>
      <c r="R258" s="96"/>
      <c r="S258" s="96" t="s">
        <v>842</v>
      </c>
      <c r="T258" s="95">
        <v>18500</v>
      </c>
      <c r="U258" s="94" t="s">
        <v>841</v>
      </c>
      <c r="V258" s="217"/>
      <c r="W258" s="217"/>
      <c r="X258" s="125"/>
      <c r="Y258" s="125"/>
      <c r="Z258" s="125"/>
      <c r="AA258" s="125"/>
      <c r="AB258" s="125"/>
      <c r="AC258" s="125"/>
      <c r="AD258" s="125"/>
      <c r="AE258" s="125"/>
      <c r="AF258" s="125"/>
      <c r="AG258" s="125"/>
      <c r="AH258" s="125"/>
      <c r="AI258" s="125"/>
      <c r="AJ258" s="125"/>
      <c r="AK258" s="125"/>
      <c r="AL258" s="125"/>
      <c r="AM258" s="125"/>
      <c r="AN258" s="125"/>
      <c r="AO258" s="125"/>
      <c r="AP258" s="125"/>
      <c r="AQ258" s="125"/>
      <c r="AR258" s="125"/>
      <c r="AS258" s="125"/>
      <c r="AT258" s="125"/>
      <c r="AU258" s="125"/>
      <c r="AV258" s="125"/>
      <c r="AW258" s="125"/>
      <c r="AX258" s="125"/>
      <c r="AY258" s="125"/>
      <c r="AZ258" s="125"/>
      <c r="BA258" s="125"/>
      <c r="BB258" s="125"/>
      <c r="BC258" s="125"/>
      <c r="BD258" s="125"/>
      <c r="BE258" s="125"/>
      <c r="BF258" s="125"/>
      <c r="BG258" s="125"/>
      <c r="BH258" s="125"/>
    </row>
    <row r="259" spans="1:60" s="124" customFormat="1" ht="116.25">
      <c r="A259" s="232" t="s">
        <v>447</v>
      </c>
      <c r="B259" s="231">
        <v>2570</v>
      </c>
      <c r="C259" s="100" t="s">
        <v>538</v>
      </c>
      <c r="D259" s="100"/>
      <c r="E259" s="100" t="s">
        <v>667</v>
      </c>
      <c r="F259" s="100" t="s">
        <v>666</v>
      </c>
      <c r="G259" s="100" t="s">
        <v>838</v>
      </c>
      <c r="H259" s="100" t="s">
        <v>201</v>
      </c>
      <c r="I259" s="100"/>
      <c r="J259" s="100" t="s">
        <v>199</v>
      </c>
      <c r="K259" s="96" t="s">
        <v>63</v>
      </c>
      <c r="L259" s="99">
        <f t="shared" si="6"/>
        <v>23000</v>
      </c>
      <c r="M259" s="98">
        <f t="shared" si="7"/>
        <v>1</v>
      </c>
      <c r="N259" s="96" t="s">
        <v>561</v>
      </c>
      <c r="O259" s="97" t="s">
        <v>472</v>
      </c>
      <c r="P259" s="96"/>
      <c r="Q259" s="96">
        <v>1</v>
      </c>
      <c r="R259" s="96">
        <v>0</v>
      </c>
      <c r="S259" s="96" t="s">
        <v>840</v>
      </c>
      <c r="T259" s="95">
        <v>23000</v>
      </c>
      <c r="U259" s="94" t="s">
        <v>839</v>
      </c>
      <c r="V259" s="217"/>
      <c r="W259" s="217"/>
      <c r="X259" s="125"/>
      <c r="Y259" s="125"/>
      <c r="Z259" s="125"/>
      <c r="AA259" s="125"/>
      <c r="AB259" s="125"/>
      <c r="AC259" s="125"/>
      <c r="AD259" s="125"/>
      <c r="AE259" s="125"/>
      <c r="AF259" s="125"/>
      <c r="AG259" s="125"/>
      <c r="AH259" s="125"/>
      <c r="AI259" s="125"/>
      <c r="AJ259" s="125"/>
      <c r="AK259" s="125"/>
      <c r="AL259" s="125"/>
      <c r="AM259" s="125"/>
      <c r="AN259" s="125"/>
      <c r="AO259" s="125"/>
      <c r="AP259" s="125"/>
      <c r="AQ259" s="125"/>
      <c r="AR259" s="125"/>
      <c r="AS259" s="125"/>
      <c r="AT259" s="125"/>
      <c r="AU259" s="125"/>
      <c r="AV259" s="125"/>
      <c r="AW259" s="125"/>
      <c r="AX259" s="125"/>
      <c r="AY259" s="125"/>
      <c r="AZ259" s="125"/>
      <c r="BA259" s="125"/>
      <c r="BB259" s="125"/>
      <c r="BC259" s="125"/>
      <c r="BD259" s="125"/>
      <c r="BE259" s="125"/>
      <c r="BF259" s="125"/>
      <c r="BG259" s="125"/>
      <c r="BH259" s="125"/>
    </row>
    <row r="260" spans="1:60" s="124" customFormat="1" ht="116.25">
      <c r="A260" s="232" t="s">
        <v>447</v>
      </c>
      <c r="B260" s="231">
        <v>2570</v>
      </c>
      <c r="C260" s="100" t="s">
        <v>538</v>
      </c>
      <c r="D260" s="100"/>
      <c r="E260" s="100" t="s">
        <v>667</v>
      </c>
      <c r="F260" s="100" t="s">
        <v>666</v>
      </c>
      <c r="G260" s="100" t="s">
        <v>838</v>
      </c>
      <c r="H260" s="100" t="s">
        <v>204</v>
      </c>
      <c r="I260" s="100"/>
      <c r="J260" s="100" t="s">
        <v>202</v>
      </c>
      <c r="K260" s="96" t="s">
        <v>63</v>
      </c>
      <c r="L260" s="99">
        <f t="shared" si="6"/>
        <v>23000</v>
      </c>
      <c r="M260" s="98">
        <f t="shared" si="7"/>
        <v>1</v>
      </c>
      <c r="N260" s="96" t="s">
        <v>561</v>
      </c>
      <c r="O260" s="97" t="s">
        <v>472</v>
      </c>
      <c r="P260" s="108"/>
      <c r="Q260" s="96"/>
      <c r="R260" s="96">
        <v>1</v>
      </c>
      <c r="S260" s="96"/>
      <c r="T260" s="95">
        <v>23000</v>
      </c>
      <c r="U260" s="94" t="s">
        <v>834</v>
      </c>
      <c r="V260" s="217"/>
      <c r="W260" s="217"/>
      <c r="X260" s="125"/>
      <c r="Y260" s="125"/>
      <c r="Z260" s="125"/>
      <c r="AA260" s="125"/>
      <c r="AB260" s="125"/>
      <c r="AC260" s="125"/>
      <c r="AD260" s="125"/>
      <c r="AE260" s="125"/>
      <c r="AF260" s="125"/>
      <c r="AG260" s="125"/>
      <c r="AH260" s="125"/>
      <c r="AI260" s="125"/>
      <c r="AJ260" s="125"/>
      <c r="AK260" s="125"/>
      <c r="AL260" s="125"/>
      <c r="AM260" s="125"/>
      <c r="AN260" s="125"/>
      <c r="AO260" s="125"/>
      <c r="AP260" s="125"/>
      <c r="AQ260" s="125"/>
      <c r="AR260" s="125"/>
      <c r="AS260" s="125"/>
      <c r="AT260" s="125"/>
      <c r="AU260" s="125"/>
      <c r="AV260" s="125"/>
      <c r="AW260" s="125"/>
      <c r="AX260" s="125"/>
      <c r="AY260" s="125"/>
      <c r="AZ260" s="125"/>
      <c r="BA260" s="125"/>
      <c r="BB260" s="125"/>
      <c r="BC260" s="125"/>
      <c r="BD260" s="125"/>
      <c r="BE260" s="125"/>
      <c r="BF260" s="125"/>
      <c r="BG260" s="125"/>
      <c r="BH260" s="125"/>
    </row>
    <row r="261" spans="1:60" s="124" customFormat="1" ht="116.25">
      <c r="A261" s="232" t="s">
        <v>447</v>
      </c>
      <c r="B261" s="231">
        <v>2570</v>
      </c>
      <c r="C261" s="100" t="s">
        <v>538</v>
      </c>
      <c r="D261" s="100"/>
      <c r="E261" s="100" t="s">
        <v>667</v>
      </c>
      <c r="F261" s="100" t="s">
        <v>666</v>
      </c>
      <c r="G261" s="100" t="s">
        <v>838</v>
      </c>
      <c r="H261" s="100" t="s">
        <v>124</v>
      </c>
      <c r="I261" s="100"/>
      <c r="J261" s="100" t="s">
        <v>122</v>
      </c>
      <c r="K261" s="96" t="s">
        <v>63</v>
      </c>
      <c r="L261" s="99">
        <f t="shared" si="6"/>
        <v>23000</v>
      </c>
      <c r="M261" s="98">
        <f t="shared" si="7"/>
        <v>1</v>
      </c>
      <c r="N261" s="96" t="s">
        <v>561</v>
      </c>
      <c r="O261" s="97" t="s">
        <v>472</v>
      </c>
      <c r="P261" s="96"/>
      <c r="Q261" s="96">
        <v>1</v>
      </c>
      <c r="R261" s="96"/>
      <c r="S261" s="134"/>
      <c r="T261" s="95">
        <v>23000</v>
      </c>
      <c r="U261" s="94" t="s">
        <v>834</v>
      </c>
      <c r="V261" s="217"/>
      <c r="W261" s="217"/>
      <c r="X261" s="125"/>
      <c r="Y261" s="125"/>
      <c r="Z261" s="125"/>
      <c r="AA261" s="125"/>
      <c r="AB261" s="125"/>
      <c r="AC261" s="125"/>
      <c r="AD261" s="125"/>
      <c r="AE261" s="125"/>
      <c r="AF261" s="125"/>
      <c r="AG261" s="125"/>
      <c r="AH261" s="125"/>
      <c r="AI261" s="125"/>
      <c r="AJ261" s="125"/>
      <c r="AK261" s="125"/>
      <c r="AL261" s="125"/>
      <c r="AM261" s="125"/>
      <c r="AN261" s="125"/>
      <c r="AO261" s="125"/>
      <c r="AP261" s="125"/>
      <c r="AQ261" s="125"/>
      <c r="AR261" s="125"/>
      <c r="AS261" s="125"/>
      <c r="AT261" s="125"/>
      <c r="AU261" s="125"/>
      <c r="AV261" s="125"/>
      <c r="AW261" s="125"/>
      <c r="AX261" s="125"/>
      <c r="AY261" s="125"/>
      <c r="AZ261" s="125"/>
      <c r="BA261" s="125"/>
      <c r="BB261" s="125"/>
      <c r="BC261" s="125"/>
      <c r="BD261" s="125"/>
      <c r="BE261" s="125"/>
      <c r="BF261" s="125"/>
      <c r="BG261" s="125"/>
      <c r="BH261" s="125"/>
    </row>
    <row r="262" spans="1:60" s="124" customFormat="1" ht="116.25">
      <c r="A262" s="232" t="s">
        <v>447</v>
      </c>
      <c r="B262" s="231">
        <v>2570</v>
      </c>
      <c r="C262" s="100" t="s">
        <v>538</v>
      </c>
      <c r="D262" s="100"/>
      <c r="E262" s="100" t="s">
        <v>667</v>
      </c>
      <c r="F262" s="100" t="s">
        <v>666</v>
      </c>
      <c r="G262" s="100" t="s">
        <v>838</v>
      </c>
      <c r="H262" s="100" t="s">
        <v>433</v>
      </c>
      <c r="I262" s="100"/>
      <c r="J262" s="100" t="s">
        <v>428</v>
      </c>
      <c r="K262" s="96" t="s">
        <v>63</v>
      </c>
      <c r="L262" s="99">
        <f t="shared" si="6"/>
        <v>23000</v>
      </c>
      <c r="M262" s="98">
        <f t="shared" si="7"/>
        <v>1</v>
      </c>
      <c r="N262" s="96" t="s">
        <v>561</v>
      </c>
      <c r="O262" s="97" t="s">
        <v>472</v>
      </c>
      <c r="P262" s="96"/>
      <c r="Q262" s="96"/>
      <c r="R262" s="96">
        <v>1</v>
      </c>
      <c r="S262" s="96"/>
      <c r="T262" s="95">
        <v>23000</v>
      </c>
      <c r="U262" s="94" t="s">
        <v>837</v>
      </c>
      <c r="V262" s="217"/>
      <c r="W262" s="217"/>
      <c r="X262" s="125"/>
      <c r="Y262" s="125"/>
      <c r="Z262" s="125"/>
      <c r="AA262" s="125"/>
      <c r="AB262" s="125"/>
      <c r="AC262" s="125"/>
      <c r="AD262" s="125"/>
      <c r="AE262" s="125"/>
      <c r="AF262" s="125"/>
      <c r="AG262" s="125"/>
      <c r="AH262" s="125"/>
      <c r="AI262" s="125"/>
      <c r="AJ262" s="125"/>
      <c r="AK262" s="125"/>
      <c r="AL262" s="125"/>
      <c r="AM262" s="125"/>
      <c r="AN262" s="125"/>
      <c r="AO262" s="125"/>
      <c r="AP262" s="125"/>
      <c r="AQ262" s="125"/>
      <c r="AR262" s="125"/>
      <c r="AS262" s="125"/>
      <c r="AT262" s="125"/>
      <c r="AU262" s="125"/>
      <c r="AV262" s="125"/>
      <c r="AW262" s="125"/>
      <c r="AX262" s="125"/>
      <c r="AY262" s="125"/>
      <c r="AZ262" s="125"/>
      <c r="BA262" s="125"/>
      <c r="BB262" s="125"/>
      <c r="BC262" s="125"/>
      <c r="BD262" s="125"/>
      <c r="BE262" s="125"/>
      <c r="BF262" s="125"/>
      <c r="BG262" s="125"/>
      <c r="BH262" s="125"/>
    </row>
    <row r="263" spans="1:60" s="124" customFormat="1" ht="116.25">
      <c r="A263" s="232" t="s">
        <v>447</v>
      </c>
      <c r="B263" s="231">
        <v>2570</v>
      </c>
      <c r="C263" s="100" t="s">
        <v>538</v>
      </c>
      <c r="D263" s="100"/>
      <c r="E263" s="100" t="s">
        <v>667</v>
      </c>
      <c r="F263" s="100" t="s">
        <v>666</v>
      </c>
      <c r="G263" s="100" t="s">
        <v>830</v>
      </c>
      <c r="H263" s="100" t="s">
        <v>461</v>
      </c>
      <c r="I263" s="100"/>
      <c r="J263" s="100" t="s">
        <v>439</v>
      </c>
      <c r="K263" s="96" t="s">
        <v>63</v>
      </c>
      <c r="L263" s="99">
        <f t="shared" si="6"/>
        <v>4390</v>
      </c>
      <c r="M263" s="98">
        <f t="shared" si="7"/>
        <v>1</v>
      </c>
      <c r="N263" s="96" t="s">
        <v>561</v>
      </c>
      <c r="O263" s="96"/>
      <c r="P263" s="97" t="s">
        <v>472</v>
      </c>
      <c r="Q263" s="145">
        <v>1</v>
      </c>
      <c r="R263" s="145"/>
      <c r="S263" s="96" t="s">
        <v>836</v>
      </c>
      <c r="T263" s="95">
        <v>4390</v>
      </c>
      <c r="U263" s="94" t="s">
        <v>835</v>
      </c>
      <c r="V263" s="217"/>
      <c r="W263" s="217"/>
      <c r="X263" s="125"/>
      <c r="Y263" s="125"/>
      <c r="Z263" s="125"/>
      <c r="AA263" s="125"/>
      <c r="AB263" s="125"/>
      <c r="AC263" s="125"/>
      <c r="AD263" s="125"/>
      <c r="AE263" s="125"/>
      <c r="AF263" s="125"/>
      <c r="AG263" s="125"/>
      <c r="AH263" s="125"/>
      <c r="AI263" s="125"/>
      <c r="AJ263" s="125"/>
      <c r="AK263" s="125"/>
      <c r="AL263" s="125"/>
      <c r="AM263" s="125"/>
      <c r="AN263" s="125"/>
      <c r="AO263" s="125"/>
      <c r="AP263" s="125"/>
      <c r="AQ263" s="125"/>
      <c r="AR263" s="125"/>
      <c r="AS263" s="125"/>
      <c r="AT263" s="125"/>
      <c r="AU263" s="125"/>
      <c r="AV263" s="125"/>
      <c r="AW263" s="125"/>
      <c r="AX263" s="125"/>
      <c r="AY263" s="125"/>
      <c r="AZ263" s="125"/>
      <c r="BA263" s="125"/>
      <c r="BB263" s="125"/>
      <c r="BC263" s="125"/>
      <c r="BD263" s="125"/>
      <c r="BE263" s="125"/>
      <c r="BF263" s="125"/>
      <c r="BG263" s="125"/>
      <c r="BH263" s="125"/>
    </row>
    <row r="264" spans="1:60" s="124" customFormat="1" ht="116.25">
      <c r="A264" s="232" t="s">
        <v>447</v>
      </c>
      <c r="B264" s="231">
        <v>2570</v>
      </c>
      <c r="C264" s="100" t="s">
        <v>538</v>
      </c>
      <c r="D264" s="100"/>
      <c r="E264" s="100" t="s">
        <v>667</v>
      </c>
      <c r="F264" s="100" t="s">
        <v>666</v>
      </c>
      <c r="G264" s="100" t="s">
        <v>830</v>
      </c>
      <c r="H264" s="100" t="s">
        <v>29</v>
      </c>
      <c r="I264" s="100"/>
      <c r="J264" s="100" t="s">
        <v>27</v>
      </c>
      <c r="K264" s="96" t="s">
        <v>13</v>
      </c>
      <c r="L264" s="99">
        <f t="shared" si="6"/>
        <v>4390</v>
      </c>
      <c r="M264" s="98">
        <f t="shared" si="7"/>
        <v>1</v>
      </c>
      <c r="N264" s="96" t="s">
        <v>561</v>
      </c>
      <c r="O264" s="146"/>
      <c r="P264" s="97" t="s">
        <v>472</v>
      </c>
      <c r="Q264" s="145"/>
      <c r="R264" s="145">
        <v>1</v>
      </c>
      <c r="S264" s="96"/>
      <c r="T264" s="95">
        <v>4390</v>
      </c>
      <c r="U264" s="94" t="s">
        <v>828</v>
      </c>
      <c r="V264" s="217"/>
      <c r="W264" s="217"/>
      <c r="X264" s="125"/>
      <c r="Y264" s="125"/>
      <c r="Z264" s="125"/>
      <c r="AA264" s="125"/>
      <c r="AB264" s="125"/>
      <c r="AC264" s="125"/>
      <c r="AD264" s="125"/>
      <c r="AE264" s="125"/>
      <c r="AF264" s="125"/>
      <c r="AG264" s="125"/>
      <c r="AH264" s="125"/>
      <c r="AI264" s="125"/>
      <c r="AJ264" s="125"/>
      <c r="AK264" s="125"/>
      <c r="AL264" s="125"/>
      <c r="AM264" s="125"/>
      <c r="AN264" s="125"/>
      <c r="AO264" s="125"/>
      <c r="AP264" s="125"/>
      <c r="AQ264" s="125"/>
      <c r="AR264" s="125"/>
      <c r="AS264" s="125"/>
      <c r="AT264" s="125"/>
      <c r="AU264" s="125"/>
      <c r="AV264" s="125"/>
      <c r="AW264" s="125"/>
      <c r="AX264" s="125"/>
      <c r="AY264" s="125"/>
      <c r="AZ264" s="125"/>
      <c r="BA264" s="125"/>
      <c r="BB264" s="125"/>
      <c r="BC264" s="125"/>
      <c r="BD264" s="125"/>
      <c r="BE264" s="125"/>
      <c r="BF264" s="125"/>
      <c r="BG264" s="125"/>
      <c r="BH264" s="125"/>
    </row>
    <row r="265" spans="1:60" s="124" customFormat="1" ht="116.25">
      <c r="A265" s="232" t="s">
        <v>447</v>
      </c>
      <c r="B265" s="231">
        <v>2570</v>
      </c>
      <c r="C265" s="100" t="s">
        <v>538</v>
      </c>
      <c r="D265" s="100"/>
      <c r="E265" s="100" t="s">
        <v>667</v>
      </c>
      <c r="F265" s="100" t="s">
        <v>666</v>
      </c>
      <c r="G265" s="100" t="s">
        <v>830</v>
      </c>
      <c r="H265" s="100" t="s">
        <v>50</v>
      </c>
      <c r="I265" s="100"/>
      <c r="J265" s="100" t="s">
        <v>46</v>
      </c>
      <c r="K265" s="96" t="s">
        <v>40</v>
      </c>
      <c r="L265" s="99">
        <f t="shared" si="6"/>
        <v>10600</v>
      </c>
      <c r="M265" s="98">
        <f t="shared" si="7"/>
        <v>1</v>
      </c>
      <c r="N265" s="96" t="s">
        <v>558</v>
      </c>
      <c r="O265" s="108" t="s">
        <v>472</v>
      </c>
      <c r="P265" s="96"/>
      <c r="Q265" s="145"/>
      <c r="R265" s="145">
        <v>1</v>
      </c>
      <c r="S265" s="96"/>
      <c r="T265" s="95">
        <v>10600</v>
      </c>
      <c r="U265" s="94" t="s">
        <v>834</v>
      </c>
      <c r="V265" s="217"/>
      <c r="W265" s="217"/>
      <c r="X265" s="125"/>
      <c r="Y265" s="125"/>
      <c r="Z265" s="125"/>
      <c r="AA265" s="125"/>
      <c r="AB265" s="125"/>
      <c r="AC265" s="125"/>
      <c r="AD265" s="125"/>
      <c r="AE265" s="125"/>
      <c r="AF265" s="125"/>
      <c r="AG265" s="125"/>
      <c r="AH265" s="125"/>
      <c r="AI265" s="125"/>
      <c r="AJ265" s="125"/>
      <c r="AK265" s="125"/>
      <c r="AL265" s="125"/>
      <c r="AM265" s="125"/>
      <c r="AN265" s="125"/>
      <c r="AO265" s="125"/>
      <c r="AP265" s="125"/>
      <c r="AQ265" s="125"/>
      <c r="AR265" s="125"/>
      <c r="AS265" s="125"/>
      <c r="AT265" s="125"/>
      <c r="AU265" s="125"/>
      <c r="AV265" s="125"/>
      <c r="AW265" s="125"/>
      <c r="AX265" s="125"/>
      <c r="AY265" s="125"/>
      <c r="AZ265" s="125"/>
      <c r="BA265" s="125"/>
      <c r="BB265" s="125"/>
      <c r="BC265" s="125"/>
      <c r="BD265" s="125"/>
      <c r="BE265" s="125"/>
      <c r="BF265" s="125"/>
      <c r="BG265" s="125"/>
      <c r="BH265" s="125"/>
    </row>
    <row r="266" spans="1:60" s="124" customFormat="1" ht="116.25">
      <c r="A266" s="232" t="s">
        <v>447</v>
      </c>
      <c r="B266" s="231">
        <v>2570</v>
      </c>
      <c r="C266" s="100" t="s">
        <v>538</v>
      </c>
      <c r="D266" s="100"/>
      <c r="E266" s="100" t="s">
        <v>667</v>
      </c>
      <c r="F266" s="100" t="s">
        <v>666</v>
      </c>
      <c r="G266" s="100" t="s">
        <v>830</v>
      </c>
      <c r="H266" s="100" t="s">
        <v>265</v>
      </c>
      <c r="I266" s="100"/>
      <c r="J266" s="100" t="s">
        <v>263</v>
      </c>
      <c r="K266" s="96" t="s">
        <v>63</v>
      </c>
      <c r="L266" s="99">
        <f t="shared" si="6"/>
        <v>5500</v>
      </c>
      <c r="M266" s="98">
        <f t="shared" si="7"/>
        <v>1</v>
      </c>
      <c r="N266" s="96" t="s">
        <v>833</v>
      </c>
      <c r="O266" s="96"/>
      <c r="P266" s="97" t="s">
        <v>472</v>
      </c>
      <c r="Q266" s="145">
        <v>1</v>
      </c>
      <c r="R266" s="145"/>
      <c r="S266" s="96" t="s">
        <v>832</v>
      </c>
      <c r="T266" s="95">
        <v>5500</v>
      </c>
      <c r="U266" s="94" t="s">
        <v>831</v>
      </c>
      <c r="V266" s="217"/>
      <c r="W266" s="217"/>
      <c r="X266" s="125"/>
      <c r="Y266" s="125"/>
      <c r="Z266" s="125"/>
      <c r="AA266" s="125"/>
      <c r="AB266" s="125"/>
      <c r="AC266" s="125"/>
      <c r="AD266" s="125"/>
      <c r="AE266" s="125"/>
      <c r="AF266" s="125"/>
      <c r="AG266" s="125"/>
      <c r="AH266" s="125"/>
      <c r="AI266" s="125"/>
      <c r="AJ266" s="125"/>
      <c r="AK266" s="125"/>
      <c r="AL266" s="125"/>
      <c r="AM266" s="125"/>
      <c r="AN266" s="125"/>
      <c r="AO266" s="125"/>
      <c r="AP266" s="125"/>
      <c r="AQ266" s="125"/>
      <c r="AR266" s="125"/>
      <c r="AS266" s="125"/>
      <c r="AT266" s="125"/>
      <c r="AU266" s="125"/>
      <c r="AV266" s="125"/>
      <c r="AW266" s="125"/>
      <c r="AX266" s="125"/>
      <c r="AY266" s="125"/>
      <c r="AZ266" s="125"/>
      <c r="BA266" s="125"/>
      <c r="BB266" s="125"/>
      <c r="BC266" s="125"/>
      <c r="BD266" s="125"/>
      <c r="BE266" s="125"/>
      <c r="BF266" s="125"/>
      <c r="BG266" s="125"/>
      <c r="BH266" s="125"/>
    </row>
    <row r="267" spans="1:60" s="124" customFormat="1" ht="116.25">
      <c r="A267" s="232" t="s">
        <v>447</v>
      </c>
      <c r="B267" s="231">
        <v>2570</v>
      </c>
      <c r="C267" s="100" t="s">
        <v>538</v>
      </c>
      <c r="D267" s="100"/>
      <c r="E267" s="100" t="s">
        <v>667</v>
      </c>
      <c r="F267" s="100" t="s">
        <v>666</v>
      </c>
      <c r="G267" s="100" t="s">
        <v>830</v>
      </c>
      <c r="H267" s="100" t="s">
        <v>24</v>
      </c>
      <c r="I267" s="100"/>
      <c r="J267" s="100" t="s">
        <v>22</v>
      </c>
      <c r="K267" s="96" t="s">
        <v>13</v>
      </c>
      <c r="L267" s="99">
        <f t="shared" si="6"/>
        <v>23000</v>
      </c>
      <c r="M267" s="98">
        <f t="shared" si="7"/>
        <v>1</v>
      </c>
      <c r="N267" s="98" t="s">
        <v>558</v>
      </c>
      <c r="O267" s="108" t="s">
        <v>472</v>
      </c>
      <c r="P267" s="98"/>
      <c r="Q267" s="145">
        <v>1</v>
      </c>
      <c r="R267" s="145"/>
      <c r="S267" s="98" t="s">
        <v>829</v>
      </c>
      <c r="T267" s="95">
        <v>23000</v>
      </c>
      <c r="U267" s="109" t="s">
        <v>828</v>
      </c>
      <c r="V267" s="217"/>
      <c r="W267" s="217"/>
      <c r="X267" s="125"/>
      <c r="Y267" s="125"/>
      <c r="Z267" s="125"/>
      <c r="AA267" s="125"/>
      <c r="AB267" s="125"/>
      <c r="AC267" s="125"/>
      <c r="AD267" s="125"/>
      <c r="AE267" s="125"/>
      <c r="AF267" s="125"/>
      <c r="AG267" s="125"/>
      <c r="AH267" s="125"/>
      <c r="AI267" s="125"/>
      <c r="AJ267" s="125"/>
      <c r="AK267" s="125"/>
      <c r="AL267" s="125"/>
      <c r="AM267" s="125"/>
      <c r="AN267" s="125"/>
      <c r="AO267" s="125"/>
      <c r="AP267" s="125"/>
      <c r="AQ267" s="125"/>
      <c r="AR267" s="125"/>
      <c r="AS267" s="125"/>
      <c r="AT267" s="125"/>
      <c r="AU267" s="125"/>
      <c r="AV267" s="125"/>
      <c r="AW267" s="125"/>
      <c r="AX267" s="125"/>
      <c r="AY267" s="125"/>
      <c r="AZ267" s="125"/>
      <c r="BA267" s="125"/>
      <c r="BB267" s="125"/>
      <c r="BC267" s="125"/>
      <c r="BD267" s="125"/>
      <c r="BE267" s="125"/>
      <c r="BF267" s="125"/>
      <c r="BG267" s="125"/>
      <c r="BH267" s="125"/>
    </row>
    <row r="268" spans="1:60" s="124" customFormat="1" ht="116.25">
      <c r="A268" s="232" t="s">
        <v>447</v>
      </c>
      <c r="B268" s="231">
        <v>2570</v>
      </c>
      <c r="C268" s="100" t="s">
        <v>538</v>
      </c>
      <c r="D268" s="100"/>
      <c r="E268" s="100" t="s">
        <v>667</v>
      </c>
      <c r="F268" s="100" t="s">
        <v>666</v>
      </c>
      <c r="G268" s="100" t="s">
        <v>827</v>
      </c>
      <c r="H268" s="100" t="s">
        <v>270</v>
      </c>
      <c r="I268" s="100"/>
      <c r="J268" s="100" t="s">
        <v>172</v>
      </c>
      <c r="K268" s="96" t="s">
        <v>149</v>
      </c>
      <c r="L268" s="99">
        <f t="shared" si="6"/>
        <v>13600</v>
      </c>
      <c r="M268" s="98">
        <f t="shared" si="7"/>
        <v>1</v>
      </c>
      <c r="N268" s="98" t="s">
        <v>558</v>
      </c>
      <c r="O268" s="98"/>
      <c r="P268" s="97" t="s">
        <v>472</v>
      </c>
      <c r="Q268" s="98"/>
      <c r="R268" s="98">
        <v>1</v>
      </c>
      <c r="S268" s="98"/>
      <c r="T268" s="95">
        <v>13600</v>
      </c>
      <c r="U268" s="131" t="s">
        <v>826</v>
      </c>
      <c r="V268" s="217"/>
      <c r="W268" s="217"/>
      <c r="X268" s="125"/>
      <c r="Y268" s="125"/>
      <c r="Z268" s="125"/>
      <c r="AA268" s="125"/>
      <c r="AB268" s="125"/>
      <c r="AC268" s="125"/>
      <c r="AD268" s="125"/>
      <c r="AE268" s="125"/>
      <c r="AF268" s="125"/>
      <c r="AG268" s="125"/>
      <c r="AH268" s="125"/>
      <c r="AI268" s="125"/>
      <c r="AJ268" s="125"/>
      <c r="AK268" s="125"/>
      <c r="AL268" s="125"/>
      <c r="AM268" s="125"/>
      <c r="AN268" s="125"/>
      <c r="AO268" s="125"/>
      <c r="AP268" s="125"/>
      <c r="AQ268" s="125"/>
      <c r="AR268" s="125"/>
      <c r="AS268" s="125"/>
      <c r="AT268" s="125"/>
      <c r="AU268" s="125"/>
      <c r="AV268" s="125"/>
      <c r="AW268" s="125"/>
      <c r="AX268" s="125"/>
      <c r="AY268" s="125"/>
      <c r="AZ268" s="125"/>
      <c r="BA268" s="125"/>
      <c r="BB268" s="125"/>
      <c r="BC268" s="125"/>
      <c r="BD268" s="125"/>
      <c r="BE268" s="125"/>
      <c r="BF268" s="125"/>
      <c r="BG268" s="125"/>
      <c r="BH268" s="125"/>
    </row>
    <row r="269" spans="1:60" s="124" customFormat="1" ht="116.25">
      <c r="A269" s="232" t="s">
        <v>447</v>
      </c>
      <c r="B269" s="231">
        <v>2570</v>
      </c>
      <c r="C269" s="100" t="s">
        <v>538</v>
      </c>
      <c r="D269" s="100"/>
      <c r="E269" s="100" t="s">
        <v>667</v>
      </c>
      <c r="F269" s="100" t="s">
        <v>666</v>
      </c>
      <c r="G269" s="100" t="s">
        <v>545</v>
      </c>
      <c r="H269" s="100" t="s">
        <v>322</v>
      </c>
      <c r="I269" s="100"/>
      <c r="J269" s="100" t="s">
        <v>320</v>
      </c>
      <c r="K269" s="96" t="s">
        <v>40</v>
      </c>
      <c r="L269" s="99">
        <f t="shared" si="6"/>
        <v>9500</v>
      </c>
      <c r="M269" s="98">
        <f t="shared" si="7"/>
        <v>1</v>
      </c>
      <c r="N269" s="98" t="s">
        <v>558</v>
      </c>
      <c r="O269" s="144"/>
      <c r="P269" s="97" t="s">
        <v>472</v>
      </c>
      <c r="Q269" s="98"/>
      <c r="R269" s="98">
        <v>1</v>
      </c>
      <c r="S269" s="98"/>
      <c r="T269" s="95">
        <v>9500</v>
      </c>
      <c r="U269" s="131" t="s">
        <v>825</v>
      </c>
      <c r="V269" s="217"/>
      <c r="W269" s="217"/>
      <c r="X269" s="125"/>
      <c r="Y269" s="125"/>
      <c r="Z269" s="125"/>
      <c r="AA269" s="125"/>
      <c r="AB269" s="125"/>
      <c r="AC269" s="125"/>
      <c r="AD269" s="125"/>
      <c r="AE269" s="125"/>
      <c r="AF269" s="125"/>
      <c r="AG269" s="125"/>
      <c r="AH269" s="125"/>
      <c r="AI269" s="125"/>
      <c r="AJ269" s="125"/>
      <c r="AK269" s="125"/>
      <c r="AL269" s="125"/>
      <c r="AM269" s="125"/>
      <c r="AN269" s="125"/>
      <c r="AO269" s="125"/>
      <c r="AP269" s="125"/>
      <c r="AQ269" s="125"/>
      <c r="AR269" s="125"/>
      <c r="AS269" s="125"/>
      <c r="AT269" s="125"/>
      <c r="AU269" s="125"/>
      <c r="AV269" s="125"/>
      <c r="AW269" s="125"/>
      <c r="AX269" s="125"/>
      <c r="AY269" s="125"/>
      <c r="AZ269" s="125"/>
      <c r="BA269" s="125"/>
      <c r="BB269" s="125"/>
      <c r="BC269" s="125"/>
      <c r="BD269" s="125"/>
      <c r="BE269" s="125"/>
      <c r="BF269" s="125"/>
      <c r="BG269" s="125"/>
      <c r="BH269" s="125"/>
    </row>
    <row r="270" spans="1:60" s="124" customFormat="1" ht="116.25">
      <c r="A270" s="232" t="s">
        <v>447</v>
      </c>
      <c r="B270" s="231">
        <v>2570</v>
      </c>
      <c r="C270" s="100" t="s">
        <v>538</v>
      </c>
      <c r="D270" s="100"/>
      <c r="E270" s="100" t="s">
        <v>667</v>
      </c>
      <c r="F270" s="100" t="s">
        <v>666</v>
      </c>
      <c r="G270" s="100" t="s">
        <v>824</v>
      </c>
      <c r="H270" s="100" t="s">
        <v>62</v>
      </c>
      <c r="I270" s="100"/>
      <c r="J270" s="100" t="s">
        <v>60</v>
      </c>
      <c r="K270" s="96" t="s">
        <v>40</v>
      </c>
      <c r="L270" s="99">
        <f t="shared" si="6"/>
        <v>10600</v>
      </c>
      <c r="M270" s="98">
        <f t="shared" si="7"/>
        <v>1</v>
      </c>
      <c r="N270" s="98" t="s">
        <v>558</v>
      </c>
      <c r="O270" s="144"/>
      <c r="P270" s="97" t="s">
        <v>472</v>
      </c>
      <c r="Q270" s="98"/>
      <c r="R270" s="98">
        <v>1</v>
      </c>
      <c r="S270" s="98"/>
      <c r="T270" s="95">
        <v>10600</v>
      </c>
      <c r="U270" s="131" t="s">
        <v>823</v>
      </c>
      <c r="V270" s="217"/>
      <c r="W270" s="217"/>
      <c r="X270" s="125"/>
      <c r="Y270" s="125"/>
      <c r="Z270" s="125"/>
      <c r="AA270" s="125"/>
      <c r="AB270" s="125"/>
      <c r="AC270" s="125"/>
      <c r="AD270" s="125"/>
      <c r="AE270" s="125"/>
      <c r="AF270" s="125"/>
      <c r="AG270" s="125"/>
      <c r="AH270" s="125"/>
      <c r="AI270" s="125"/>
      <c r="AJ270" s="125"/>
      <c r="AK270" s="125"/>
      <c r="AL270" s="125"/>
      <c r="AM270" s="125"/>
      <c r="AN270" s="125"/>
      <c r="AO270" s="125"/>
      <c r="AP270" s="125"/>
      <c r="AQ270" s="125"/>
      <c r="AR270" s="125"/>
      <c r="AS270" s="125"/>
      <c r="AT270" s="125"/>
      <c r="AU270" s="125"/>
      <c r="AV270" s="125"/>
      <c r="AW270" s="125"/>
      <c r="AX270" s="125"/>
      <c r="AY270" s="125"/>
      <c r="AZ270" s="125"/>
      <c r="BA270" s="125"/>
      <c r="BB270" s="125"/>
      <c r="BC270" s="125"/>
      <c r="BD270" s="125"/>
      <c r="BE270" s="125"/>
      <c r="BF270" s="125"/>
      <c r="BG270" s="125"/>
      <c r="BH270" s="125"/>
    </row>
    <row r="271" spans="1:60" s="124" customFormat="1" ht="116.25">
      <c r="A271" s="232" t="s">
        <v>447</v>
      </c>
      <c r="B271" s="231">
        <v>2570</v>
      </c>
      <c r="C271" s="100" t="s">
        <v>538</v>
      </c>
      <c r="D271" s="100"/>
      <c r="E271" s="100" t="s">
        <v>667</v>
      </c>
      <c r="F271" s="100" t="s">
        <v>666</v>
      </c>
      <c r="G271" s="100" t="s">
        <v>822</v>
      </c>
      <c r="H271" s="100" t="s">
        <v>59</v>
      </c>
      <c r="I271" s="100"/>
      <c r="J271" s="100" t="s">
        <v>57</v>
      </c>
      <c r="K271" s="96" t="s">
        <v>40</v>
      </c>
      <c r="L271" s="99">
        <f t="shared" si="6"/>
        <v>7600</v>
      </c>
      <c r="M271" s="98">
        <f t="shared" si="7"/>
        <v>1</v>
      </c>
      <c r="N271" s="96" t="s">
        <v>821</v>
      </c>
      <c r="O271" s="97" t="s">
        <v>472</v>
      </c>
      <c r="P271" s="96"/>
      <c r="Q271" s="96"/>
      <c r="R271" s="96">
        <v>1</v>
      </c>
      <c r="S271" s="96"/>
      <c r="T271" s="95">
        <v>7600</v>
      </c>
      <c r="U271" s="94" t="s">
        <v>820</v>
      </c>
      <c r="V271" s="217"/>
      <c r="W271" s="217"/>
      <c r="X271" s="125"/>
      <c r="Y271" s="125"/>
      <c r="Z271" s="125"/>
      <c r="AA271" s="125"/>
      <c r="AB271" s="125"/>
      <c r="AC271" s="125"/>
      <c r="AD271" s="125"/>
      <c r="AE271" s="125"/>
      <c r="AF271" s="125"/>
      <c r="AG271" s="125"/>
      <c r="AH271" s="125"/>
      <c r="AI271" s="125"/>
      <c r="AJ271" s="125"/>
      <c r="AK271" s="125"/>
      <c r="AL271" s="125"/>
      <c r="AM271" s="125"/>
      <c r="AN271" s="125"/>
      <c r="AO271" s="125"/>
      <c r="AP271" s="125"/>
      <c r="AQ271" s="125"/>
      <c r="AR271" s="125"/>
      <c r="AS271" s="125"/>
      <c r="AT271" s="125"/>
      <c r="AU271" s="125"/>
      <c r="AV271" s="125"/>
      <c r="AW271" s="125"/>
      <c r="AX271" s="125"/>
      <c r="AY271" s="125"/>
      <c r="AZ271" s="125"/>
      <c r="BA271" s="125"/>
      <c r="BB271" s="125"/>
      <c r="BC271" s="125"/>
      <c r="BD271" s="125"/>
      <c r="BE271" s="125"/>
      <c r="BF271" s="125"/>
      <c r="BG271" s="125"/>
      <c r="BH271" s="125"/>
    </row>
    <row r="272" spans="1:60" s="124" customFormat="1" ht="116.25">
      <c r="A272" s="232" t="s">
        <v>447</v>
      </c>
      <c r="B272" s="231">
        <v>2570</v>
      </c>
      <c r="C272" s="100" t="s">
        <v>538</v>
      </c>
      <c r="D272" s="100"/>
      <c r="E272" s="100" t="s">
        <v>667</v>
      </c>
      <c r="F272" s="100" t="s">
        <v>666</v>
      </c>
      <c r="G272" s="100" t="s">
        <v>819</v>
      </c>
      <c r="H272" s="100" t="s">
        <v>450</v>
      </c>
      <c r="I272" s="100"/>
      <c r="J272" s="100" t="s">
        <v>445</v>
      </c>
      <c r="K272" s="96" t="s">
        <v>13</v>
      </c>
      <c r="L272" s="99">
        <f t="shared" si="6"/>
        <v>28000</v>
      </c>
      <c r="M272" s="98">
        <f t="shared" si="7"/>
        <v>1</v>
      </c>
      <c r="N272" s="96" t="s">
        <v>596</v>
      </c>
      <c r="O272" s="96"/>
      <c r="P272" s="97" t="s">
        <v>472</v>
      </c>
      <c r="Q272" s="96"/>
      <c r="R272" s="96">
        <v>1</v>
      </c>
      <c r="S272" s="96"/>
      <c r="T272" s="95">
        <v>28000</v>
      </c>
      <c r="U272" s="94" t="s">
        <v>818</v>
      </c>
      <c r="V272" s="217"/>
      <c r="W272" s="217"/>
      <c r="X272" s="125"/>
      <c r="Y272" s="125"/>
      <c r="Z272" s="125"/>
      <c r="AA272" s="125"/>
      <c r="AB272" s="125"/>
      <c r="AC272" s="125"/>
      <c r="AD272" s="125"/>
      <c r="AE272" s="125"/>
      <c r="AF272" s="125"/>
      <c r="AG272" s="125"/>
      <c r="AH272" s="125"/>
      <c r="AI272" s="125"/>
      <c r="AJ272" s="125"/>
      <c r="AK272" s="125"/>
      <c r="AL272" s="125"/>
      <c r="AM272" s="125"/>
      <c r="AN272" s="125"/>
      <c r="AO272" s="125"/>
      <c r="AP272" s="125"/>
      <c r="AQ272" s="125"/>
      <c r="AR272" s="125"/>
      <c r="AS272" s="125"/>
      <c r="AT272" s="125"/>
      <c r="AU272" s="125"/>
      <c r="AV272" s="125"/>
      <c r="AW272" s="125"/>
      <c r="AX272" s="125"/>
      <c r="AY272" s="125"/>
      <c r="AZ272" s="125"/>
      <c r="BA272" s="125"/>
      <c r="BB272" s="125"/>
      <c r="BC272" s="125"/>
      <c r="BD272" s="125"/>
      <c r="BE272" s="125"/>
      <c r="BF272" s="125"/>
      <c r="BG272" s="125"/>
      <c r="BH272" s="125"/>
    </row>
    <row r="273" spans="1:60" s="124" customFormat="1" ht="116.25">
      <c r="A273" s="232" t="s">
        <v>447</v>
      </c>
      <c r="B273" s="231">
        <v>2570</v>
      </c>
      <c r="C273" s="100" t="s">
        <v>488</v>
      </c>
      <c r="D273" s="100"/>
      <c r="E273" s="100" t="s">
        <v>667</v>
      </c>
      <c r="F273" s="100" t="s">
        <v>666</v>
      </c>
      <c r="G273" s="100" t="s">
        <v>811</v>
      </c>
      <c r="H273" s="100" t="s">
        <v>62</v>
      </c>
      <c r="I273" s="100"/>
      <c r="J273" s="100" t="s">
        <v>60</v>
      </c>
      <c r="K273" s="96" t="s">
        <v>40</v>
      </c>
      <c r="L273" s="99">
        <f t="shared" si="6"/>
        <v>45800</v>
      </c>
      <c r="M273" s="98">
        <f t="shared" si="7"/>
        <v>1</v>
      </c>
      <c r="N273" s="96" t="s">
        <v>596</v>
      </c>
      <c r="O273" s="96"/>
      <c r="P273" s="97" t="s">
        <v>472</v>
      </c>
      <c r="Q273" s="96">
        <v>1</v>
      </c>
      <c r="R273" s="96"/>
      <c r="S273" s="96" t="s">
        <v>817</v>
      </c>
      <c r="T273" s="95">
        <v>45800</v>
      </c>
      <c r="U273" s="94" t="s">
        <v>815</v>
      </c>
      <c r="V273" s="217"/>
      <c r="W273" s="217"/>
      <c r="X273" s="125"/>
      <c r="Y273" s="125"/>
      <c r="Z273" s="125"/>
      <c r="AA273" s="125"/>
      <c r="AB273" s="125"/>
      <c r="AC273" s="125"/>
      <c r="AD273" s="125"/>
      <c r="AE273" s="125"/>
      <c r="AF273" s="125"/>
      <c r="AG273" s="125"/>
      <c r="AH273" s="125"/>
      <c r="AI273" s="125"/>
      <c r="AJ273" s="125"/>
      <c r="AK273" s="125"/>
      <c r="AL273" s="125"/>
      <c r="AM273" s="125"/>
      <c r="AN273" s="125"/>
      <c r="AO273" s="125"/>
      <c r="AP273" s="125"/>
      <c r="AQ273" s="125"/>
      <c r="AR273" s="125"/>
      <c r="AS273" s="125"/>
      <c r="AT273" s="125"/>
      <c r="AU273" s="125"/>
      <c r="AV273" s="125"/>
      <c r="AW273" s="125"/>
      <c r="AX273" s="125"/>
      <c r="AY273" s="125"/>
      <c r="AZ273" s="125"/>
      <c r="BA273" s="125"/>
      <c r="BB273" s="125"/>
      <c r="BC273" s="125"/>
      <c r="BD273" s="125"/>
      <c r="BE273" s="125"/>
      <c r="BF273" s="125"/>
      <c r="BG273" s="125"/>
      <c r="BH273" s="125"/>
    </row>
    <row r="274" spans="1:60" s="124" customFormat="1" ht="116.25">
      <c r="A274" s="232" t="s">
        <v>447</v>
      </c>
      <c r="B274" s="231">
        <v>2570</v>
      </c>
      <c r="C274" s="100" t="s">
        <v>488</v>
      </c>
      <c r="D274" s="100"/>
      <c r="E274" s="100" t="s">
        <v>667</v>
      </c>
      <c r="F274" s="100" t="s">
        <v>666</v>
      </c>
      <c r="G274" s="100" t="s">
        <v>811</v>
      </c>
      <c r="H274" s="100" t="s">
        <v>216</v>
      </c>
      <c r="I274" s="100"/>
      <c r="J274" s="100" t="s">
        <v>214</v>
      </c>
      <c r="K274" s="96" t="s">
        <v>63</v>
      </c>
      <c r="L274" s="99">
        <f t="shared" si="6"/>
        <v>150900</v>
      </c>
      <c r="M274" s="98">
        <f t="shared" si="7"/>
        <v>1</v>
      </c>
      <c r="N274" s="96" t="s">
        <v>596</v>
      </c>
      <c r="O274" s="96"/>
      <c r="P274" s="97" t="s">
        <v>472</v>
      </c>
      <c r="Q274" s="98">
        <v>1</v>
      </c>
      <c r="R274" s="98"/>
      <c r="S274" s="96" t="s">
        <v>816</v>
      </c>
      <c r="T274" s="95">
        <v>150900</v>
      </c>
      <c r="U274" s="109" t="s">
        <v>815</v>
      </c>
      <c r="V274" s="217"/>
      <c r="W274" s="217"/>
      <c r="X274" s="125"/>
      <c r="Y274" s="125"/>
      <c r="Z274" s="125"/>
      <c r="AA274" s="125"/>
      <c r="AB274" s="125"/>
      <c r="AC274" s="125"/>
      <c r="AD274" s="125"/>
      <c r="AE274" s="125"/>
      <c r="AF274" s="125"/>
      <c r="AG274" s="125"/>
      <c r="AH274" s="125"/>
      <c r="AI274" s="125"/>
      <c r="AJ274" s="125"/>
      <c r="AK274" s="125"/>
      <c r="AL274" s="125"/>
      <c r="AM274" s="125"/>
      <c r="AN274" s="125"/>
      <c r="AO274" s="125"/>
      <c r="AP274" s="125"/>
      <c r="AQ274" s="125"/>
      <c r="AR274" s="125"/>
      <c r="AS274" s="125"/>
      <c r="AT274" s="125"/>
      <c r="AU274" s="125"/>
      <c r="AV274" s="125"/>
      <c r="AW274" s="125"/>
      <c r="AX274" s="125"/>
      <c r="AY274" s="125"/>
      <c r="AZ274" s="125"/>
      <c r="BA274" s="125"/>
      <c r="BB274" s="125"/>
      <c r="BC274" s="125"/>
      <c r="BD274" s="125"/>
      <c r="BE274" s="125"/>
      <c r="BF274" s="125"/>
      <c r="BG274" s="125"/>
      <c r="BH274" s="125"/>
    </row>
    <row r="275" spans="1:60" s="124" customFormat="1" ht="116.25">
      <c r="A275" s="232" t="s">
        <v>447</v>
      </c>
      <c r="B275" s="231">
        <v>2570</v>
      </c>
      <c r="C275" s="100" t="s">
        <v>488</v>
      </c>
      <c r="D275" s="100"/>
      <c r="E275" s="100" t="s">
        <v>667</v>
      </c>
      <c r="F275" s="100" t="s">
        <v>666</v>
      </c>
      <c r="G275" s="100" t="s">
        <v>811</v>
      </c>
      <c r="H275" s="100" t="s">
        <v>243</v>
      </c>
      <c r="I275" s="100"/>
      <c r="J275" s="100" t="s">
        <v>241</v>
      </c>
      <c r="K275" s="96" t="s">
        <v>40</v>
      </c>
      <c r="L275" s="99">
        <f t="shared" si="6"/>
        <v>120000</v>
      </c>
      <c r="M275" s="98">
        <f t="shared" si="7"/>
        <v>1</v>
      </c>
      <c r="N275" s="98" t="s">
        <v>596</v>
      </c>
      <c r="O275" s="98"/>
      <c r="P275" s="97" t="s">
        <v>472</v>
      </c>
      <c r="Q275" s="98"/>
      <c r="R275" s="98">
        <v>1</v>
      </c>
      <c r="S275" s="96"/>
      <c r="T275" s="95">
        <v>120000</v>
      </c>
      <c r="U275" s="131" t="s">
        <v>814</v>
      </c>
      <c r="V275" s="217"/>
      <c r="W275" s="217"/>
      <c r="X275" s="125"/>
      <c r="Y275" s="125"/>
      <c r="Z275" s="125"/>
      <c r="AA275" s="125"/>
      <c r="AB275" s="125"/>
      <c r="AC275" s="125"/>
      <c r="AD275" s="125"/>
      <c r="AE275" s="125"/>
      <c r="AF275" s="125"/>
      <c r="AG275" s="125"/>
      <c r="AH275" s="125"/>
      <c r="AI275" s="125"/>
      <c r="AJ275" s="125"/>
      <c r="AK275" s="125"/>
      <c r="AL275" s="125"/>
      <c r="AM275" s="125"/>
      <c r="AN275" s="125"/>
      <c r="AO275" s="125"/>
      <c r="AP275" s="125"/>
      <c r="AQ275" s="125"/>
      <c r="AR275" s="125"/>
      <c r="AS275" s="125"/>
      <c r="AT275" s="125"/>
      <c r="AU275" s="125"/>
      <c r="AV275" s="125"/>
      <c r="AW275" s="125"/>
      <c r="AX275" s="125"/>
      <c r="AY275" s="125"/>
      <c r="AZ275" s="125"/>
      <c r="BA275" s="125"/>
      <c r="BB275" s="125"/>
      <c r="BC275" s="125"/>
      <c r="BD275" s="125"/>
      <c r="BE275" s="125"/>
      <c r="BF275" s="125"/>
      <c r="BG275" s="125"/>
      <c r="BH275" s="125"/>
    </row>
    <row r="276" spans="1:60" s="124" customFormat="1" ht="116.25">
      <c r="A276" s="232" t="s">
        <v>447</v>
      </c>
      <c r="B276" s="231">
        <v>2570</v>
      </c>
      <c r="C276" s="100" t="s">
        <v>488</v>
      </c>
      <c r="D276" s="100"/>
      <c r="E276" s="100" t="s">
        <v>667</v>
      </c>
      <c r="F276" s="100" t="s">
        <v>666</v>
      </c>
      <c r="G276" s="100" t="s">
        <v>811</v>
      </c>
      <c r="H276" s="100" t="s">
        <v>45</v>
      </c>
      <c r="I276" s="100"/>
      <c r="J276" s="100" t="s">
        <v>41</v>
      </c>
      <c r="K276" s="96" t="s">
        <v>40</v>
      </c>
      <c r="L276" s="99">
        <f t="shared" si="6"/>
        <v>140000</v>
      </c>
      <c r="M276" s="98">
        <f t="shared" si="7"/>
        <v>1</v>
      </c>
      <c r="N276" s="96" t="s">
        <v>596</v>
      </c>
      <c r="O276" s="96"/>
      <c r="P276" s="97" t="s">
        <v>472</v>
      </c>
      <c r="Q276" s="96"/>
      <c r="R276" s="96">
        <v>1</v>
      </c>
      <c r="S276" s="96"/>
      <c r="T276" s="95">
        <v>140000</v>
      </c>
      <c r="U276" s="94" t="s">
        <v>808</v>
      </c>
      <c r="V276" s="217"/>
      <c r="W276" s="217"/>
      <c r="X276" s="125"/>
      <c r="Y276" s="125"/>
      <c r="Z276" s="125"/>
      <c r="AA276" s="125"/>
      <c r="AB276" s="125"/>
      <c r="AC276" s="125"/>
      <c r="AD276" s="125"/>
      <c r="AE276" s="125"/>
      <c r="AF276" s="125"/>
      <c r="AG276" s="125"/>
      <c r="AH276" s="125"/>
      <c r="AI276" s="125"/>
      <c r="AJ276" s="125"/>
      <c r="AK276" s="125"/>
      <c r="AL276" s="125"/>
      <c r="AM276" s="125"/>
      <c r="AN276" s="125"/>
      <c r="AO276" s="125"/>
      <c r="AP276" s="125"/>
      <c r="AQ276" s="125"/>
      <c r="AR276" s="125"/>
      <c r="AS276" s="125"/>
      <c r="AT276" s="125"/>
      <c r="AU276" s="125"/>
      <c r="AV276" s="125"/>
      <c r="AW276" s="125"/>
      <c r="AX276" s="125"/>
      <c r="AY276" s="125"/>
      <c r="AZ276" s="125"/>
      <c r="BA276" s="125"/>
      <c r="BB276" s="125"/>
      <c r="BC276" s="125"/>
      <c r="BD276" s="125"/>
      <c r="BE276" s="125"/>
      <c r="BF276" s="125"/>
      <c r="BG276" s="125"/>
      <c r="BH276" s="125"/>
    </row>
    <row r="277" spans="1:60" s="124" customFormat="1" ht="116.25">
      <c r="A277" s="232" t="s">
        <v>447</v>
      </c>
      <c r="B277" s="231">
        <v>2570</v>
      </c>
      <c r="C277" s="100" t="s">
        <v>488</v>
      </c>
      <c r="D277" s="100"/>
      <c r="E277" s="100" t="s">
        <v>667</v>
      </c>
      <c r="F277" s="100" t="s">
        <v>666</v>
      </c>
      <c r="G277" s="100" t="s">
        <v>811</v>
      </c>
      <c r="H277" s="100" t="s">
        <v>385</v>
      </c>
      <c r="I277" s="100"/>
      <c r="J277" s="100" t="s">
        <v>383</v>
      </c>
      <c r="K277" s="96" t="s">
        <v>149</v>
      </c>
      <c r="L277" s="99">
        <f t="shared" si="6"/>
        <v>64100</v>
      </c>
      <c r="M277" s="98">
        <f t="shared" si="7"/>
        <v>1</v>
      </c>
      <c r="N277" s="96" t="s">
        <v>596</v>
      </c>
      <c r="O277" s="96"/>
      <c r="P277" s="97" t="s">
        <v>472</v>
      </c>
      <c r="Q277" s="96"/>
      <c r="R277" s="96">
        <v>1</v>
      </c>
      <c r="S277" s="96"/>
      <c r="T277" s="95">
        <v>64100</v>
      </c>
      <c r="U277" s="94" t="s">
        <v>813</v>
      </c>
      <c r="V277" s="217"/>
      <c r="W277" s="217"/>
      <c r="X277" s="125"/>
      <c r="Y277" s="125"/>
      <c r="Z277" s="125"/>
      <c r="AA277" s="125"/>
      <c r="AB277" s="125"/>
      <c r="AC277" s="125"/>
      <c r="AD277" s="125"/>
      <c r="AE277" s="125"/>
      <c r="AF277" s="125"/>
      <c r="AG277" s="125"/>
      <c r="AH277" s="125"/>
      <c r="AI277" s="125"/>
      <c r="AJ277" s="125"/>
      <c r="AK277" s="125"/>
      <c r="AL277" s="125"/>
      <c r="AM277" s="125"/>
      <c r="AN277" s="125"/>
      <c r="AO277" s="125"/>
      <c r="AP277" s="125"/>
      <c r="AQ277" s="125"/>
      <c r="AR277" s="125"/>
      <c r="AS277" s="125"/>
      <c r="AT277" s="125"/>
      <c r="AU277" s="125"/>
      <c r="AV277" s="125"/>
      <c r="AW277" s="125"/>
      <c r="AX277" s="125"/>
      <c r="AY277" s="125"/>
      <c r="AZ277" s="125"/>
      <c r="BA277" s="125"/>
      <c r="BB277" s="125"/>
      <c r="BC277" s="125"/>
      <c r="BD277" s="125"/>
      <c r="BE277" s="125"/>
      <c r="BF277" s="125"/>
      <c r="BG277" s="125"/>
      <c r="BH277" s="125"/>
    </row>
    <row r="278" spans="1:60" s="124" customFormat="1" ht="116.25">
      <c r="A278" s="232" t="s">
        <v>447</v>
      </c>
      <c r="B278" s="231">
        <v>2570</v>
      </c>
      <c r="C278" s="100" t="s">
        <v>488</v>
      </c>
      <c r="D278" s="100"/>
      <c r="E278" s="100" t="s">
        <v>667</v>
      </c>
      <c r="F278" s="100" t="s">
        <v>666</v>
      </c>
      <c r="G278" s="100" t="s">
        <v>811</v>
      </c>
      <c r="H278" s="100" t="s">
        <v>195</v>
      </c>
      <c r="I278" s="100"/>
      <c r="J278" s="100" t="s">
        <v>193</v>
      </c>
      <c r="K278" s="96" t="s">
        <v>40</v>
      </c>
      <c r="L278" s="99">
        <f t="shared" si="6"/>
        <v>60500</v>
      </c>
      <c r="M278" s="98">
        <f t="shared" si="7"/>
        <v>1</v>
      </c>
      <c r="N278" s="96" t="s">
        <v>596</v>
      </c>
      <c r="O278" s="96"/>
      <c r="P278" s="97" t="s">
        <v>472</v>
      </c>
      <c r="Q278" s="96"/>
      <c r="R278" s="96">
        <v>1</v>
      </c>
      <c r="S278" s="96"/>
      <c r="T278" s="95">
        <v>60500</v>
      </c>
      <c r="U278" s="94" t="s">
        <v>812</v>
      </c>
      <c r="V278" s="217"/>
      <c r="W278" s="217"/>
      <c r="X278" s="125"/>
      <c r="Y278" s="125"/>
      <c r="Z278" s="125"/>
      <c r="AA278" s="125"/>
      <c r="AB278" s="125"/>
      <c r="AC278" s="125"/>
      <c r="AD278" s="125"/>
      <c r="AE278" s="125"/>
      <c r="AF278" s="125"/>
      <c r="AG278" s="125"/>
      <c r="AH278" s="125"/>
      <c r="AI278" s="125"/>
      <c r="AJ278" s="125"/>
      <c r="AK278" s="125"/>
      <c r="AL278" s="125"/>
      <c r="AM278" s="125"/>
      <c r="AN278" s="125"/>
      <c r="AO278" s="125"/>
      <c r="AP278" s="125"/>
      <c r="AQ278" s="125"/>
      <c r="AR278" s="125"/>
      <c r="AS278" s="125"/>
      <c r="AT278" s="125"/>
      <c r="AU278" s="125"/>
      <c r="AV278" s="125"/>
      <c r="AW278" s="125"/>
      <c r="AX278" s="125"/>
      <c r="AY278" s="125"/>
      <c r="AZ278" s="125"/>
      <c r="BA278" s="125"/>
      <c r="BB278" s="125"/>
      <c r="BC278" s="125"/>
      <c r="BD278" s="125"/>
      <c r="BE278" s="125"/>
      <c r="BF278" s="125"/>
      <c r="BG278" s="125"/>
      <c r="BH278" s="125"/>
    </row>
    <row r="279" spans="1:60" s="124" customFormat="1" ht="116.25">
      <c r="A279" s="232" t="s">
        <v>447</v>
      </c>
      <c r="B279" s="231">
        <v>2570</v>
      </c>
      <c r="C279" s="100" t="s">
        <v>488</v>
      </c>
      <c r="D279" s="100"/>
      <c r="E279" s="100" t="s">
        <v>667</v>
      </c>
      <c r="F279" s="100" t="s">
        <v>666</v>
      </c>
      <c r="G279" s="100" t="s">
        <v>811</v>
      </c>
      <c r="H279" s="100" t="s">
        <v>450</v>
      </c>
      <c r="I279" s="100"/>
      <c r="J279" s="100" t="s">
        <v>445</v>
      </c>
      <c r="K279" s="96" t="s">
        <v>13</v>
      </c>
      <c r="L279" s="99">
        <f t="shared" si="6"/>
        <v>280650</v>
      </c>
      <c r="M279" s="98">
        <f t="shared" si="7"/>
        <v>1</v>
      </c>
      <c r="N279" s="96" t="s">
        <v>596</v>
      </c>
      <c r="O279" s="96"/>
      <c r="P279" s="97" t="s">
        <v>472</v>
      </c>
      <c r="Q279" s="96">
        <v>1</v>
      </c>
      <c r="R279" s="96"/>
      <c r="S279" s="96" t="s">
        <v>810</v>
      </c>
      <c r="T279" s="95">
        <v>280650</v>
      </c>
      <c r="U279" s="94" t="s">
        <v>809</v>
      </c>
      <c r="V279" s="217"/>
      <c r="W279" s="217"/>
      <c r="X279" s="125"/>
      <c r="Y279" s="125"/>
      <c r="Z279" s="125"/>
      <c r="AA279" s="125"/>
      <c r="AB279" s="125"/>
      <c r="AC279" s="125"/>
      <c r="AD279" s="125"/>
      <c r="AE279" s="125"/>
      <c r="AF279" s="125"/>
      <c r="AG279" s="125"/>
      <c r="AH279" s="125"/>
      <c r="AI279" s="125"/>
      <c r="AJ279" s="125"/>
      <c r="AK279" s="125"/>
      <c r="AL279" s="125"/>
      <c r="AM279" s="125"/>
      <c r="AN279" s="125"/>
      <c r="AO279" s="125"/>
      <c r="AP279" s="125"/>
      <c r="AQ279" s="125"/>
      <c r="AR279" s="125"/>
      <c r="AS279" s="125"/>
      <c r="AT279" s="125"/>
      <c r="AU279" s="125"/>
      <c r="AV279" s="125"/>
      <c r="AW279" s="125"/>
      <c r="AX279" s="125"/>
      <c r="AY279" s="125"/>
      <c r="AZ279" s="125"/>
      <c r="BA279" s="125"/>
      <c r="BB279" s="125"/>
      <c r="BC279" s="125"/>
      <c r="BD279" s="125"/>
      <c r="BE279" s="125"/>
      <c r="BF279" s="125"/>
      <c r="BG279" s="125"/>
      <c r="BH279" s="125"/>
    </row>
    <row r="280" spans="1:60" s="124" customFormat="1" ht="116.25">
      <c r="A280" s="232" t="s">
        <v>447</v>
      </c>
      <c r="B280" s="231">
        <v>2570</v>
      </c>
      <c r="C280" s="100" t="s">
        <v>488</v>
      </c>
      <c r="D280" s="100"/>
      <c r="E280" s="100" t="s">
        <v>667</v>
      </c>
      <c r="F280" s="100" t="s">
        <v>666</v>
      </c>
      <c r="G280" s="100" t="s">
        <v>807</v>
      </c>
      <c r="H280" s="100" t="s">
        <v>461</v>
      </c>
      <c r="I280" s="100"/>
      <c r="J280" s="100" t="s">
        <v>439</v>
      </c>
      <c r="K280" s="96" t="s">
        <v>63</v>
      </c>
      <c r="L280" s="99">
        <f t="shared" si="6"/>
        <v>4990</v>
      </c>
      <c r="M280" s="98">
        <f t="shared" si="7"/>
        <v>1</v>
      </c>
      <c r="N280" s="96" t="s">
        <v>596</v>
      </c>
      <c r="O280" s="96"/>
      <c r="P280" s="97" t="s">
        <v>472</v>
      </c>
      <c r="Q280" s="96"/>
      <c r="R280" s="96">
        <v>1</v>
      </c>
      <c r="S280" s="96"/>
      <c r="T280" s="95">
        <v>4990</v>
      </c>
      <c r="U280" s="94" t="s">
        <v>804</v>
      </c>
      <c r="V280" s="217"/>
      <c r="W280" s="217"/>
      <c r="X280" s="125"/>
      <c r="Y280" s="125"/>
      <c r="Z280" s="125"/>
      <c r="AA280" s="125"/>
      <c r="AB280" s="125"/>
      <c r="AC280" s="125"/>
      <c r="AD280" s="125"/>
      <c r="AE280" s="125"/>
      <c r="AF280" s="125"/>
      <c r="AG280" s="125"/>
      <c r="AH280" s="125"/>
      <c r="AI280" s="125"/>
      <c r="AJ280" s="125"/>
      <c r="AK280" s="125"/>
      <c r="AL280" s="125"/>
      <c r="AM280" s="125"/>
      <c r="AN280" s="125"/>
      <c r="AO280" s="125"/>
      <c r="AP280" s="125"/>
      <c r="AQ280" s="125"/>
      <c r="AR280" s="125"/>
      <c r="AS280" s="125"/>
      <c r="AT280" s="125"/>
      <c r="AU280" s="125"/>
      <c r="AV280" s="125"/>
      <c r="AW280" s="125"/>
      <c r="AX280" s="125"/>
      <c r="AY280" s="125"/>
      <c r="AZ280" s="125"/>
      <c r="BA280" s="125"/>
      <c r="BB280" s="125"/>
      <c r="BC280" s="125"/>
      <c r="BD280" s="125"/>
      <c r="BE280" s="125"/>
      <c r="BF280" s="125"/>
      <c r="BG280" s="125"/>
      <c r="BH280" s="125"/>
    </row>
    <row r="281" spans="1:60" s="124" customFormat="1" ht="116.25">
      <c r="A281" s="232" t="s">
        <v>447</v>
      </c>
      <c r="B281" s="231">
        <v>2570</v>
      </c>
      <c r="C281" s="100" t="s">
        <v>488</v>
      </c>
      <c r="D281" s="100"/>
      <c r="E281" s="100" t="s">
        <v>667</v>
      </c>
      <c r="F281" s="100" t="s">
        <v>666</v>
      </c>
      <c r="G281" s="100" t="s">
        <v>807</v>
      </c>
      <c r="H281" s="100" t="s">
        <v>45</v>
      </c>
      <c r="I281" s="100"/>
      <c r="J281" s="100" t="s">
        <v>41</v>
      </c>
      <c r="K281" s="96" t="s">
        <v>40</v>
      </c>
      <c r="L281" s="99">
        <f t="shared" si="6"/>
        <v>75000</v>
      </c>
      <c r="M281" s="98">
        <f t="shared" si="7"/>
        <v>1</v>
      </c>
      <c r="N281" s="96" t="s">
        <v>596</v>
      </c>
      <c r="O281" s="96"/>
      <c r="P281" s="97" t="s">
        <v>472</v>
      </c>
      <c r="Q281" s="96"/>
      <c r="R281" s="96">
        <v>1</v>
      </c>
      <c r="S281" s="96"/>
      <c r="T281" s="95">
        <v>75000</v>
      </c>
      <c r="U281" s="94" t="s">
        <v>804</v>
      </c>
      <c r="V281" s="217"/>
      <c r="W281" s="217"/>
      <c r="X281" s="125"/>
      <c r="Y281" s="125"/>
      <c r="Z281" s="125"/>
      <c r="AA281" s="125"/>
      <c r="AB281" s="125"/>
      <c r="AC281" s="125"/>
      <c r="AD281" s="125"/>
      <c r="AE281" s="125"/>
      <c r="AF281" s="125"/>
      <c r="AG281" s="125"/>
      <c r="AH281" s="125"/>
      <c r="AI281" s="125"/>
      <c r="AJ281" s="125"/>
      <c r="AK281" s="125"/>
      <c r="AL281" s="125"/>
      <c r="AM281" s="125"/>
      <c r="AN281" s="125"/>
      <c r="AO281" s="125"/>
      <c r="AP281" s="125"/>
      <c r="AQ281" s="125"/>
      <c r="AR281" s="125"/>
      <c r="AS281" s="125"/>
      <c r="AT281" s="125"/>
      <c r="AU281" s="125"/>
      <c r="AV281" s="125"/>
      <c r="AW281" s="125"/>
      <c r="AX281" s="125"/>
      <c r="AY281" s="125"/>
      <c r="AZ281" s="125"/>
      <c r="BA281" s="125"/>
      <c r="BB281" s="125"/>
      <c r="BC281" s="125"/>
      <c r="BD281" s="125"/>
      <c r="BE281" s="125"/>
      <c r="BF281" s="125"/>
      <c r="BG281" s="125"/>
      <c r="BH281" s="125"/>
    </row>
    <row r="282" spans="1:60" s="124" customFormat="1" ht="116.25">
      <c r="A282" s="232" t="s">
        <v>447</v>
      </c>
      <c r="B282" s="231">
        <v>2570</v>
      </c>
      <c r="C282" s="100" t="s">
        <v>488</v>
      </c>
      <c r="D282" s="100"/>
      <c r="E282" s="100" t="s">
        <v>667</v>
      </c>
      <c r="F282" s="100" t="s">
        <v>666</v>
      </c>
      <c r="G282" s="100" t="s">
        <v>807</v>
      </c>
      <c r="H282" s="100" t="s">
        <v>426</v>
      </c>
      <c r="I282" s="100"/>
      <c r="J282" s="100" t="s">
        <v>424</v>
      </c>
      <c r="K282" s="96" t="s">
        <v>40</v>
      </c>
      <c r="L282" s="99">
        <f t="shared" si="6"/>
        <v>36300</v>
      </c>
      <c r="M282" s="98">
        <f t="shared" si="7"/>
        <v>1</v>
      </c>
      <c r="N282" s="96" t="s">
        <v>596</v>
      </c>
      <c r="O282" s="96"/>
      <c r="P282" s="97" t="s">
        <v>472</v>
      </c>
      <c r="Q282" s="96"/>
      <c r="R282" s="96">
        <v>1</v>
      </c>
      <c r="S282" s="96"/>
      <c r="T282" s="95">
        <v>36300</v>
      </c>
      <c r="U282" s="109" t="s">
        <v>808</v>
      </c>
      <c r="V282" s="217"/>
      <c r="W282" s="217"/>
      <c r="X282" s="125"/>
      <c r="Y282" s="125"/>
      <c r="Z282" s="125"/>
      <c r="AA282" s="125"/>
      <c r="AB282" s="125"/>
      <c r="AC282" s="125"/>
      <c r="AD282" s="125"/>
      <c r="AE282" s="125"/>
      <c r="AF282" s="125"/>
      <c r="AG282" s="125"/>
      <c r="AH282" s="125"/>
      <c r="AI282" s="125"/>
      <c r="AJ282" s="125"/>
      <c r="AK282" s="125"/>
      <c r="AL282" s="125"/>
      <c r="AM282" s="125"/>
      <c r="AN282" s="125"/>
      <c r="AO282" s="125"/>
      <c r="AP282" s="125"/>
      <c r="AQ282" s="125"/>
      <c r="AR282" s="125"/>
      <c r="AS282" s="125"/>
      <c r="AT282" s="125"/>
      <c r="AU282" s="125"/>
      <c r="AV282" s="125"/>
      <c r="AW282" s="125"/>
      <c r="AX282" s="125"/>
      <c r="AY282" s="125"/>
      <c r="AZ282" s="125"/>
      <c r="BA282" s="125"/>
      <c r="BB282" s="125"/>
      <c r="BC282" s="125"/>
      <c r="BD282" s="125"/>
      <c r="BE282" s="125"/>
      <c r="BF282" s="125"/>
      <c r="BG282" s="125"/>
      <c r="BH282" s="125"/>
    </row>
    <row r="283" spans="1:60" s="124" customFormat="1" ht="116.25">
      <c r="A283" s="232" t="s">
        <v>447</v>
      </c>
      <c r="B283" s="231">
        <v>2570</v>
      </c>
      <c r="C283" s="100" t="s">
        <v>488</v>
      </c>
      <c r="D283" s="100"/>
      <c r="E283" s="100" t="s">
        <v>667</v>
      </c>
      <c r="F283" s="100" t="s">
        <v>666</v>
      </c>
      <c r="G283" s="100" t="s">
        <v>807</v>
      </c>
      <c r="H283" s="100" t="s">
        <v>463</v>
      </c>
      <c r="I283" s="100"/>
      <c r="J283" s="100" t="s">
        <v>438</v>
      </c>
      <c r="K283" s="96" t="s">
        <v>63</v>
      </c>
      <c r="L283" s="99">
        <f t="shared" si="6"/>
        <v>9900</v>
      </c>
      <c r="M283" s="98">
        <f t="shared" si="7"/>
        <v>1</v>
      </c>
      <c r="N283" s="96" t="s">
        <v>596</v>
      </c>
      <c r="O283" s="96"/>
      <c r="P283" s="97" t="s">
        <v>472</v>
      </c>
      <c r="Q283" s="96"/>
      <c r="R283" s="96">
        <v>1</v>
      </c>
      <c r="S283" s="96"/>
      <c r="T283" s="95">
        <v>9900</v>
      </c>
      <c r="U283" s="94" t="s">
        <v>804</v>
      </c>
      <c r="V283" s="217"/>
      <c r="W283" s="217"/>
      <c r="X283" s="125"/>
      <c r="Y283" s="125"/>
      <c r="Z283" s="125"/>
      <c r="AA283" s="125"/>
      <c r="AB283" s="125"/>
      <c r="AC283" s="125"/>
      <c r="AD283" s="125"/>
      <c r="AE283" s="125"/>
      <c r="AF283" s="125"/>
      <c r="AG283" s="125"/>
      <c r="AH283" s="125"/>
      <c r="AI283" s="125"/>
      <c r="AJ283" s="125"/>
      <c r="AK283" s="125"/>
      <c r="AL283" s="125"/>
      <c r="AM283" s="125"/>
      <c r="AN283" s="125"/>
      <c r="AO283" s="125"/>
      <c r="AP283" s="125"/>
      <c r="AQ283" s="125"/>
      <c r="AR283" s="125"/>
      <c r="AS283" s="125"/>
      <c r="AT283" s="125"/>
      <c r="AU283" s="125"/>
      <c r="AV283" s="125"/>
      <c r="AW283" s="125"/>
      <c r="AX283" s="125"/>
      <c r="AY283" s="125"/>
      <c r="AZ283" s="125"/>
      <c r="BA283" s="125"/>
      <c r="BB283" s="125"/>
      <c r="BC283" s="125"/>
      <c r="BD283" s="125"/>
      <c r="BE283" s="125"/>
      <c r="BF283" s="125"/>
      <c r="BG283" s="125"/>
      <c r="BH283" s="125"/>
    </row>
    <row r="284" spans="1:60" s="124" customFormat="1" ht="116.25">
      <c r="A284" s="232" t="s">
        <v>447</v>
      </c>
      <c r="B284" s="231">
        <v>2570</v>
      </c>
      <c r="C284" s="100" t="s">
        <v>488</v>
      </c>
      <c r="D284" s="100"/>
      <c r="E284" s="100" t="s">
        <v>667</v>
      </c>
      <c r="F284" s="100" t="s">
        <v>666</v>
      </c>
      <c r="G284" s="100" t="s">
        <v>806</v>
      </c>
      <c r="H284" s="100" t="s">
        <v>135</v>
      </c>
      <c r="I284" s="100"/>
      <c r="J284" s="100" t="s">
        <v>133</v>
      </c>
      <c r="K284" s="96" t="s">
        <v>63</v>
      </c>
      <c r="L284" s="99">
        <f t="shared" si="6"/>
        <v>9133</v>
      </c>
      <c r="M284" s="98">
        <f t="shared" si="7"/>
        <v>1</v>
      </c>
      <c r="N284" s="96" t="s">
        <v>596</v>
      </c>
      <c r="O284" s="96"/>
      <c r="P284" s="97" t="s">
        <v>472</v>
      </c>
      <c r="Q284" s="96"/>
      <c r="R284" s="96">
        <v>1</v>
      </c>
      <c r="S284" s="96"/>
      <c r="T284" s="95">
        <v>9133</v>
      </c>
      <c r="U284" s="94" t="s">
        <v>804</v>
      </c>
      <c r="V284" s="217"/>
      <c r="W284" s="217"/>
      <c r="X284" s="125"/>
      <c r="Y284" s="125"/>
      <c r="Z284" s="125"/>
      <c r="AA284" s="125"/>
      <c r="AB284" s="125"/>
      <c r="AC284" s="125"/>
      <c r="AD284" s="125"/>
      <c r="AE284" s="125"/>
      <c r="AF284" s="125"/>
      <c r="AG284" s="125"/>
      <c r="AH284" s="125"/>
      <c r="AI284" s="125"/>
      <c r="AJ284" s="125"/>
      <c r="AK284" s="125"/>
      <c r="AL284" s="125"/>
      <c r="AM284" s="125"/>
      <c r="AN284" s="125"/>
      <c r="AO284" s="125"/>
      <c r="AP284" s="125"/>
      <c r="AQ284" s="125"/>
      <c r="AR284" s="125"/>
      <c r="AS284" s="125"/>
      <c r="AT284" s="125"/>
      <c r="AU284" s="125"/>
      <c r="AV284" s="125"/>
      <c r="AW284" s="125"/>
      <c r="AX284" s="125"/>
      <c r="AY284" s="125"/>
      <c r="AZ284" s="125"/>
      <c r="BA284" s="125"/>
      <c r="BB284" s="125"/>
      <c r="BC284" s="125"/>
      <c r="BD284" s="125"/>
      <c r="BE284" s="125"/>
      <c r="BF284" s="125"/>
      <c r="BG284" s="125"/>
      <c r="BH284" s="125"/>
    </row>
    <row r="285" spans="1:60" s="124" customFormat="1" ht="116.25">
      <c r="A285" s="232" t="s">
        <v>447</v>
      </c>
      <c r="B285" s="231">
        <v>2570</v>
      </c>
      <c r="C285" s="100" t="s">
        <v>488</v>
      </c>
      <c r="D285" s="100"/>
      <c r="E285" s="100" t="s">
        <v>667</v>
      </c>
      <c r="F285" s="100" t="s">
        <v>666</v>
      </c>
      <c r="G285" s="100" t="s">
        <v>806</v>
      </c>
      <c r="H285" s="100" t="s">
        <v>24</v>
      </c>
      <c r="I285" s="100"/>
      <c r="J285" s="100" t="s">
        <v>22</v>
      </c>
      <c r="K285" s="96" t="s">
        <v>13</v>
      </c>
      <c r="L285" s="99">
        <f t="shared" si="6"/>
        <v>39000</v>
      </c>
      <c r="M285" s="98">
        <f t="shared" si="7"/>
        <v>1</v>
      </c>
      <c r="N285" s="96" t="s">
        <v>558</v>
      </c>
      <c r="O285" s="96"/>
      <c r="P285" s="97" t="s">
        <v>472</v>
      </c>
      <c r="Q285" s="96"/>
      <c r="R285" s="96">
        <v>1</v>
      </c>
      <c r="S285" s="96"/>
      <c r="T285" s="95">
        <v>39000</v>
      </c>
      <c r="U285" s="94"/>
      <c r="V285" s="217"/>
      <c r="W285" s="217"/>
      <c r="X285" s="125"/>
      <c r="Y285" s="125"/>
      <c r="Z285" s="125"/>
      <c r="AA285" s="125"/>
      <c r="AB285" s="125"/>
      <c r="AC285" s="125"/>
      <c r="AD285" s="125"/>
      <c r="AE285" s="125"/>
      <c r="AF285" s="125"/>
      <c r="AG285" s="125"/>
      <c r="AH285" s="125"/>
      <c r="AI285" s="125"/>
      <c r="AJ285" s="125"/>
      <c r="AK285" s="125"/>
      <c r="AL285" s="125"/>
      <c r="AM285" s="125"/>
      <c r="AN285" s="125"/>
      <c r="AO285" s="125"/>
      <c r="AP285" s="125"/>
      <c r="AQ285" s="125"/>
      <c r="AR285" s="125"/>
      <c r="AS285" s="125"/>
      <c r="AT285" s="125"/>
      <c r="AU285" s="125"/>
      <c r="AV285" s="125"/>
      <c r="AW285" s="125"/>
      <c r="AX285" s="125"/>
      <c r="AY285" s="125"/>
      <c r="AZ285" s="125"/>
      <c r="BA285" s="125"/>
      <c r="BB285" s="125"/>
      <c r="BC285" s="125"/>
      <c r="BD285" s="125"/>
      <c r="BE285" s="125"/>
      <c r="BF285" s="125"/>
      <c r="BG285" s="125"/>
      <c r="BH285" s="125"/>
    </row>
    <row r="286" spans="1:60" s="124" customFormat="1" ht="116.25">
      <c r="A286" s="232" t="s">
        <v>447</v>
      </c>
      <c r="B286" s="231">
        <v>2570</v>
      </c>
      <c r="C286" s="100" t="s">
        <v>488</v>
      </c>
      <c r="D286" s="100"/>
      <c r="E286" s="100" t="s">
        <v>667</v>
      </c>
      <c r="F286" s="100" t="s">
        <v>666</v>
      </c>
      <c r="G286" s="100" t="s">
        <v>806</v>
      </c>
      <c r="H286" s="100" t="s">
        <v>29</v>
      </c>
      <c r="I286" s="100"/>
      <c r="J286" s="100" t="s">
        <v>27</v>
      </c>
      <c r="K286" s="96" t="s">
        <v>13</v>
      </c>
      <c r="L286" s="99">
        <f t="shared" si="6"/>
        <v>6900</v>
      </c>
      <c r="M286" s="98">
        <f t="shared" si="7"/>
        <v>1</v>
      </c>
      <c r="N286" s="96" t="s">
        <v>558</v>
      </c>
      <c r="O286" s="96"/>
      <c r="P286" s="97" t="s">
        <v>472</v>
      </c>
      <c r="Q286" s="96"/>
      <c r="R286" s="96">
        <v>1</v>
      </c>
      <c r="S286" s="96"/>
      <c r="T286" s="95">
        <v>6900</v>
      </c>
      <c r="U286" s="94"/>
      <c r="V286" s="217"/>
      <c r="W286" s="217"/>
      <c r="X286" s="125"/>
      <c r="Y286" s="125"/>
      <c r="Z286" s="125"/>
      <c r="AA286" s="125"/>
      <c r="AB286" s="125"/>
      <c r="AC286" s="125"/>
      <c r="AD286" s="125"/>
      <c r="AE286" s="125"/>
      <c r="AF286" s="125"/>
      <c r="AG286" s="125"/>
      <c r="AH286" s="125"/>
      <c r="AI286" s="125"/>
      <c r="AJ286" s="125"/>
      <c r="AK286" s="125"/>
      <c r="AL286" s="125"/>
      <c r="AM286" s="125"/>
      <c r="AN286" s="125"/>
      <c r="AO286" s="125"/>
      <c r="AP286" s="125"/>
      <c r="AQ286" s="125"/>
      <c r="AR286" s="125"/>
      <c r="AS286" s="125"/>
      <c r="AT286" s="125"/>
      <c r="AU286" s="125"/>
      <c r="AV286" s="125"/>
      <c r="AW286" s="125"/>
      <c r="AX286" s="125"/>
      <c r="AY286" s="125"/>
      <c r="AZ286" s="125"/>
      <c r="BA286" s="125"/>
      <c r="BB286" s="125"/>
      <c r="BC286" s="125"/>
      <c r="BD286" s="125"/>
      <c r="BE286" s="125"/>
      <c r="BF286" s="125"/>
      <c r="BG286" s="125"/>
      <c r="BH286" s="125"/>
    </row>
    <row r="287" spans="1:60" s="124" customFormat="1" ht="116.25">
      <c r="A287" s="232" t="s">
        <v>447</v>
      </c>
      <c r="B287" s="231">
        <v>2570</v>
      </c>
      <c r="C287" s="100" t="s">
        <v>488</v>
      </c>
      <c r="D287" s="100"/>
      <c r="E287" s="100" t="s">
        <v>667</v>
      </c>
      <c r="F287" s="100" t="s">
        <v>666</v>
      </c>
      <c r="G287" s="100" t="s">
        <v>805</v>
      </c>
      <c r="H287" s="100" t="s">
        <v>135</v>
      </c>
      <c r="I287" s="100"/>
      <c r="J287" s="100" t="s">
        <v>133</v>
      </c>
      <c r="K287" s="96" t="s">
        <v>63</v>
      </c>
      <c r="L287" s="99">
        <v>4133</v>
      </c>
      <c r="M287" s="98">
        <f t="shared" si="7"/>
        <v>1</v>
      </c>
      <c r="N287" s="96" t="s">
        <v>596</v>
      </c>
      <c r="O287" s="96"/>
      <c r="P287" s="97" t="s">
        <v>472</v>
      </c>
      <c r="Q287" s="96"/>
      <c r="R287" s="96">
        <v>1</v>
      </c>
      <c r="S287" s="96"/>
      <c r="T287" s="95">
        <v>4133</v>
      </c>
      <c r="U287" s="94" t="s">
        <v>804</v>
      </c>
      <c r="V287" s="217"/>
      <c r="W287" s="217"/>
      <c r="X287" s="125"/>
      <c r="Y287" s="125"/>
      <c r="Z287" s="125"/>
      <c r="AA287" s="125"/>
      <c r="AB287" s="125"/>
      <c r="AC287" s="125"/>
      <c r="AD287" s="125"/>
      <c r="AE287" s="125"/>
      <c r="AF287" s="125"/>
      <c r="AG287" s="125"/>
      <c r="AH287" s="125"/>
      <c r="AI287" s="125"/>
      <c r="AJ287" s="125"/>
      <c r="AK287" s="125"/>
      <c r="AL287" s="125"/>
      <c r="AM287" s="125"/>
      <c r="AN287" s="125"/>
      <c r="AO287" s="125"/>
      <c r="AP287" s="125"/>
      <c r="AQ287" s="125"/>
      <c r="AR287" s="125"/>
      <c r="AS287" s="125"/>
      <c r="AT287" s="125"/>
      <c r="AU287" s="125"/>
      <c r="AV287" s="125"/>
      <c r="AW287" s="125"/>
      <c r="AX287" s="125"/>
      <c r="AY287" s="125"/>
      <c r="AZ287" s="125"/>
      <c r="BA287" s="125"/>
      <c r="BB287" s="125"/>
      <c r="BC287" s="125"/>
      <c r="BD287" s="125"/>
      <c r="BE287" s="125"/>
      <c r="BF287" s="125"/>
      <c r="BG287" s="125"/>
      <c r="BH287" s="125"/>
    </row>
    <row r="288" spans="1:60" s="124" customFormat="1" ht="116.25">
      <c r="A288" s="232" t="s">
        <v>447</v>
      </c>
      <c r="B288" s="231">
        <v>2570</v>
      </c>
      <c r="C288" s="100" t="s">
        <v>488</v>
      </c>
      <c r="D288" s="100"/>
      <c r="E288" s="100" t="s">
        <v>667</v>
      </c>
      <c r="F288" s="100" t="s">
        <v>666</v>
      </c>
      <c r="G288" s="100" t="s">
        <v>801</v>
      </c>
      <c r="H288" s="100" t="s">
        <v>232</v>
      </c>
      <c r="I288" s="100"/>
      <c r="J288" s="100" t="s">
        <v>230</v>
      </c>
      <c r="K288" s="96" t="s">
        <v>13</v>
      </c>
      <c r="L288" s="99">
        <f t="shared" ref="L288:L351" si="8">M288*T288</f>
        <v>29000</v>
      </c>
      <c r="M288" s="98">
        <f t="shared" si="7"/>
        <v>1</v>
      </c>
      <c r="N288" s="96" t="s">
        <v>596</v>
      </c>
      <c r="O288" s="108" t="s">
        <v>472</v>
      </c>
      <c r="P288" s="96"/>
      <c r="Q288" s="96"/>
      <c r="R288" s="96">
        <v>1</v>
      </c>
      <c r="S288" s="96"/>
      <c r="T288" s="95">
        <v>29000</v>
      </c>
      <c r="U288" s="94" t="s">
        <v>802</v>
      </c>
      <c r="V288" s="217"/>
      <c r="W288" s="217"/>
      <c r="X288" s="125"/>
      <c r="Y288" s="125"/>
      <c r="Z288" s="125"/>
      <c r="AA288" s="125"/>
      <c r="AB288" s="125"/>
      <c r="AC288" s="125"/>
      <c r="AD288" s="125"/>
      <c r="AE288" s="125"/>
      <c r="AF288" s="125"/>
      <c r="AG288" s="125"/>
      <c r="AH288" s="125"/>
      <c r="AI288" s="125"/>
      <c r="AJ288" s="125"/>
      <c r="AK288" s="125"/>
      <c r="AL288" s="125"/>
      <c r="AM288" s="125"/>
      <c r="AN288" s="125"/>
      <c r="AO288" s="125"/>
      <c r="AP288" s="125"/>
      <c r="AQ288" s="125"/>
      <c r="AR288" s="125"/>
      <c r="AS288" s="125"/>
      <c r="AT288" s="125"/>
      <c r="AU288" s="125"/>
      <c r="AV288" s="125"/>
      <c r="AW288" s="125"/>
      <c r="AX288" s="125"/>
      <c r="AY288" s="125"/>
      <c r="AZ288" s="125"/>
      <c r="BA288" s="125"/>
      <c r="BB288" s="125"/>
      <c r="BC288" s="125"/>
      <c r="BD288" s="125"/>
      <c r="BE288" s="125"/>
      <c r="BF288" s="125"/>
      <c r="BG288" s="125"/>
      <c r="BH288" s="125"/>
    </row>
    <row r="289" spans="1:60" s="124" customFormat="1" ht="116.25">
      <c r="A289" s="232" t="s">
        <v>447</v>
      </c>
      <c r="B289" s="231">
        <v>2570</v>
      </c>
      <c r="C289" s="100" t="s">
        <v>488</v>
      </c>
      <c r="D289" s="100"/>
      <c r="E289" s="100" t="s">
        <v>667</v>
      </c>
      <c r="F289" s="100" t="s">
        <v>666</v>
      </c>
      <c r="G289" s="100" t="s">
        <v>801</v>
      </c>
      <c r="H289" s="100" t="s">
        <v>456</v>
      </c>
      <c r="I289" s="100"/>
      <c r="J289" s="100" t="s">
        <v>442</v>
      </c>
      <c r="K289" s="96" t="s">
        <v>40</v>
      </c>
      <c r="L289" s="99">
        <f t="shared" si="8"/>
        <v>42500</v>
      </c>
      <c r="M289" s="98">
        <f t="shared" si="7"/>
        <v>10</v>
      </c>
      <c r="N289" s="96" t="s">
        <v>596</v>
      </c>
      <c r="O289" s="108" t="s">
        <v>472</v>
      </c>
      <c r="P289" s="96"/>
      <c r="Q289" s="96"/>
      <c r="R289" s="96">
        <v>10</v>
      </c>
      <c r="S289" s="96"/>
      <c r="T289" s="95">
        <v>4250</v>
      </c>
      <c r="U289" s="94" t="s">
        <v>802</v>
      </c>
      <c r="V289" s="217"/>
      <c r="W289" s="217"/>
      <c r="X289" s="125"/>
      <c r="Y289" s="125"/>
      <c r="Z289" s="125"/>
      <c r="AA289" s="125"/>
      <c r="AB289" s="125"/>
      <c r="AC289" s="125"/>
      <c r="AD289" s="125"/>
      <c r="AE289" s="125"/>
      <c r="AF289" s="125"/>
      <c r="AG289" s="125"/>
      <c r="AH289" s="125"/>
      <c r="AI289" s="125"/>
      <c r="AJ289" s="125"/>
      <c r="AK289" s="125"/>
      <c r="AL289" s="125"/>
      <c r="AM289" s="125"/>
      <c r="AN289" s="125"/>
      <c r="AO289" s="125"/>
      <c r="AP289" s="125"/>
      <c r="AQ289" s="125"/>
      <c r="AR289" s="125"/>
      <c r="AS289" s="125"/>
      <c r="AT289" s="125"/>
      <c r="AU289" s="125"/>
      <c r="AV289" s="125"/>
      <c r="AW289" s="125"/>
      <c r="AX289" s="125"/>
      <c r="AY289" s="125"/>
      <c r="AZ289" s="125"/>
      <c r="BA289" s="125"/>
      <c r="BB289" s="125"/>
      <c r="BC289" s="125"/>
      <c r="BD289" s="125"/>
      <c r="BE289" s="125"/>
      <c r="BF289" s="125"/>
      <c r="BG289" s="125"/>
      <c r="BH289" s="125"/>
    </row>
    <row r="290" spans="1:60" s="124" customFormat="1" ht="116.25">
      <c r="A290" s="232" t="s">
        <v>447</v>
      </c>
      <c r="B290" s="231">
        <v>2570</v>
      </c>
      <c r="C290" s="100" t="s">
        <v>488</v>
      </c>
      <c r="D290" s="100"/>
      <c r="E290" s="100" t="s">
        <v>667</v>
      </c>
      <c r="F290" s="100" t="s">
        <v>666</v>
      </c>
      <c r="G290" s="100" t="s">
        <v>801</v>
      </c>
      <c r="H290" s="100" t="s">
        <v>135</v>
      </c>
      <c r="I290" s="100"/>
      <c r="J290" s="100" t="s">
        <v>133</v>
      </c>
      <c r="K290" s="96" t="s">
        <v>63</v>
      </c>
      <c r="L290" s="99">
        <f t="shared" si="8"/>
        <v>76000</v>
      </c>
      <c r="M290" s="98">
        <f t="shared" si="7"/>
        <v>1</v>
      </c>
      <c r="N290" s="96" t="s">
        <v>596</v>
      </c>
      <c r="O290" s="96"/>
      <c r="P290" s="97" t="s">
        <v>472</v>
      </c>
      <c r="Q290" s="96">
        <v>1</v>
      </c>
      <c r="R290" s="96"/>
      <c r="S290" s="134"/>
      <c r="T290" s="95">
        <v>76000</v>
      </c>
      <c r="U290" s="109" t="s">
        <v>803</v>
      </c>
      <c r="V290" s="217"/>
      <c r="W290" s="217"/>
      <c r="X290" s="125"/>
      <c r="Y290" s="125"/>
      <c r="Z290" s="125"/>
      <c r="AA290" s="125"/>
      <c r="AB290" s="125"/>
      <c r="AC290" s="125"/>
      <c r="AD290" s="125"/>
      <c r="AE290" s="125"/>
      <c r="AF290" s="125"/>
      <c r="AG290" s="125"/>
      <c r="AH290" s="125"/>
      <c r="AI290" s="125"/>
      <c r="AJ290" s="125"/>
      <c r="AK290" s="125"/>
      <c r="AL290" s="125"/>
      <c r="AM290" s="125"/>
      <c r="AN290" s="125"/>
      <c r="AO290" s="125"/>
      <c r="AP290" s="125"/>
      <c r="AQ290" s="125"/>
      <c r="AR290" s="125"/>
      <c r="AS290" s="125"/>
      <c r="AT290" s="125"/>
      <c r="AU290" s="125"/>
      <c r="AV290" s="125"/>
      <c r="AW290" s="125"/>
      <c r="AX290" s="125"/>
      <c r="AY290" s="125"/>
      <c r="AZ290" s="125"/>
      <c r="BA290" s="125"/>
      <c r="BB290" s="125"/>
      <c r="BC290" s="125"/>
      <c r="BD290" s="125"/>
      <c r="BE290" s="125"/>
      <c r="BF290" s="125"/>
      <c r="BG290" s="125"/>
      <c r="BH290" s="125"/>
    </row>
    <row r="291" spans="1:60" s="124" customFormat="1" ht="116.25">
      <c r="A291" s="232" t="s">
        <v>447</v>
      </c>
      <c r="B291" s="231">
        <v>2570</v>
      </c>
      <c r="C291" s="100" t="s">
        <v>488</v>
      </c>
      <c r="D291" s="100"/>
      <c r="E291" s="100" t="s">
        <v>667</v>
      </c>
      <c r="F291" s="100" t="s">
        <v>666</v>
      </c>
      <c r="G291" s="100" t="s">
        <v>801</v>
      </c>
      <c r="H291" s="100" t="s">
        <v>426</v>
      </c>
      <c r="I291" s="100"/>
      <c r="J291" s="100" t="s">
        <v>424</v>
      </c>
      <c r="K291" s="96" t="s">
        <v>40</v>
      </c>
      <c r="L291" s="99">
        <f t="shared" si="8"/>
        <v>76000</v>
      </c>
      <c r="M291" s="98">
        <f t="shared" si="7"/>
        <v>20</v>
      </c>
      <c r="N291" s="96" t="s">
        <v>596</v>
      </c>
      <c r="O291" s="108" t="s">
        <v>472</v>
      </c>
      <c r="P291" s="96"/>
      <c r="Q291" s="96"/>
      <c r="R291" s="96">
        <v>20</v>
      </c>
      <c r="S291" s="96"/>
      <c r="T291" s="95">
        <v>3800</v>
      </c>
      <c r="U291" s="94" t="s">
        <v>802</v>
      </c>
      <c r="V291" s="217"/>
      <c r="W291" s="217"/>
      <c r="X291" s="125"/>
      <c r="Y291" s="125"/>
      <c r="Z291" s="125"/>
      <c r="AA291" s="125"/>
      <c r="AB291" s="125"/>
      <c r="AC291" s="125"/>
      <c r="AD291" s="125"/>
      <c r="AE291" s="125"/>
      <c r="AF291" s="125"/>
      <c r="AG291" s="125"/>
      <c r="AH291" s="125"/>
      <c r="AI291" s="125"/>
      <c r="AJ291" s="125"/>
      <c r="AK291" s="125"/>
      <c r="AL291" s="125"/>
      <c r="AM291" s="125"/>
      <c r="AN291" s="125"/>
      <c r="AO291" s="125"/>
      <c r="AP291" s="125"/>
      <c r="AQ291" s="125"/>
      <c r="AR291" s="125"/>
      <c r="AS291" s="125"/>
      <c r="AT291" s="125"/>
      <c r="AU291" s="125"/>
      <c r="AV291" s="125"/>
      <c r="AW291" s="125"/>
      <c r="AX291" s="125"/>
      <c r="AY291" s="125"/>
      <c r="AZ291" s="125"/>
      <c r="BA291" s="125"/>
      <c r="BB291" s="125"/>
      <c r="BC291" s="125"/>
      <c r="BD291" s="125"/>
      <c r="BE291" s="125"/>
      <c r="BF291" s="125"/>
      <c r="BG291" s="125"/>
      <c r="BH291" s="125"/>
    </row>
    <row r="292" spans="1:60" s="124" customFormat="1" ht="116.25">
      <c r="A292" s="232" t="s">
        <v>447</v>
      </c>
      <c r="B292" s="231">
        <v>2570</v>
      </c>
      <c r="C292" s="100" t="s">
        <v>488</v>
      </c>
      <c r="D292" s="100"/>
      <c r="E292" s="100" t="s">
        <v>667</v>
      </c>
      <c r="F292" s="100" t="s">
        <v>666</v>
      </c>
      <c r="G292" s="100" t="s">
        <v>801</v>
      </c>
      <c r="H292" s="100" t="s">
        <v>156</v>
      </c>
      <c r="I292" s="100"/>
      <c r="J292" s="96" t="s">
        <v>154</v>
      </c>
      <c r="K292" s="96" t="s">
        <v>149</v>
      </c>
      <c r="L292" s="99">
        <f t="shared" si="8"/>
        <v>90980</v>
      </c>
      <c r="M292" s="98">
        <f t="shared" si="7"/>
        <v>1</v>
      </c>
      <c r="N292" s="96" t="s">
        <v>596</v>
      </c>
      <c r="O292" s="108" t="s">
        <v>472</v>
      </c>
      <c r="P292" s="96"/>
      <c r="Q292" s="96"/>
      <c r="R292" s="96">
        <v>1</v>
      </c>
      <c r="S292" s="96"/>
      <c r="T292" s="95">
        <v>90980</v>
      </c>
      <c r="U292" s="94" t="s">
        <v>802</v>
      </c>
      <c r="V292" s="217"/>
      <c r="W292" s="217"/>
      <c r="X292" s="125"/>
      <c r="Y292" s="125"/>
      <c r="Z292" s="125"/>
      <c r="AA292" s="125"/>
      <c r="AB292" s="125"/>
      <c r="AC292" s="125"/>
      <c r="AD292" s="125"/>
      <c r="AE292" s="125"/>
      <c r="AF292" s="125"/>
      <c r="AG292" s="125"/>
      <c r="AH292" s="125"/>
      <c r="AI292" s="125"/>
      <c r="AJ292" s="125"/>
      <c r="AK292" s="125"/>
      <c r="AL292" s="125"/>
      <c r="AM292" s="125"/>
      <c r="AN292" s="125"/>
      <c r="AO292" s="125"/>
      <c r="AP292" s="125"/>
      <c r="AQ292" s="125"/>
      <c r="AR292" s="125"/>
      <c r="AS292" s="125"/>
      <c r="AT292" s="125"/>
      <c r="AU292" s="125"/>
      <c r="AV292" s="125"/>
      <c r="AW292" s="125"/>
      <c r="AX292" s="125"/>
      <c r="AY292" s="125"/>
      <c r="AZ292" s="125"/>
      <c r="BA292" s="125"/>
      <c r="BB292" s="125"/>
      <c r="BC292" s="125"/>
      <c r="BD292" s="125"/>
      <c r="BE292" s="125"/>
      <c r="BF292" s="125"/>
      <c r="BG292" s="125"/>
      <c r="BH292" s="125"/>
    </row>
    <row r="293" spans="1:60" s="124" customFormat="1" ht="116.25">
      <c r="A293" s="232" t="s">
        <v>447</v>
      </c>
      <c r="B293" s="231">
        <v>2570</v>
      </c>
      <c r="C293" s="100" t="s">
        <v>488</v>
      </c>
      <c r="D293" s="100"/>
      <c r="E293" s="100" t="s">
        <v>667</v>
      </c>
      <c r="F293" s="100" t="s">
        <v>666</v>
      </c>
      <c r="G293" s="100" t="s">
        <v>801</v>
      </c>
      <c r="H293" s="100" t="s">
        <v>45</v>
      </c>
      <c r="I293" s="100"/>
      <c r="J293" s="100" t="s">
        <v>41</v>
      </c>
      <c r="K293" s="96" t="s">
        <v>40</v>
      </c>
      <c r="L293" s="99">
        <f t="shared" si="8"/>
        <v>140000</v>
      </c>
      <c r="M293" s="98">
        <f t="shared" si="7"/>
        <v>1</v>
      </c>
      <c r="N293" s="96" t="s">
        <v>558</v>
      </c>
      <c r="O293" s="96"/>
      <c r="P293" s="97" t="s">
        <v>472</v>
      </c>
      <c r="Q293" s="96">
        <v>1</v>
      </c>
      <c r="R293" s="96"/>
      <c r="S293" s="96" t="s">
        <v>800</v>
      </c>
      <c r="T293" s="95">
        <v>140000</v>
      </c>
      <c r="U293" s="94" t="s">
        <v>799</v>
      </c>
      <c r="V293" s="217"/>
      <c r="W293" s="217"/>
      <c r="X293" s="125"/>
      <c r="Y293" s="125"/>
      <c r="Z293" s="125"/>
      <c r="AA293" s="125"/>
      <c r="AB293" s="125"/>
      <c r="AC293" s="125"/>
      <c r="AD293" s="125"/>
      <c r="AE293" s="125"/>
      <c r="AF293" s="125"/>
      <c r="AG293" s="125"/>
      <c r="AH293" s="125"/>
      <c r="AI293" s="125"/>
      <c r="AJ293" s="125"/>
      <c r="AK293" s="125"/>
      <c r="AL293" s="125"/>
      <c r="AM293" s="125"/>
      <c r="AN293" s="125"/>
      <c r="AO293" s="125"/>
      <c r="AP293" s="125"/>
      <c r="AQ293" s="125"/>
      <c r="AR293" s="125"/>
      <c r="AS293" s="125"/>
      <c r="AT293" s="125"/>
      <c r="AU293" s="125"/>
      <c r="AV293" s="125"/>
      <c r="AW293" s="125"/>
      <c r="AX293" s="125"/>
      <c r="AY293" s="125"/>
      <c r="AZ293" s="125"/>
      <c r="BA293" s="125"/>
      <c r="BB293" s="125"/>
      <c r="BC293" s="125"/>
      <c r="BD293" s="125"/>
      <c r="BE293" s="125"/>
      <c r="BF293" s="125"/>
      <c r="BG293" s="125"/>
      <c r="BH293" s="125"/>
    </row>
    <row r="294" spans="1:60" s="136" customFormat="1" ht="116.25">
      <c r="A294" s="232" t="s">
        <v>447</v>
      </c>
      <c r="B294" s="231">
        <v>2570</v>
      </c>
      <c r="C294" s="100" t="s">
        <v>488</v>
      </c>
      <c r="D294" s="100"/>
      <c r="E294" s="100" t="s">
        <v>667</v>
      </c>
      <c r="F294" s="100" t="s">
        <v>666</v>
      </c>
      <c r="G294" s="100" t="s">
        <v>798</v>
      </c>
      <c r="H294" s="100" t="s">
        <v>124</v>
      </c>
      <c r="I294" s="100"/>
      <c r="J294" s="100" t="s">
        <v>122</v>
      </c>
      <c r="K294" s="96" t="s">
        <v>63</v>
      </c>
      <c r="L294" s="99">
        <f t="shared" si="8"/>
        <v>72000</v>
      </c>
      <c r="M294" s="98">
        <f t="shared" si="7"/>
        <v>6</v>
      </c>
      <c r="N294" s="96" t="s">
        <v>558</v>
      </c>
      <c r="O294" s="143" t="s">
        <v>472</v>
      </c>
      <c r="P294" s="98"/>
      <c r="Q294" s="98"/>
      <c r="R294" s="98">
        <v>6</v>
      </c>
      <c r="S294" s="98"/>
      <c r="T294" s="95">
        <v>12000</v>
      </c>
      <c r="U294" s="131" t="s">
        <v>797</v>
      </c>
      <c r="V294" s="216"/>
      <c r="W294" s="216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  <c r="AH294" s="137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  <c r="AS294" s="137"/>
      <c r="AT294" s="137"/>
      <c r="AU294" s="137"/>
      <c r="AV294" s="137"/>
      <c r="AW294" s="137"/>
      <c r="AX294" s="137"/>
      <c r="AY294" s="137"/>
      <c r="AZ294" s="137"/>
      <c r="BA294" s="137"/>
      <c r="BB294" s="137"/>
      <c r="BC294" s="137"/>
      <c r="BD294" s="137"/>
      <c r="BE294" s="137"/>
      <c r="BF294" s="137"/>
      <c r="BG294" s="137"/>
      <c r="BH294" s="137"/>
    </row>
    <row r="295" spans="1:60" s="136" customFormat="1" ht="126">
      <c r="A295" s="231" t="s">
        <v>447</v>
      </c>
      <c r="B295" s="231">
        <v>2570</v>
      </c>
      <c r="C295" s="118" t="s">
        <v>527</v>
      </c>
      <c r="D295" s="118"/>
      <c r="E295" s="118" t="s">
        <v>667</v>
      </c>
      <c r="F295" s="118" t="s">
        <v>666</v>
      </c>
      <c r="G295" s="118" t="s">
        <v>764</v>
      </c>
      <c r="H295" s="118" t="s">
        <v>201</v>
      </c>
      <c r="I295" s="118"/>
      <c r="J295" s="118" t="s">
        <v>199</v>
      </c>
      <c r="K295" s="113" t="s">
        <v>63</v>
      </c>
      <c r="L295" s="121">
        <f t="shared" si="8"/>
        <v>1498000</v>
      </c>
      <c r="M295" s="116">
        <f t="shared" si="7"/>
        <v>1</v>
      </c>
      <c r="N295" s="113" t="s">
        <v>533</v>
      </c>
      <c r="O295" s="113"/>
      <c r="P295" s="138" t="s">
        <v>472</v>
      </c>
      <c r="Q295" s="113">
        <v>1</v>
      </c>
      <c r="R295" s="113"/>
      <c r="S295" s="113" t="s">
        <v>796</v>
      </c>
      <c r="T295" s="120">
        <v>1498000</v>
      </c>
      <c r="U295" s="111" t="s">
        <v>795</v>
      </c>
      <c r="V295" s="216"/>
      <c r="W295" s="216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  <c r="AH295" s="137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  <c r="AS295" s="137"/>
      <c r="AT295" s="137"/>
      <c r="AU295" s="137"/>
      <c r="AV295" s="137"/>
      <c r="AW295" s="137"/>
      <c r="AX295" s="137"/>
      <c r="AY295" s="137"/>
      <c r="AZ295" s="137"/>
      <c r="BA295" s="137"/>
      <c r="BB295" s="137"/>
      <c r="BC295" s="137"/>
      <c r="BD295" s="137"/>
      <c r="BE295" s="137"/>
      <c r="BF295" s="137"/>
      <c r="BG295" s="137"/>
      <c r="BH295" s="137"/>
    </row>
    <row r="296" spans="1:60" s="136" customFormat="1" ht="126">
      <c r="A296" s="231" t="s">
        <v>447</v>
      </c>
      <c r="B296" s="231">
        <v>2570</v>
      </c>
      <c r="C296" s="118" t="s">
        <v>527</v>
      </c>
      <c r="D296" s="118"/>
      <c r="E296" s="118" t="s">
        <v>667</v>
      </c>
      <c r="F296" s="118" t="s">
        <v>666</v>
      </c>
      <c r="G296" s="118" t="s">
        <v>761</v>
      </c>
      <c r="H296" s="118" t="s">
        <v>354</v>
      </c>
      <c r="I296" s="118"/>
      <c r="J296" s="118" t="s">
        <v>352</v>
      </c>
      <c r="K296" s="113" t="s">
        <v>63</v>
      </c>
      <c r="L296" s="121">
        <f t="shared" si="8"/>
        <v>1498000</v>
      </c>
      <c r="M296" s="116">
        <f t="shared" si="7"/>
        <v>1</v>
      </c>
      <c r="N296" s="113" t="s">
        <v>533</v>
      </c>
      <c r="O296" s="113"/>
      <c r="P296" s="138" t="s">
        <v>472</v>
      </c>
      <c r="Q296" s="113">
        <v>1</v>
      </c>
      <c r="R296" s="113"/>
      <c r="S296" s="113" t="s">
        <v>794</v>
      </c>
      <c r="T296" s="120">
        <v>1498000</v>
      </c>
      <c r="U296" s="111" t="s">
        <v>793</v>
      </c>
      <c r="V296" s="216"/>
      <c r="W296" s="216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  <c r="AH296" s="137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  <c r="AS296" s="137"/>
      <c r="AT296" s="137"/>
      <c r="AU296" s="137"/>
      <c r="AV296" s="137"/>
      <c r="AW296" s="137"/>
      <c r="AX296" s="137"/>
      <c r="AY296" s="137"/>
      <c r="AZ296" s="137"/>
      <c r="BA296" s="137"/>
      <c r="BB296" s="137"/>
      <c r="BC296" s="137"/>
      <c r="BD296" s="137"/>
      <c r="BE296" s="137"/>
      <c r="BF296" s="137"/>
      <c r="BG296" s="137"/>
      <c r="BH296" s="137"/>
    </row>
    <row r="297" spans="1:60" s="136" customFormat="1" ht="126">
      <c r="A297" s="231" t="s">
        <v>447</v>
      </c>
      <c r="B297" s="231">
        <v>2570</v>
      </c>
      <c r="C297" s="118" t="s">
        <v>527</v>
      </c>
      <c r="D297" s="118"/>
      <c r="E297" s="118" t="s">
        <v>667</v>
      </c>
      <c r="F297" s="118" t="s">
        <v>666</v>
      </c>
      <c r="G297" s="118" t="s">
        <v>761</v>
      </c>
      <c r="H297" s="118" t="s">
        <v>156</v>
      </c>
      <c r="I297" s="118"/>
      <c r="J297" s="113" t="s">
        <v>154</v>
      </c>
      <c r="K297" s="113" t="s">
        <v>149</v>
      </c>
      <c r="L297" s="121">
        <f t="shared" si="8"/>
        <v>1498000</v>
      </c>
      <c r="M297" s="116">
        <f t="shared" si="7"/>
        <v>1</v>
      </c>
      <c r="N297" s="113" t="s">
        <v>533</v>
      </c>
      <c r="O297" s="113"/>
      <c r="P297" s="138" t="s">
        <v>472</v>
      </c>
      <c r="Q297" s="113">
        <v>1</v>
      </c>
      <c r="R297" s="113"/>
      <c r="S297" s="113" t="s">
        <v>792</v>
      </c>
      <c r="T297" s="120">
        <v>1498000</v>
      </c>
      <c r="U297" s="111" t="s">
        <v>791</v>
      </c>
      <c r="V297" s="216"/>
      <c r="W297" s="216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  <c r="AH297" s="137"/>
      <c r="AI297" s="137"/>
      <c r="AJ297" s="137"/>
      <c r="AK297" s="137"/>
      <c r="AL297" s="137"/>
      <c r="AM297" s="137"/>
      <c r="AN297" s="137"/>
      <c r="AO297" s="137"/>
      <c r="AP297" s="137"/>
      <c r="AQ297" s="137"/>
      <c r="AR297" s="137"/>
      <c r="AS297" s="137"/>
      <c r="AT297" s="137"/>
      <c r="AU297" s="137"/>
      <c r="AV297" s="137"/>
      <c r="AW297" s="137"/>
      <c r="AX297" s="137"/>
      <c r="AY297" s="137"/>
      <c r="AZ297" s="137"/>
      <c r="BA297" s="137"/>
      <c r="BB297" s="137"/>
      <c r="BC297" s="137"/>
      <c r="BD297" s="137"/>
      <c r="BE297" s="137"/>
      <c r="BF297" s="137"/>
      <c r="BG297" s="137"/>
      <c r="BH297" s="137"/>
    </row>
    <row r="298" spans="1:60" s="136" customFormat="1" ht="126">
      <c r="A298" s="231" t="s">
        <v>447</v>
      </c>
      <c r="B298" s="231">
        <v>2570</v>
      </c>
      <c r="C298" s="118" t="s">
        <v>527</v>
      </c>
      <c r="D298" s="118"/>
      <c r="E298" s="118" t="s">
        <v>667</v>
      </c>
      <c r="F298" s="118" t="s">
        <v>666</v>
      </c>
      <c r="G298" s="118" t="s">
        <v>790</v>
      </c>
      <c r="H298" s="118" t="s">
        <v>392</v>
      </c>
      <c r="I298" s="118"/>
      <c r="J298" s="118" t="s">
        <v>390</v>
      </c>
      <c r="K298" s="113" t="s">
        <v>149</v>
      </c>
      <c r="L298" s="121">
        <f t="shared" si="8"/>
        <v>1498000</v>
      </c>
      <c r="M298" s="116">
        <f t="shared" si="7"/>
        <v>1</v>
      </c>
      <c r="N298" s="113" t="s">
        <v>533</v>
      </c>
      <c r="O298" s="113"/>
      <c r="P298" s="138" t="s">
        <v>472</v>
      </c>
      <c r="Q298" s="113">
        <v>1</v>
      </c>
      <c r="R298" s="113"/>
      <c r="S298" s="113" t="s">
        <v>789</v>
      </c>
      <c r="T298" s="120">
        <v>1498000</v>
      </c>
      <c r="U298" s="111" t="s">
        <v>788</v>
      </c>
      <c r="V298" s="216"/>
      <c r="W298" s="216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/>
      <c r="AS298" s="137"/>
      <c r="AT298" s="137"/>
      <c r="AU298" s="137"/>
      <c r="AV298" s="137"/>
      <c r="AW298" s="137"/>
      <c r="AX298" s="137"/>
      <c r="AY298" s="137"/>
      <c r="AZ298" s="137"/>
      <c r="BA298" s="137"/>
      <c r="BB298" s="137"/>
      <c r="BC298" s="137"/>
      <c r="BD298" s="137"/>
      <c r="BE298" s="137"/>
      <c r="BF298" s="137"/>
      <c r="BG298" s="137"/>
      <c r="BH298" s="137"/>
    </row>
    <row r="299" spans="1:60" s="136" customFormat="1" ht="126">
      <c r="A299" s="231" t="s">
        <v>447</v>
      </c>
      <c r="B299" s="231">
        <v>2570</v>
      </c>
      <c r="C299" s="118" t="s">
        <v>527</v>
      </c>
      <c r="D299" s="118"/>
      <c r="E299" s="118" t="s">
        <v>667</v>
      </c>
      <c r="F299" s="118" t="s">
        <v>666</v>
      </c>
      <c r="G299" s="118" t="s">
        <v>761</v>
      </c>
      <c r="H299" s="118" t="s">
        <v>399</v>
      </c>
      <c r="I299" s="118"/>
      <c r="J299" s="118" t="s">
        <v>397</v>
      </c>
      <c r="K299" s="113" t="s">
        <v>149</v>
      </c>
      <c r="L299" s="121">
        <f t="shared" si="8"/>
        <v>1498000</v>
      </c>
      <c r="M299" s="116">
        <f t="shared" si="7"/>
        <v>1</v>
      </c>
      <c r="N299" s="113" t="s">
        <v>533</v>
      </c>
      <c r="O299" s="113"/>
      <c r="P299" s="138" t="s">
        <v>472</v>
      </c>
      <c r="Q299" s="116">
        <v>1</v>
      </c>
      <c r="R299" s="116"/>
      <c r="S299" s="116" t="s">
        <v>787</v>
      </c>
      <c r="T299" s="120">
        <v>1498000</v>
      </c>
      <c r="U299" s="141" t="s">
        <v>786</v>
      </c>
      <c r="V299" s="216"/>
      <c r="W299" s="216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137"/>
      <c r="AO299" s="137"/>
      <c r="AP299" s="137"/>
      <c r="AQ299" s="137"/>
      <c r="AR299" s="137"/>
      <c r="AS299" s="137"/>
      <c r="AT299" s="137"/>
      <c r="AU299" s="137"/>
      <c r="AV299" s="137"/>
      <c r="AW299" s="137"/>
      <c r="AX299" s="137"/>
      <c r="AY299" s="137"/>
      <c r="AZ299" s="137"/>
      <c r="BA299" s="137"/>
      <c r="BB299" s="137"/>
      <c r="BC299" s="137"/>
      <c r="BD299" s="137"/>
      <c r="BE299" s="137"/>
      <c r="BF299" s="137"/>
      <c r="BG299" s="137"/>
      <c r="BH299" s="137"/>
    </row>
    <row r="300" spans="1:60" s="136" customFormat="1" ht="126">
      <c r="A300" s="231" t="s">
        <v>447</v>
      </c>
      <c r="B300" s="231">
        <v>2570</v>
      </c>
      <c r="C300" s="118" t="s">
        <v>527</v>
      </c>
      <c r="D300" s="118"/>
      <c r="E300" s="118" t="s">
        <v>667</v>
      </c>
      <c r="F300" s="118" t="s">
        <v>666</v>
      </c>
      <c r="G300" s="118" t="s">
        <v>761</v>
      </c>
      <c r="H300" s="118" t="s">
        <v>145</v>
      </c>
      <c r="I300" s="118"/>
      <c r="J300" s="118" t="s">
        <v>143</v>
      </c>
      <c r="K300" s="113" t="s">
        <v>63</v>
      </c>
      <c r="L300" s="121">
        <f t="shared" si="8"/>
        <v>1498000</v>
      </c>
      <c r="M300" s="116">
        <f t="shared" si="7"/>
        <v>1</v>
      </c>
      <c r="N300" s="113" t="s">
        <v>533</v>
      </c>
      <c r="O300" s="113"/>
      <c r="P300" s="138" t="s">
        <v>472</v>
      </c>
      <c r="Q300" s="113">
        <v>1</v>
      </c>
      <c r="R300" s="113"/>
      <c r="S300" s="113" t="s">
        <v>785</v>
      </c>
      <c r="T300" s="120">
        <v>1498000</v>
      </c>
      <c r="U300" s="111" t="s">
        <v>784</v>
      </c>
      <c r="V300" s="216"/>
      <c r="W300" s="216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137"/>
      <c r="AO300" s="137"/>
      <c r="AP300" s="137"/>
      <c r="AQ300" s="137"/>
      <c r="AR300" s="137"/>
      <c r="AS300" s="137"/>
      <c r="AT300" s="137"/>
      <c r="AU300" s="137"/>
      <c r="AV300" s="137"/>
      <c r="AW300" s="137"/>
      <c r="AX300" s="137"/>
      <c r="AY300" s="137"/>
      <c r="AZ300" s="137"/>
      <c r="BA300" s="137"/>
      <c r="BB300" s="137"/>
      <c r="BC300" s="137"/>
      <c r="BD300" s="137"/>
      <c r="BE300" s="137"/>
      <c r="BF300" s="137"/>
      <c r="BG300" s="137"/>
      <c r="BH300" s="137"/>
    </row>
    <row r="301" spans="1:60" s="136" customFormat="1" ht="126">
      <c r="A301" s="231" t="s">
        <v>447</v>
      </c>
      <c r="B301" s="231">
        <v>2570</v>
      </c>
      <c r="C301" s="118" t="s">
        <v>527</v>
      </c>
      <c r="D301" s="118"/>
      <c r="E301" s="118" t="s">
        <v>667</v>
      </c>
      <c r="F301" s="118" t="s">
        <v>666</v>
      </c>
      <c r="G301" s="118" t="s">
        <v>761</v>
      </c>
      <c r="H301" s="118" t="s">
        <v>262</v>
      </c>
      <c r="I301" s="118"/>
      <c r="J301" s="118" t="s">
        <v>260</v>
      </c>
      <c r="K301" s="113" t="s">
        <v>63</v>
      </c>
      <c r="L301" s="121">
        <f t="shared" si="8"/>
        <v>1498000</v>
      </c>
      <c r="M301" s="116">
        <f t="shared" si="7"/>
        <v>1</v>
      </c>
      <c r="N301" s="113" t="s">
        <v>533</v>
      </c>
      <c r="O301" s="113"/>
      <c r="P301" s="138" t="s">
        <v>472</v>
      </c>
      <c r="Q301" s="113">
        <v>1</v>
      </c>
      <c r="R301" s="113"/>
      <c r="S301" s="113" t="s">
        <v>783</v>
      </c>
      <c r="T301" s="120">
        <v>1498000</v>
      </c>
      <c r="U301" s="111" t="s">
        <v>782</v>
      </c>
      <c r="V301" s="216"/>
      <c r="W301" s="216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  <c r="AM301" s="137"/>
      <c r="AN301" s="137"/>
      <c r="AO301" s="137"/>
      <c r="AP301" s="137"/>
      <c r="AQ301" s="137"/>
      <c r="AR301" s="137"/>
      <c r="AS301" s="137"/>
      <c r="AT301" s="137"/>
      <c r="AU301" s="137"/>
      <c r="AV301" s="137"/>
      <c r="AW301" s="137"/>
      <c r="AX301" s="137"/>
      <c r="AY301" s="137"/>
      <c r="AZ301" s="137"/>
      <c r="BA301" s="137"/>
      <c r="BB301" s="137"/>
      <c r="BC301" s="137"/>
      <c r="BD301" s="137"/>
      <c r="BE301" s="137"/>
      <c r="BF301" s="137"/>
      <c r="BG301" s="137"/>
      <c r="BH301" s="137"/>
    </row>
    <row r="302" spans="1:60" s="136" customFormat="1" ht="126">
      <c r="A302" s="231" t="s">
        <v>447</v>
      </c>
      <c r="B302" s="231">
        <v>2570</v>
      </c>
      <c r="C302" s="118" t="s">
        <v>527</v>
      </c>
      <c r="D302" s="118"/>
      <c r="E302" s="118" t="s">
        <v>667</v>
      </c>
      <c r="F302" s="118" t="s">
        <v>666</v>
      </c>
      <c r="G302" s="118" t="s">
        <v>761</v>
      </c>
      <c r="H302" s="118" t="s">
        <v>457</v>
      </c>
      <c r="I302" s="118"/>
      <c r="J302" s="118" t="s">
        <v>441</v>
      </c>
      <c r="K302" s="113" t="s">
        <v>40</v>
      </c>
      <c r="L302" s="121">
        <f t="shared" si="8"/>
        <v>1498000</v>
      </c>
      <c r="M302" s="116">
        <f t="shared" si="7"/>
        <v>1</v>
      </c>
      <c r="N302" s="113" t="s">
        <v>533</v>
      </c>
      <c r="O302" s="116"/>
      <c r="P302" s="138" t="s">
        <v>472</v>
      </c>
      <c r="Q302" s="116">
        <v>1</v>
      </c>
      <c r="R302" s="116"/>
      <c r="S302" s="116" t="s">
        <v>781</v>
      </c>
      <c r="T302" s="120">
        <v>1498000</v>
      </c>
      <c r="U302" s="141" t="s">
        <v>780</v>
      </c>
      <c r="V302" s="216"/>
      <c r="W302" s="216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137"/>
      <c r="AO302" s="137"/>
      <c r="AP302" s="137"/>
      <c r="AQ302" s="137"/>
      <c r="AR302" s="137"/>
      <c r="AS302" s="137"/>
      <c r="AT302" s="137"/>
      <c r="AU302" s="137"/>
      <c r="AV302" s="137"/>
      <c r="AW302" s="137"/>
      <c r="AX302" s="137"/>
      <c r="AY302" s="137"/>
      <c r="AZ302" s="137"/>
      <c r="BA302" s="137"/>
      <c r="BB302" s="137"/>
      <c r="BC302" s="137"/>
      <c r="BD302" s="137"/>
      <c r="BE302" s="137"/>
      <c r="BF302" s="137"/>
      <c r="BG302" s="137"/>
      <c r="BH302" s="137"/>
    </row>
    <row r="303" spans="1:60" s="136" customFormat="1" ht="126">
      <c r="A303" s="231" t="s">
        <v>447</v>
      </c>
      <c r="B303" s="231">
        <v>2570</v>
      </c>
      <c r="C303" s="118" t="s">
        <v>527</v>
      </c>
      <c r="D303" s="118"/>
      <c r="E303" s="118" t="s">
        <v>667</v>
      </c>
      <c r="F303" s="118" t="s">
        <v>666</v>
      </c>
      <c r="G303" s="118" t="s">
        <v>761</v>
      </c>
      <c r="H303" s="118" t="s">
        <v>39</v>
      </c>
      <c r="I303" s="118"/>
      <c r="J303" s="118" t="s">
        <v>34</v>
      </c>
      <c r="K303" s="113" t="s">
        <v>13</v>
      </c>
      <c r="L303" s="121">
        <f t="shared" si="8"/>
        <v>1498000</v>
      </c>
      <c r="M303" s="116">
        <f t="shared" si="7"/>
        <v>1</v>
      </c>
      <c r="N303" s="113" t="s">
        <v>533</v>
      </c>
      <c r="O303" s="113"/>
      <c r="P303" s="138" t="s">
        <v>472</v>
      </c>
      <c r="Q303" s="113">
        <v>1</v>
      </c>
      <c r="R303" s="113"/>
      <c r="S303" s="113" t="s">
        <v>779</v>
      </c>
      <c r="T303" s="120">
        <v>1498000</v>
      </c>
      <c r="U303" s="111" t="s">
        <v>778</v>
      </c>
      <c r="V303" s="216"/>
      <c r="W303" s="216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  <c r="AH303" s="137"/>
      <c r="AI303" s="137"/>
      <c r="AJ303" s="137"/>
      <c r="AK303" s="137"/>
      <c r="AL303" s="137"/>
      <c r="AM303" s="137"/>
      <c r="AN303" s="137"/>
      <c r="AO303" s="137"/>
      <c r="AP303" s="137"/>
      <c r="AQ303" s="137"/>
      <c r="AR303" s="137"/>
      <c r="AS303" s="137"/>
      <c r="AT303" s="137"/>
      <c r="AU303" s="137"/>
      <c r="AV303" s="137"/>
      <c r="AW303" s="137"/>
      <c r="AX303" s="137"/>
      <c r="AY303" s="137"/>
      <c r="AZ303" s="137"/>
      <c r="BA303" s="137"/>
      <c r="BB303" s="137"/>
      <c r="BC303" s="137"/>
      <c r="BD303" s="137"/>
      <c r="BE303" s="137"/>
      <c r="BF303" s="137"/>
      <c r="BG303" s="137"/>
      <c r="BH303" s="137"/>
    </row>
    <row r="304" spans="1:60" s="136" customFormat="1" ht="126">
      <c r="A304" s="231" t="s">
        <v>447</v>
      </c>
      <c r="B304" s="231">
        <v>2570</v>
      </c>
      <c r="C304" s="118" t="s">
        <v>527</v>
      </c>
      <c r="D304" s="118"/>
      <c r="E304" s="118" t="s">
        <v>667</v>
      </c>
      <c r="F304" s="118" t="s">
        <v>666</v>
      </c>
      <c r="G304" s="118" t="s">
        <v>761</v>
      </c>
      <c r="H304" s="118" t="s">
        <v>121</v>
      </c>
      <c r="I304" s="118"/>
      <c r="J304" s="118" t="s">
        <v>119</v>
      </c>
      <c r="K304" s="113" t="s">
        <v>63</v>
      </c>
      <c r="L304" s="121">
        <f t="shared" si="8"/>
        <v>1498000</v>
      </c>
      <c r="M304" s="116">
        <f t="shared" si="7"/>
        <v>1</v>
      </c>
      <c r="N304" s="113" t="s">
        <v>533</v>
      </c>
      <c r="O304" s="113"/>
      <c r="P304" s="138" t="s">
        <v>472</v>
      </c>
      <c r="Q304" s="113">
        <v>1</v>
      </c>
      <c r="R304" s="113"/>
      <c r="S304" s="113" t="s">
        <v>777</v>
      </c>
      <c r="T304" s="120">
        <v>1498000</v>
      </c>
      <c r="U304" s="111" t="s">
        <v>776</v>
      </c>
      <c r="V304" s="216"/>
      <c r="W304" s="216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  <c r="AH304" s="137"/>
      <c r="AI304" s="137"/>
      <c r="AJ304" s="137"/>
      <c r="AK304" s="137"/>
      <c r="AL304" s="137"/>
      <c r="AM304" s="137"/>
      <c r="AN304" s="137"/>
      <c r="AO304" s="137"/>
      <c r="AP304" s="137"/>
      <c r="AQ304" s="137"/>
      <c r="AR304" s="137"/>
      <c r="AS304" s="137"/>
      <c r="AT304" s="137"/>
      <c r="AU304" s="137"/>
      <c r="AV304" s="137"/>
      <c r="AW304" s="137"/>
      <c r="AX304" s="137"/>
      <c r="AY304" s="137"/>
      <c r="AZ304" s="137"/>
      <c r="BA304" s="137"/>
      <c r="BB304" s="137"/>
      <c r="BC304" s="137"/>
      <c r="BD304" s="137"/>
      <c r="BE304" s="137"/>
      <c r="BF304" s="137"/>
      <c r="BG304" s="137"/>
      <c r="BH304" s="137"/>
    </row>
    <row r="305" spans="1:60" s="136" customFormat="1" ht="126">
      <c r="A305" s="231" t="s">
        <v>447</v>
      </c>
      <c r="B305" s="231">
        <v>2570</v>
      </c>
      <c r="C305" s="118" t="s">
        <v>527</v>
      </c>
      <c r="D305" s="118"/>
      <c r="E305" s="118" t="s">
        <v>667</v>
      </c>
      <c r="F305" s="118" t="s">
        <v>666</v>
      </c>
      <c r="G305" s="118" t="s">
        <v>761</v>
      </c>
      <c r="H305" s="118" t="s">
        <v>259</v>
      </c>
      <c r="I305" s="118"/>
      <c r="J305" s="118" t="s">
        <v>257</v>
      </c>
      <c r="K305" s="113" t="s">
        <v>63</v>
      </c>
      <c r="L305" s="121">
        <f t="shared" si="8"/>
        <v>1498000</v>
      </c>
      <c r="M305" s="116">
        <f t="shared" si="7"/>
        <v>1</v>
      </c>
      <c r="N305" s="113" t="s">
        <v>533</v>
      </c>
      <c r="O305" s="113"/>
      <c r="P305" s="138" t="s">
        <v>472</v>
      </c>
      <c r="Q305" s="113">
        <v>1</v>
      </c>
      <c r="R305" s="113"/>
      <c r="S305" s="113" t="s">
        <v>775</v>
      </c>
      <c r="T305" s="120">
        <v>1498000</v>
      </c>
      <c r="U305" s="111" t="s">
        <v>774</v>
      </c>
      <c r="V305" s="216"/>
      <c r="W305" s="216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  <c r="AH305" s="137"/>
      <c r="AI305" s="137"/>
      <c r="AJ305" s="137"/>
      <c r="AK305" s="137"/>
      <c r="AL305" s="137"/>
      <c r="AM305" s="137"/>
      <c r="AN305" s="137"/>
      <c r="AO305" s="137"/>
      <c r="AP305" s="137"/>
      <c r="AQ305" s="137"/>
      <c r="AR305" s="137"/>
      <c r="AS305" s="137"/>
      <c r="AT305" s="137"/>
      <c r="AU305" s="137"/>
      <c r="AV305" s="137"/>
      <c r="AW305" s="137"/>
      <c r="AX305" s="137"/>
      <c r="AY305" s="137"/>
      <c r="AZ305" s="137"/>
      <c r="BA305" s="137"/>
      <c r="BB305" s="137"/>
      <c r="BC305" s="137"/>
      <c r="BD305" s="137"/>
      <c r="BE305" s="137"/>
      <c r="BF305" s="137"/>
      <c r="BG305" s="137"/>
      <c r="BH305" s="137"/>
    </row>
    <row r="306" spans="1:60" s="136" customFormat="1" ht="126">
      <c r="A306" s="231" t="s">
        <v>447</v>
      </c>
      <c r="B306" s="231">
        <v>2570</v>
      </c>
      <c r="C306" s="118" t="s">
        <v>527</v>
      </c>
      <c r="D306" s="118"/>
      <c r="E306" s="118" t="s">
        <v>667</v>
      </c>
      <c r="F306" s="118" t="s">
        <v>666</v>
      </c>
      <c r="G306" s="118" t="s">
        <v>761</v>
      </c>
      <c r="H306" s="118" t="s">
        <v>451</v>
      </c>
      <c r="I306" s="118"/>
      <c r="J306" s="118" t="s">
        <v>444</v>
      </c>
      <c r="K306" s="113" t="s">
        <v>13</v>
      </c>
      <c r="L306" s="121">
        <f t="shared" si="8"/>
        <v>1498000</v>
      </c>
      <c r="M306" s="116">
        <f t="shared" ref="M306:M369" si="9">Q306+R306</f>
        <v>1</v>
      </c>
      <c r="N306" s="113" t="s">
        <v>533</v>
      </c>
      <c r="O306" s="116"/>
      <c r="P306" s="138" t="s">
        <v>472</v>
      </c>
      <c r="Q306" s="116">
        <v>1</v>
      </c>
      <c r="R306" s="116"/>
      <c r="S306" s="116" t="s">
        <v>773</v>
      </c>
      <c r="T306" s="120">
        <v>1498000</v>
      </c>
      <c r="U306" s="140" t="s">
        <v>772</v>
      </c>
      <c r="V306" s="216"/>
      <c r="W306" s="216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  <c r="AH306" s="137"/>
      <c r="AI306" s="137"/>
      <c r="AJ306" s="137"/>
      <c r="AK306" s="137"/>
      <c r="AL306" s="137"/>
      <c r="AM306" s="137"/>
      <c r="AN306" s="137"/>
      <c r="AO306" s="137"/>
      <c r="AP306" s="137"/>
      <c r="AQ306" s="137"/>
      <c r="AR306" s="137"/>
      <c r="AS306" s="137"/>
      <c r="AT306" s="137"/>
      <c r="AU306" s="137"/>
      <c r="AV306" s="137"/>
      <c r="AW306" s="137"/>
      <c r="AX306" s="137"/>
      <c r="AY306" s="137"/>
      <c r="AZ306" s="137"/>
      <c r="BA306" s="137"/>
      <c r="BB306" s="137"/>
      <c r="BC306" s="137"/>
      <c r="BD306" s="137"/>
      <c r="BE306" s="137"/>
      <c r="BF306" s="137"/>
      <c r="BG306" s="137"/>
      <c r="BH306" s="137"/>
    </row>
    <row r="307" spans="1:60" s="136" customFormat="1" ht="126">
      <c r="A307" s="231" t="s">
        <v>447</v>
      </c>
      <c r="B307" s="231">
        <v>2570</v>
      </c>
      <c r="C307" s="118" t="s">
        <v>527</v>
      </c>
      <c r="D307" s="118"/>
      <c r="E307" s="118" t="s">
        <v>667</v>
      </c>
      <c r="F307" s="118" t="s">
        <v>666</v>
      </c>
      <c r="G307" s="118" t="s">
        <v>761</v>
      </c>
      <c r="H307" s="118" t="s">
        <v>243</v>
      </c>
      <c r="I307" s="118"/>
      <c r="J307" s="118" t="s">
        <v>241</v>
      </c>
      <c r="K307" s="113" t="s">
        <v>40</v>
      </c>
      <c r="L307" s="121">
        <f t="shared" si="8"/>
        <v>1498000</v>
      </c>
      <c r="M307" s="116">
        <f t="shared" si="9"/>
        <v>1</v>
      </c>
      <c r="N307" s="113" t="s">
        <v>533</v>
      </c>
      <c r="O307" s="113"/>
      <c r="P307" s="138" t="s">
        <v>472</v>
      </c>
      <c r="Q307" s="113">
        <v>1</v>
      </c>
      <c r="R307" s="116"/>
      <c r="S307" s="116" t="s">
        <v>771</v>
      </c>
      <c r="T307" s="120">
        <v>1498000</v>
      </c>
      <c r="U307" s="111" t="s">
        <v>770</v>
      </c>
      <c r="V307" s="216"/>
      <c r="W307" s="216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  <c r="AH307" s="137"/>
      <c r="AI307" s="137"/>
      <c r="AJ307" s="137"/>
      <c r="AK307" s="137"/>
      <c r="AL307" s="137"/>
      <c r="AM307" s="137"/>
      <c r="AN307" s="137"/>
      <c r="AO307" s="137"/>
      <c r="AP307" s="137"/>
      <c r="AQ307" s="137"/>
      <c r="AR307" s="137"/>
      <c r="AS307" s="137"/>
      <c r="AT307" s="137"/>
      <c r="AU307" s="137"/>
      <c r="AV307" s="137"/>
      <c r="AW307" s="137"/>
      <c r="AX307" s="137"/>
      <c r="AY307" s="137"/>
      <c r="AZ307" s="137"/>
      <c r="BA307" s="137"/>
      <c r="BB307" s="137"/>
      <c r="BC307" s="137"/>
      <c r="BD307" s="137"/>
      <c r="BE307" s="137"/>
      <c r="BF307" s="137"/>
      <c r="BG307" s="137"/>
      <c r="BH307" s="137"/>
    </row>
    <row r="308" spans="1:60" s="136" customFormat="1" ht="126">
      <c r="A308" s="231" t="s">
        <v>447</v>
      </c>
      <c r="B308" s="231">
        <v>2570</v>
      </c>
      <c r="C308" s="118" t="s">
        <v>527</v>
      </c>
      <c r="D308" s="118"/>
      <c r="E308" s="118" t="s">
        <v>667</v>
      </c>
      <c r="F308" s="118" t="s">
        <v>666</v>
      </c>
      <c r="G308" s="118" t="s">
        <v>761</v>
      </c>
      <c r="H308" s="118" t="s">
        <v>223</v>
      </c>
      <c r="I308" s="118"/>
      <c r="J308" s="118" t="s">
        <v>221</v>
      </c>
      <c r="K308" s="113" t="s">
        <v>149</v>
      </c>
      <c r="L308" s="121">
        <f t="shared" si="8"/>
        <v>1498000</v>
      </c>
      <c r="M308" s="116">
        <f t="shared" si="9"/>
        <v>1</v>
      </c>
      <c r="N308" s="113" t="s">
        <v>533</v>
      </c>
      <c r="O308" s="113"/>
      <c r="P308" s="138" t="s">
        <v>472</v>
      </c>
      <c r="Q308" s="113">
        <v>1</v>
      </c>
      <c r="R308" s="113"/>
      <c r="S308" s="113" t="s">
        <v>769</v>
      </c>
      <c r="T308" s="120">
        <v>1498000</v>
      </c>
      <c r="U308" s="111" t="s">
        <v>768</v>
      </c>
      <c r="V308" s="216"/>
      <c r="W308" s="216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137"/>
      <c r="AO308" s="137"/>
      <c r="AP308" s="137"/>
      <c r="AQ308" s="137"/>
      <c r="AR308" s="137"/>
      <c r="AS308" s="137"/>
      <c r="AT308" s="137"/>
      <c r="AU308" s="137"/>
      <c r="AV308" s="137"/>
      <c r="AW308" s="137"/>
      <c r="AX308" s="137"/>
      <c r="AY308" s="137"/>
      <c r="AZ308" s="137"/>
      <c r="BA308" s="137"/>
      <c r="BB308" s="137"/>
      <c r="BC308" s="137"/>
      <c r="BD308" s="137"/>
      <c r="BE308" s="137"/>
      <c r="BF308" s="137"/>
      <c r="BG308" s="137"/>
      <c r="BH308" s="137"/>
    </row>
    <row r="309" spans="1:60" s="136" customFormat="1" ht="126">
      <c r="A309" s="231" t="s">
        <v>447</v>
      </c>
      <c r="B309" s="231">
        <v>2570</v>
      </c>
      <c r="C309" s="118" t="s">
        <v>527</v>
      </c>
      <c r="D309" s="118"/>
      <c r="E309" s="118" t="s">
        <v>667</v>
      </c>
      <c r="F309" s="118" t="s">
        <v>666</v>
      </c>
      <c r="G309" s="118" t="s">
        <v>767</v>
      </c>
      <c r="H309" s="118" t="s">
        <v>45</v>
      </c>
      <c r="I309" s="118"/>
      <c r="J309" s="118" t="s">
        <v>41</v>
      </c>
      <c r="K309" s="113" t="s">
        <v>40</v>
      </c>
      <c r="L309" s="121">
        <f t="shared" si="8"/>
        <v>1498000</v>
      </c>
      <c r="M309" s="116">
        <f t="shared" si="9"/>
        <v>1</v>
      </c>
      <c r="N309" s="113" t="s">
        <v>533</v>
      </c>
      <c r="O309" s="113"/>
      <c r="P309" s="138" t="s">
        <v>472</v>
      </c>
      <c r="Q309" s="113">
        <v>1</v>
      </c>
      <c r="R309" s="113"/>
      <c r="S309" s="113" t="s">
        <v>766</v>
      </c>
      <c r="T309" s="120">
        <v>1498000</v>
      </c>
      <c r="U309" s="111" t="s">
        <v>765</v>
      </c>
      <c r="V309" s="216"/>
      <c r="W309" s="216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  <c r="AH309" s="137"/>
      <c r="AI309" s="137"/>
      <c r="AJ309" s="137"/>
      <c r="AK309" s="137"/>
      <c r="AL309" s="137"/>
      <c r="AM309" s="137"/>
      <c r="AN309" s="137"/>
      <c r="AO309" s="137"/>
      <c r="AP309" s="137"/>
      <c r="AQ309" s="137"/>
      <c r="AR309" s="137"/>
      <c r="AS309" s="137"/>
      <c r="AT309" s="137"/>
      <c r="AU309" s="137"/>
      <c r="AV309" s="137"/>
      <c r="AW309" s="137"/>
      <c r="AX309" s="137"/>
      <c r="AY309" s="137"/>
      <c r="AZ309" s="137"/>
      <c r="BA309" s="137"/>
      <c r="BB309" s="137"/>
      <c r="BC309" s="137"/>
      <c r="BD309" s="137"/>
      <c r="BE309" s="137"/>
      <c r="BF309" s="137"/>
      <c r="BG309" s="137"/>
      <c r="BH309" s="137"/>
    </row>
    <row r="310" spans="1:60" s="136" customFormat="1" ht="126">
      <c r="A310" s="231" t="s">
        <v>447</v>
      </c>
      <c r="B310" s="231">
        <v>2570</v>
      </c>
      <c r="C310" s="118" t="s">
        <v>527</v>
      </c>
      <c r="D310" s="118"/>
      <c r="E310" s="118" t="s">
        <v>667</v>
      </c>
      <c r="F310" s="118" t="s">
        <v>666</v>
      </c>
      <c r="G310" s="118" t="s">
        <v>764</v>
      </c>
      <c r="H310" s="118" t="s">
        <v>50</v>
      </c>
      <c r="I310" s="118"/>
      <c r="J310" s="118" t="s">
        <v>679</v>
      </c>
      <c r="K310" s="113" t="s">
        <v>40</v>
      </c>
      <c r="L310" s="121">
        <f t="shared" si="8"/>
        <v>1498000</v>
      </c>
      <c r="M310" s="116">
        <f t="shared" si="9"/>
        <v>1</v>
      </c>
      <c r="N310" s="113" t="s">
        <v>533</v>
      </c>
      <c r="O310" s="113"/>
      <c r="P310" s="138" t="s">
        <v>472</v>
      </c>
      <c r="Q310" s="113">
        <v>1</v>
      </c>
      <c r="R310" s="113"/>
      <c r="S310" s="113" t="s">
        <v>763</v>
      </c>
      <c r="T310" s="120">
        <v>1498000</v>
      </c>
      <c r="U310" s="111" t="s">
        <v>762</v>
      </c>
      <c r="V310" s="216"/>
      <c r="W310" s="216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  <c r="AT310" s="137"/>
      <c r="AU310" s="137"/>
      <c r="AV310" s="137"/>
      <c r="AW310" s="137"/>
      <c r="AX310" s="137"/>
      <c r="AY310" s="137"/>
      <c r="AZ310" s="137"/>
      <c r="BA310" s="137"/>
      <c r="BB310" s="137"/>
      <c r="BC310" s="137"/>
      <c r="BD310" s="137"/>
      <c r="BE310" s="137"/>
      <c r="BF310" s="137"/>
      <c r="BG310" s="137"/>
      <c r="BH310" s="137"/>
    </row>
    <row r="311" spans="1:60" s="136" customFormat="1" ht="126">
      <c r="A311" s="231" t="s">
        <v>447</v>
      </c>
      <c r="B311" s="231">
        <v>2570</v>
      </c>
      <c r="C311" s="118" t="s">
        <v>527</v>
      </c>
      <c r="D311" s="118"/>
      <c r="E311" s="118" t="s">
        <v>667</v>
      </c>
      <c r="F311" s="118" t="s">
        <v>666</v>
      </c>
      <c r="G311" s="118" t="s">
        <v>761</v>
      </c>
      <c r="H311" s="118" t="s">
        <v>62</v>
      </c>
      <c r="I311" s="118"/>
      <c r="J311" s="118" t="s">
        <v>760</v>
      </c>
      <c r="K311" s="113" t="s">
        <v>40</v>
      </c>
      <c r="L311" s="121">
        <f t="shared" si="8"/>
        <v>1498000</v>
      </c>
      <c r="M311" s="116">
        <f t="shared" si="9"/>
        <v>1</v>
      </c>
      <c r="N311" s="113" t="s">
        <v>533</v>
      </c>
      <c r="O311" s="113"/>
      <c r="P311" s="138" t="s">
        <v>472</v>
      </c>
      <c r="Q311" s="113">
        <v>1</v>
      </c>
      <c r="R311" s="113"/>
      <c r="S311" s="113" t="s">
        <v>759</v>
      </c>
      <c r="T311" s="120">
        <v>1498000</v>
      </c>
      <c r="U311" s="111" t="s">
        <v>758</v>
      </c>
      <c r="V311" s="216"/>
      <c r="W311" s="216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  <c r="AT311" s="137"/>
      <c r="AU311" s="137"/>
      <c r="AV311" s="137"/>
      <c r="AW311" s="137"/>
      <c r="AX311" s="137"/>
      <c r="AY311" s="137"/>
      <c r="AZ311" s="137"/>
      <c r="BA311" s="137"/>
      <c r="BB311" s="137"/>
      <c r="BC311" s="137"/>
      <c r="BD311" s="137"/>
      <c r="BE311" s="137"/>
      <c r="BF311" s="137"/>
      <c r="BG311" s="137"/>
      <c r="BH311" s="137"/>
    </row>
    <row r="312" spans="1:60" s="136" customFormat="1" ht="126">
      <c r="A312" s="231" t="s">
        <v>447</v>
      </c>
      <c r="B312" s="231">
        <v>2570</v>
      </c>
      <c r="C312" s="118" t="s">
        <v>527</v>
      </c>
      <c r="D312" s="118"/>
      <c r="E312" s="118" t="s">
        <v>667</v>
      </c>
      <c r="F312" s="118" t="s">
        <v>666</v>
      </c>
      <c r="G312" s="118" t="s">
        <v>731</v>
      </c>
      <c r="H312" s="118" t="s">
        <v>156</v>
      </c>
      <c r="I312" s="118"/>
      <c r="J312" s="113" t="s">
        <v>154</v>
      </c>
      <c r="K312" s="113" t="s">
        <v>149</v>
      </c>
      <c r="L312" s="121">
        <f t="shared" si="8"/>
        <v>970900</v>
      </c>
      <c r="M312" s="116">
        <f t="shared" si="9"/>
        <v>1</v>
      </c>
      <c r="N312" s="113" t="s">
        <v>533</v>
      </c>
      <c r="O312" s="138" t="s">
        <v>472</v>
      </c>
      <c r="P312" s="113"/>
      <c r="Q312" s="113">
        <v>1</v>
      </c>
      <c r="R312" s="113"/>
      <c r="S312" s="113" t="s">
        <v>757</v>
      </c>
      <c r="T312" s="120">
        <v>970900</v>
      </c>
      <c r="U312" s="111" t="s">
        <v>756</v>
      </c>
      <c r="V312" s="216"/>
      <c r="W312" s="216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/>
      <c r="AT312" s="137"/>
      <c r="AU312" s="137"/>
      <c r="AV312" s="137"/>
      <c r="AW312" s="137"/>
      <c r="AX312" s="137"/>
      <c r="AY312" s="137"/>
      <c r="AZ312" s="137"/>
      <c r="BA312" s="137"/>
      <c r="BB312" s="137"/>
      <c r="BC312" s="137"/>
      <c r="BD312" s="137"/>
      <c r="BE312" s="137"/>
      <c r="BF312" s="137"/>
      <c r="BG312" s="137"/>
      <c r="BH312" s="137"/>
    </row>
    <row r="313" spans="1:60" s="136" customFormat="1" ht="126">
      <c r="A313" s="231" t="s">
        <v>447</v>
      </c>
      <c r="B313" s="231">
        <v>2570</v>
      </c>
      <c r="C313" s="118" t="s">
        <v>527</v>
      </c>
      <c r="D313" s="118"/>
      <c r="E313" s="118" t="s">
        <v>667</v>
      </c>
      <c r="F313" s="118" t="s">
        <v>666</v>
      </c>
      <c r="G313" s="118" t="s">
        <v>731</v>
      </c>
      <c r="H313" s="118" t="s">
        <v>232</v>
      </c>
      <c r="I313" s="118"/>
      <c r="J313" s="118" t="s">
        <v>230</v>
      </c>
      <c r="K313" s="113" t="s">
        <v>13</v>
      </c>
      <c r="L313" s="121">
        <f t="shared" si="8"/>
        <v>970900</v>
      </c>
      <c r="M313" s="116">
        <f t="shared" si="9"/>
        <v>1</v>
      </c>
      <c r="N313" s="113" t="s">
        <v>533</v>
      </c>
      <c r="O313" s="138" t="s">
        <v>472</v>
      </c>
      <c r="P313" s="113"/>
      <c r="Q313" s="113">
        <v>1</v>
      </c>
      <c r="R313" s="113"/>
      <c r="S313" s="113" t="s">
        <v>755</v>
      </c>
      <c r="T313" s="120">
        <v>970900</v>
      </c>
      <c r="U313" s="141" t="s">
        <v>754</v>
      </c>
      <c r="V313" s="216"/>
      <c r="W313" s="216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  <c r="AT313" s="137"/>
      <c r="AU313" s="137"/>
      <c r="AV313" s="137"/>
      <c r="AW313" s="137"/>
      <c r="AX313" s="137"/>
      <c r="AY313" s="137"/>
      <c r="AZ313" s="137"/>
      <c r="BA313" s="137"/>
      <c r="BB313" s="137"/>
      <c r="BC313" s="137"/>
      <c r="BD313" s="137"/>
      <c r="BE313" s="137"/>
      <c r="BF313" s="137"/>
      <c r="BG313" s="137"/>
      <c r="BH313" s="137"/>
    </row>
    <row r="314" spans="1:60" s="136" customFormat="1" ht="126">
      <c r="A314" s="231" t="s">
        <v>447</v>
      </c>
      <c r="B314" s="231">
        <v>2570</v>
      </c>
      <c r="C314" s="118" t="s">
        <v>527</v>
      </c>
      <c r="D314" s="118"/>
      <c r="E314" s="118" t="s">
        <v>667</v>
      </c>
      <c r="F314" s="118" t="s">
        <v>666</v>
      </c>
      <c r="G314" s="118" t="s">
        <v>731</v>
      </c>
      <c r="H314" s="118" t="s">
        <v>300</v>
      </c>
      <c r="I314" s="118"/>
      <c r="J314" s="118" t="s">
        <v>298</v>
      </c>
      <c r="K314" s="113" t="s">
        <v>149</v>
      </c>
      <c r="L314" s="121">
        <f t="shared" si="8"/>
        <v>970900</v>
      </c>
      <c r="M314" s="116">
        <f t="shared" si="9"/>
        <v>1</v>
      </c>
      <c r="N314" s="113" t="s">
        <v>533</v>
      </c>
      <c r="O314" s="138" t="s">
        <v>472</v>
      </c>
      <c r="P314" s="113"/>
      <c r="Q314" s="113">
        <v>1</v>
      </c>
      <c r="R314" s="113"/>
      <c r="S314" s="113" t="s">
        <v>753</v>
      </c>
      <c r="T314" s="120">
        <v>970900</v>
      </c>
      <c r="U314" s="111" t="s">
        <v>752</v>
      </c>
      <c r="V314" s="216"/>
      <c r="W314" s="216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/>
      <c r="AT314" s="137"/>
      <c r="AU314" s="137"/>
      <c r="AV314" s="137"/>
      <c r="AW314" s="137"/>
      <c r="AX314" s="137"/>
      <c r="AY314" s="137"/>
      <c r="AZ314" s="137"/>
      <c r="BA314" s="137"/>
      <c r="BB314" s="137"/>
      <c r="BC314" s="137"/>
      <c r="BD314" s="137"/>
      <c r="BE314" s="137"/>
      <c r="BF314" s="137"/>
      <c r="BG314" s="137"/>
      <c r="BH314" s="137"/>
    </row>
    <row r="315" spans="1:60" s="136" customFormat="1" ht="126">
      <c r="A315" s="231" t="s">
        <v>447</v>
      </c>
      <c r="B315" s="231">
        <v>2570</v>
      </c>
      <c r="C315" s="118" t="s">
        <v>527</v>
      </c>
      <c r="D315" s="118"/>
      <c r="E315" s="118" t="s">
        <v>667</v>
      </c>
      <c r="F315" s="118" t="s">
        <v>666</v>
      </c>
      <c r="G315" s="118" t="s">
        <v>731</v>
      </c>
      <c r="H315" s="118" t="s">
        <v>458</v>
      </c>
      <c r="I315" s="118"/>
      <c r="J315" s="118" t="s">
        <v>440</v>
      </c>
      <c r="K315" s="113" t="s">
        <v>40</v>
      </c>
      <c r="L315" s="121">
        <f t="shared" si="8"/>
        <v>970900</v>
      </c>
      <c r="M315" s="116">
        <f t="shared" si="9"/>
        <v>1</v>
      </c>
      <c r="N315" s="113" t="s">
        <v>533</v>
      </c>
      <c r="O315" s="138" t="s">
        <v>472</v>
      </c>
      <c r="P315" s="116"/>
      <c r="Q315" s="116">
        <v>1</v>
      </c>
      <c r="R315" s="116"/>
      <c r="S315" s="116" t="s">
        <v>751</v>
      </c>
      <c r="T315" s="120">
        <v>970900</v>
      </c>
      <c r="U315" s="142" t="s">
        <v>750</v>
      </c>
      <c r="V315" s="216"/>
      <c r="W315" s="216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  <c r="AH315" s="137"/>
      <c r="AI315" s="137"/>
      <c r="AJ315" s="137"/>
      <c r="AK315" s="137"/>
      <c r="AL315" s="137"/>
      <c r="AM315" s="137"/>
      <c r="AN315" s="137"/>
      <c r="AO315" s="137"/>
      <c r="AP315" s="137"/>
      <c r="AQ315" s="137"/>
      <c r="AR315" s="137"/>
      <c r="AS315" s="137"/>
      <c r="AT315" s="137"/>
      <c r="AU315" s="137"/>
      <c r="AV315" s="137"/>
      <c r="AW315" s="137"/>
      <c r="AX315" s="137"/>
      <c r="AY315" s="137"/>
      <c r="AZ315" s="137"/>
      <c r="BA315" s="137"/>
      <c r="BB315" s="137"/>
      <c r="BC315" s="137"/>
      <c r="BD315" s="137"/>
      <c r="BE315" s="137"/>
      <c r="BF315" s="137"/>
      <c r="BG315" s="137"/>
      <c r="BH315" s="137"/>
    </row>
    <row r="316" spans="1:60" s="136" customFormat="1" ht="126">
      <c r="A316" s="231" t="s">
        <v>447</v>
      </c>
      <c r="B316" s="231">
        <v>2570</v>
      </c>
      <c r="C316" s="118" t="s">
        <v>527</v>
      </c>
      <c r="D316" s="118"/>
      <c r="E316" s="118" t="s">
        <v>667</v>
      </c>
      <c r="F316" s="118" t="s">
        <v>666</v>
      </c>
      <c r="G316" s="118" t="s">
        <v>731</v>
      </c>
      <c r="H316" s="118" t="s">
        <v>433</v>
      </c>
      <c r="I316" s="118"/>
      <c r="J316" s="118" t="s">
        <v>428</v>
      </c>
      <c r="K316" s="113" t="s">
        <v>63</v>
      </c>
      <c r="L316" s="121">
        <f t="shared" si="8"/>
        <v>970900</v>
      </c>
      <c r="M316" s="116">
        <f t="shared" si="9"/>
        <v>1</v>
      </c>
      <c r="N316" s="113" t="s">
        <v>533</v>
      </c>
      <c r="O316" s="138" t="s">
        <v>472</v>
      </c>
      <c r="P316" s="113"/>
      <c r="Q316" s="113">
        <v>1</v>
      </c>
      <c r="R316" s="113"/>
      <c r="S316" s="113" t="s">
        <v>749</v>
      </c>
      <c r="T316" s="120">
        <v>970900</v>
      </c>
      <c r="U316" s="111" t="s">
        <v>748</v>
      </c>
      <c r="V316" s="216"/>
      <c r="W316" s="216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  <c r="AH316" s="137"/>
      <c r="AI316" s="137"/>
      <c r="AJ316" s="137"/>
      <c r="AK316" s="137"/>
      <c r="AL316" s="137"/>
      <c r="AM316" s="137"/>
      <c r="AN316" s="137"/>
      <c r="AO316" s="137"/>
      <c r="AP316" s="137"/>
      <c r="AQ316" s="137"/>
      <c r="AR316" s="137"/>
      <c r="AS316" s="137"/>
      <c r="AT316" s="137"/>
      <c r="AU316" s="137"/>
      <c r="AV316" s="137"/>
      <c r="AW316" s="137"/>
      <c r="AX316" s="137"/>
      <c r="AY316" s="137"/>
      <c r="AZ316" s="137"/>
      <c r="BA316" s="137"/>
      <c r="BB316" s="137"/>
      <c r="BC316" s="137"/>
      <c r="BD316" s="137"/>
      <c r="BE316" s="137"/>
      <c r="BF316" s="137"/>
      <c r="BG316" s="137"/>
      <c r="BH316" s="137"/>
    </row>
    <row r="317" spans="1:60" s="136" customFormat="1" ht="126">
      <c r="A317" s="231" t="s">
        <v>447</v>
      </c>
      <c r="B317" s="231">
        <v>2570</v>
      </c>
      <c r="C317" s="118" t="s">
        <v>527</v>
      </c>
      <c r="D317" s="118"/>
      <c r="E317" s="118" t="s">
        <v>667</v>
      </c>
      <c r="F317" s="118" t="s">
        <v>666</v>
      </c>
      <c r="G317" s="118" t="s">
        <v>731</v>
      </c>
      <c r="H317" s="118" t="s">
        <v>464</v>
      </c>
      <c r="I317" s="118"/>
      <c r="J317" s="118" t="s">
        <v>437</v>
      </c>
      <c r="K317" s="113" t="s">
        <v>63</v>
      </c>
      <c r="L317" s="121">
        <f t="shared" si="8"/>
        <v>970900</v>
      </c>
      <c r="M317" s="116">
        <f t="shared" si="9"/>
        <v>1</v>
      </c>
      <c r="N317" s="113" t="s">
        <v>533</v>
      </c>
      <c r="O317" s="138" t="s">
        <v>472</v>
      </c>
      <c r="P317" s="113"/>
      <c r="Q317" s="113">
        <v>1</v>
      </c>
      <c r="R317" s="113"/>
      <c r="S317" s="113" t="s">
        <v>747</v>
      </c>
      <c r="T317" s="120">
        <v>970900</v>
      </c>
      <c r="U317" s="111" t="s">
        <v>746</v>
      </c>
      <c r="V317" s="216"/>
      <c r="W317" s="216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  <c r="AH317" s="137"/>
      <c r="AI317" s="137"/>
      <c r="AJ317" s="137"/>
      <c r="AK317" s="137"/>
      <c r="AL317" s="137"/>
      <c r="AM317" s="137"/>
      <c r="AN317" s="137"/>
      <c r="AO317" s="137"/>
      <c r="AP317" s="137"/>
      <c r="AQ317" s="137"/>
      <c r="AR317" s="137"/>
      <c r="AS317" s="137"/>
      <c r="AT317" s="137"/>
      <c r="AU317" s="137"/>
      <c r="AV317" s="137"/>
      <c r="AW317" s="137"/>
      <c r="AX317" s="137"/>
      <c r="AY317" s="137"/>
      <c r="AZ317" s="137"/>
      <c r="BA317" s="137"/>
      <c r="BB317" s="137"/>
      <c r="BC317" s="137"/>
      <c r="BD317" s="137"/>
      <c r="BE317" s="137"/>
      <c r="BF317" s="137"/>
      <c r="BG317" s="137"/>
      <c r="BH317" s="137"/>
    </row>
    <row r="318" spans="1:60" s="136" customFormat="1" ht="126">
      <c r="A318" s="231" t="s">
        <v>447</v>
      </c>
      <c r="B318" s="231">
        <v>2570</v>
      </c>
      <c r="C318" s="118" t="s">
        <v>527</v>
      </c>
      <c r="D318" s="118"/>
      <c r="E318" s="118" t="s">
        <v>667</v>
      </c>
      <c r="F318" s="118" t="s">
        <v>666</v>
      </c>
      <c r="G318" s="118" t="s">
        <v>731</v>
      </c>
      <c r="H318" s="118" t="s">
        <v>350</v>
      </c>
      <c r="I318" s="118"/>
      <c r="J318" s="118" t="s">
        <v>103</v>
      </c>
      <c r="K318" s="113" t="s">
        <v>63</v>
      </c>
      <c r="L318" s="121">
        <f t="shared" si="8"/>
        <v>970900</v>
      </c>
      <c r="M318" s="116">
        <f t="shared" si="9"/>
        <v>1</v>
      </c>
      <c r="N318" s="113" t="s">
        <v>533</v>
      </c>
      <c r="O318" s="138" t="s">
        <v>472</v>
      </c>
      <c r="P318" s="113"/>
      <c r="Q318" s="116">
        <v>1</v>
      </c>
      <c r="R318" s="116"/>
      <c r="S318" s="116" t="s">
        <v>745</v>
      </c>
      <c r="T318" s="120">
        <v>970900</v>
      </c>
      <c r="U318" s="141" t="s">
        <v>744</v>
      </c>
      <c r="V318" s="216"/>
      <c r="W318" s="216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/>
      <c r="AN318" s="137"/>
      <c r="AO318" s="137"/>
      <c r="AP318" s="137"/>
      <c r="AQ318" s="137"/>
      <c r="AR318" s="137"/>
      <c r="AS318" s="137"/>
      <c r="AT318" s="137"/>
      <c r="AU318" s="137"/>
      <c r="AV318" s="137"/>
      <c r="AW318" s="137"/>
      <c r="AX318" s="137"/>
      <c r="AY318" s="137"/>
      <c r="AZ318" s="137"/>
      <c r="BA318" s="137"/>
      <c r="BB318" s="137"/>
      <c r="BC318" s="137"/>
      <c r="BD318" s="137"/>
      <c r="BE318" s="137"/>
      <c r="BF318" s="137"/>
      <c r="BG318" s="137"/>
      <c r="BH318" s="137"/>
    </row>
    <row r="319" spans="1:60" s="136" customFormat="1" ht="126">
      <c r="A319" s="231" t="s">
        <v>447</v>
      </c>
      <c r="B319" s="231">
        <v>2570</v>
      </c>
      <c r="C319" s="118" t="s">
        <v>527</v>
      </c>
      <c r="D319" s="118"/>
      <c r="E319" s="118" t="s">
        <v>667</v>
      </c>
      <c r="F319" s="118" t="s">
        <v>666</v>
      </c>
      <c r="G319" s="118" t="s">
        <v>731</v>
      </c>
      <c r="H319" s="118" t="s">
        <v>171</v>
      </c>
      <c r="I319" s="118"/>
      <c r="J319" s="118" t="s">
        <v>169</v>
      </c>
      <c r="K319" s="113" t="s">
        <v>149</v>
      </c>
      <c r="L319" s="121">
        <f t="shared" si="8"/>
        <v>970900</v>
      </c>
      <c r="M319" s="116">
        <f t="shared" si="9"/>
        <v>1</v>
      </c>
      <c r="N319" s="113" t="s">
        <v>533</v>
      </c>
      <c r="O319" s="138" t="s">
        <v>472</v>
      </c>
      <c r="P319" s="116"/>
      <c r="Q319" s="116">
        <v>1</v>
      </c>
      <c r="R319" s="116"/>
      <c r="S319" s="116" t="s">
        <v>737</v>
      </c>
      <c r="T319" s="120">
        <v>970900</v>
      </c>
      <c r="U319" s="140" t="s">
        <v>736</v>
      </c>
      <c r="V319" s="216"/>
      <c r="W319" s="216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  <c r="AH319" s="137"/>
      <c r="AI319" s="137"/>
      <c r="AJ319" s="137"/>
      <c r="AK319" s="137"/>
      <c r="AL319" s="137"/>
      <c r="AM319" s="137"/>
      <c r="AN319" s="137"/>
      <c r="AO319" s="137"/>
      <c r="AP319" s="137"/>
      <c r="AQ319" s="137"/>
      <c r="AR319" s="137"/>
      <c r="AS319" s="137"/>
      <c r="AT319" s="137"/>
      <c r="AU319" s="137"/>
      <c r="AV319" s="137"/>
      <c r="AW319" s="137"/>
      <c r="AX319" s="137"/>
      <c r="AY319" s="137"/>
      <c r="AZ319" s="137"/>
      <c r="BA319" s="137"/>
      <c r="BB319" s="137"/>
      <c r="BC319" s="137"/>
      <c r="BD319" s="137"/>
      <c r="BE319" s="137"/>
      <c r="BF319" s="137"/>
      <c r="BG319" s="137"/>
      <c r="BH319" s="137"/>
    </row>
    <row r="320" spans="1:60" s="136" customFormat="1" ht="126">
      <c r="A320" s="231" t="s">
        <v>447</v>
      </c>
      <c r="B320" s="231">
        <v>2570</v>
      </c>
      <c r="C320" s="118" t="s">
        <v>527</v>
      </c>
      <c r="D320" s="118"/>
      <c r="E320" s="118" t="s">
        <v>667</v>
      </c>
      <c r="F320" s="118" t="s">
        <v>666</v>
      </c>
      <c r="G320" s="118" t="s">
        <v>731</v>
      </c>
      <c r="H320" s="118" t="s">
        <v>171</v>
      </c>
      <c r="I320" s="118"/>
      <c r="J320" s="118" t="s">
        <v>169</v>
      </c>
      <c r="K320" s="113" t="s">
        <v>149</v>
      </c>
      <c r="L320" s="121">
        <f t="shared" si="8"/>
        <v>970900</v>
      </c>
      <c r="M320" s="116">
        <f t="shared" si="9"/>
        <v>1</v>
      </c>
      <c r="N320" s="113" t="s">
        <v>533</v>
      </c>
      <c r="O320" s="138" t="s">
        <v>472</v>
      </c>
      <c r="P320" s="113"/>
      <c r="Q320" s="113">
        <v>1</v>
      </c>
      <c r="R320" s="113"/>
      <c r="S320" s="113" t="s">
        <v>743</v>
      </c>
      <c r="T320" s="120">
        <v>970900</v>
      </c>
      <c r="U320" s="111" t="s">
        <v>742</v>
      </c>
      <c r="V320" s="216"/>
      <c r="W320" s="216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  <c r="AH320" s="137"/>
      <c r="AI320" s="137"/>
      <c r="AJ320" s="137"/>
      <c r="AK320" s="137"/>
      <c r="AL320" s="137"/>
      <c r="AM320" s="137"/>
      <c r="AN320" s="137"/>
      <c r="AO320" s="137"/>
      <c r="AP320" s="137"/>
      <c r="AQ320" s="137"/>
      <c r="AR320" s="137"/>
      <c r="AS320" s="137"/>
      <c r="AT320" s="137"/>
      <c r="AU320" s="137"/>
      <c r="AV320" s="137"/>
      <c r="AW320" s="137"/>
      <c r="AX320" s="137"/>
      <c r="AY320" s="137"/>
      <c r="AZ320" s="137"/>
      <c r="BA320" s="137"/>
      <c r="BB320" s="137"/>
      <c r="BC320" s="137"/>
      <c r="BD320" s="137"/>
      <c r="BE320" s="137"/>
      <c r="BF320" s="137"/>
      <c r="BG320" s="137"/>
      <c r="BH320" s="137"/>
    </row>
    <row r="321" spans="1:60" s="136" customFormat="1" ht="126">
      <c r="A321" s="231" t="s">
        <v>447</v>
      </c>
      <c r="B321" s="231">
        <v>2570</v>
      </c>
      <c r="C321" s="118" t="s">
        <v>527</v>
      </c>
      <c r="D321" s="118"/>
      <c r="E321" s="118" t="s">
        <v>667</v>
      </c>
      <c r="F321" s="118" t="s">
        <v>666</v>
      </c>
      <c r="G321" s="118" t="s">
        <v>731</v>
      </c>
      <c r="H321" s="118" t="s">
        <v>171</v>
      </c>
      <c r="I321" s="118"/>
      <c r="J321" s="118" t="s">
        <v>169</v>
      </c>
      <c r="K321" s="113" t="s">
        <v>149</v>
      </c>
      <c r="L321" s="121">
        <f t="shared" si="8"/>
        <v>970900</v>
      </c>
      <c r="M321" s="116">
        <f t="shared" si="9"/>
        <v>1</v>
      </c>
      <c r="N321" s="113" t="s">
        <v>533</v>
      </c>
      <c r="O321" s="138" t="s">
        <v>472</v>
      </c>
      <c r="P321" s="113"/>
      <c r="Q321" s="113">
        <v>1</v>
      </c>
      <c r="R321" s="113"/>
      <c r="S321" s="113" t="s">
        <v>741</v>
      </c>
      <c r="T321" s="120">
        <v>970900</v>
      </c>
      <c r="U321" s="111" t="s">
        <v>740</v>
      </c>
      <c r="V321" s="216"/>
      <c r="W321" s="216"/>
      <c r="X321" s="137"/>
      <c r="Y321" s="137"/>
      <c r="Z321" s="137"/>
      <c r="AA321" s="137"/>
      <c r="AB321" s="137"/>
      <c r="AC321" s="137"/>
      <c r="AD321" s="137"/>
      <c r="AE321" s="137"/>
      <c r="AF321" s="137"/>
      <c r="AG321" s="137"/>
      <c r="AH321" s="137"/>
      <c r="AI321" s="137"/>
      <c r="AJ321" s="137"/>
      <c r="AK321" s="137"/>
      <c r="AL321" s="137"/>
      <c r="AM321" s="137"/>
      <c r="AN321" s="137"/>
      <c r="AO321" s="137"/>
      <c r="AP321" s="137"/>
      <c r="AQ321" s="137"/>
      <c r="AR321" s="137"/>
      <c r="AS321" s="137"/>
      <c r="AT321" s="137"/>
      <c r="AU321" s="137"/>
      <c r="AV321" s="137"/>
      <c r="AW321" s="137"/>
      <c r="AX321" s="137"/>
      <c r="AY321" s="137"/>
      <c r="AZ321" s="137"/>
      <c r="BA321" s="137"/>
      <c r="BB321" s="137"/>
      <c r="BC321" s="137"/>
      <c r="BD321" s="137"/>
      <c r="BE321" s="137"/>
      <c r="BF321" s="137"/>
      <c r="BG321" s="137"/>
      <c r="BH321" s="137"/>
    </row>
    <row r="322" spans="1:60" s="136" customFormat="1" ht="126">
      <c r="A322" s="231" t="s">
        <v>447</v>
      </c>
      <c r="B322" s="231">
        <v>2570</v>
      </c>
      <c r="C322" s="118" t="s">
        <v>527</v>
      </c>
      <c r="D322" s="118"/>
      <c r="E322" s="118" t="s">
        <v>667</v>
      </c>
      <c r="F322" s="118" t="s">
        <v>666</v>
      </c>
      <c r="G322" s="118" t="s">
        <v>731</v>
      </c>
      <c r="H322" s="118" t="s">
        <v>171</v>
      </c>
      <c r="I322" s="118"/>
      <c r="J322" s="118" t="s">
        <v>169</v>
      </c>
      <c r="K322" s="113" t="s">
        <v>149</v>
      </c>
      <c r="L322" s="121">
        <f t="shared" si="8"/>
        <v>970900</v>
      </c>
      <c r="M322" s="116">
        <f t="shared" si="9"/>
        <v>1</v>
      </c>
      <c r="N322" s="113" t="s">
        <v>533</v>
      </c>
      <c r="O322" s="138" t="s">
        <v>472</v>
      </c>
      <c r="P322" s="113"/>
      <c r="Q322" s="113">
        <v>1</v>
      </c>
      <c r="R322" s="113"/>
      <c r="S322" s="113" t="s">
        <v>739</v>
      </c>
      <c r="T322" s="120">
        <v>970900</v>
      </c>
      <c r="U322" s="111" t="s">
        <v>738</v>
      </c>
      <c r="V322" s="216"/>
      <c r="W322" s="216"/>
      <c r="X322" s="137"/>
      <c r="Y322" s="137"/>
      <c r="Z322" s="137"/>
      <c r="AA322" s="137"/>
      <c r="AB322" s="137"/>
      <c r="AC322" s="137"/>
      <c r="AD322" s="137"/>
      <c r="AE322" s="137"/>
      <c r="AF322" s="137"/>
      <c r="AG322" s="137"/>
      <c r="AH322" s="137"/>
      <c r="AI322" s="137"/>
      <c r="AJ322" s="137"/>
      <c r="AK322" s="137"/>
      <c r="AL322" s="137"/>
      <c r="AM322" s="137"/>
      <c r="AN322" s="137"/>
      <c r="AO322" s="137"/>
      <c r="AP322" s="137"/>
      <c r="AQ322" s="137"/>
      <c r="AR322" s="137"/>
      <c r="AS322" s="137"/>
      <c r="AT322" s="137"/>
      <c r="AU322" s="137"/>
      <c r="AV322" s="137"/>
      <c r="AW322" s="137"/>
      <c r="AX322" s="137"/>
      <c r="AY322" s="137"/>
      <c r="AZ322" s="137"/>
      <c r="BA322" s="137"/>
      <c r="BB322" s="137"/>
      <c r="BC322" s="137"/>
      <c r="BD322" s="137"/>
      <c r="BE322" s="137"/>
      <c r="BF322" s="137"/>
      <c r="BG322" s="137"/>
      <c r="BH322" s="137"/>
    </row>
    <row r="323" spans="1:60" s="136" customFormat="1" ht="126">
      <c r="A323" s="231" t="s">
        <v>447</v>
      </c>
      <c r="B323" s="231">
        <v>2570</v>
      </c>
      <c r="C323" s="118" t="s">
        <v>527</v>
      </c>
      <c r="D323" s="118"/>
      <c r="E323" s="118" t="s">
        <v>667</v>
      </c>
      <c r="F323" s="118" t="s">
        <v>666</v>
      </c>
      <c r="G323" s="118" t="s">
        <v>731</v>
      </c>
      <c r="H323" s="118" t="s">
        <v>171</v>
      </c>
      <c r="I323" s="118"/>
      <c r="J323" s="118" t="s">
        <v>169</v>
      </c>
      <c r="K323" s="113" t="s">
        <v>149</v>
      </c>
      <c r="L323" s="121">
        <f t="shared" si="8"/>
        <v>970900</v>
      </c>
      <c r="M323" s="116">
        <f t="shared" si="9"/>
        <v>1</v>
      </c>
      <c r="N323" s="113" t="s">
        <v>533</v>
      </c>
      <c r="O323" s="138" t="s">
        <v>472</v>
      </c>
      <c r="P323" s="113"/>
      <c r="Q323" s="113">
        <v>1</v>
      </c>
      <c r="R323" s="113"/>
      <c r="S323" s="113" t="s">
        <v>737</v>
      </c>
      <c r="T323" s="120">
        <v>970900</v>
      </c>
      <c r="U323" s="111" t="s">
        <v>736</v>
      </c>
      <c r="V323" s="216"/>
      <c r="W323" s="216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7"/>
      <c r="BH323" s="137"/>
    </row>
    <row r="324" spans="1:60" s="136" customFormat="1" ht="126">
      <c r="A324" s="231" t="s">
        <v>447</v>
      </c>
      <c r="B324" s="231">
        <v>2570</v>
      </c>
      <c r="C324" s="118" t="s">
        <v>527</v>
      </c>
      <c r="D324" s="118"/>
      <c r="E324" s="118" t="s">
        <v>667</v>
      </c>
      <c r="F324" s="118" t="s">
        <v>666</v>
      </c>
      <c r="G324" s="118" t="s">
        <v>731</v>
      </c>
      <c r="H324" s="118" t="s">
        <v>365</v>
      </c>
      <c r="I324" s="118"/>
      <c r="J324" s="118" t="s">
        <v>110</v>
      </c>
      <c r="K324" s="113" t="s">
        <v>63</v>
      </c>
      <c r="L324" s="121">
        <f t="shared" si="8"/>
        <v>970900</v>
      </c>
      <c r="M324" s="116">
        <f t="shared" si="9"/>
        <v>1</v>
      </c>
      <c r="N324" s="113" t="s">
        <v>533</v>
      </c>
      <c r="O324" s="138" t="s">
        <v>472</v>
      </c>
      <c r="P324" s="113"/>
      <c r="Q324" s="113">
        <v>1</v>
      </c>
      <c r="R324" s="113"/>
      <c r="S324" s="113" t="s">
        <v>735</v>
      </c>
      <c r="T324" s="120">
        <v>970900</v>
      </c>
      <c r="U324" s="111" t="s">
        <v>734</v>
      </c>
      <c r="V324" s="216"/>
      <c r="W324" s="216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/>
      <c r="AV324" s="137"/>
      <c r="AW324" s="137"/>
      <c r="AX324" s="137"/>
      <c r="AY324" s="137"/>
      <c r="AZ324" s="137"/>
      <c r="BA324" s="137"/>
      <c r="BB324" s="137"/>
      <c r="BC324" s="137"/>
      <c r="BD324" s="137"/>
      <c r="BE324" s="137"/>
      <c r="BF324" s="137"/>
      <c r="BG324" s="137"/>
      <c r="BH324" s="137"/>
    </row>
    <row r="325" spans="1:60" s="136" customFormat="1" ht="126">
      <c r="A325" s="231" t="s">
        <v>447</v>
      </c>
      <c r="B325" s="231">
        <v>2570</v>
      </c>
      <c r="C325" s="118" t="s">
        <v>527</v>
      </c>
      <c r="D325" s="118"/>
      <c r="E325" s="118" t="s">
        <v>667</v>
      </c>
      <c r="F325" s="118" t="s">
        <v>666</v>
      </c>
      <c r="G325" s="118" t="s">
        <v>731</v>
      </c>
      <c r="H325" s="118" t="s">
        <v>141</v>
      </c>
      <c r="I325" s="118"/>
      <c r="J325" s="118" t="s">
        <v>139</v>
      </c>
      <c r="K325" s="113" t="s">
        <v>63</v>
      </c>
      <c r="L325" s="121">
        <f t="shared" si="8"/>
        <v>970900</v>
      </c>
      <c r="M325" s="116">
        <f t="shared" si="9"/>
        <v>1</v>
      </c>
      <c r="N325" s="113" t="s">
        <v>533</v>
      </c>
      <c r="O325" s="138" t="s">
        <v>472</v>
      </c>
      <c r="P325" s="113"/>
      <c r="Q325" s="113">
        <v>1</v>
      </c>
      <c r="R325" s="113"/>
      <c r="S325" s="113" t="s">
        <v>733</v>
      </c>
      <c r="T325" s="120">
        <v>970900</v>
      </c>
      <c r="U325" s="111" t="s">
        <v>732</v>
      </c>
      <c r="V325" s="216"/>
      <c r="W325" s="216"/>
      <c r="X325" s="137"/>
      <c r="Y325" s="137"/>
      <c r="Z325" s="137"/>
      <c r="AA325" s="137"/>
      <c r="AB325" s="137"/>
      <c r="AC325" s="137"/>
      <c r="AD325" s="137"/>
      <c r="AE325" s="137"/>
      <c r="AF325" s="137"/>
      <c r="AG325" s="137"/>
      <c r="AH325" s="137"/>
      <c r="AI325" s="137"/>
      <c r="AJ325" s="137"/>
      <c r="AK325" s="137"/>
      <c r="AL325" s="137"/>
      <c r="AM325" s="137"/>
      <c r="AN325" s="137"/>
      <c r="AO325" s="137"/>
      <c r="AP325" s="137"/>
      <c r="AQ325" s="137"/>
      <c r="AR325" s="137"/>
      <c r="AS325" s="137"/>
      <c r="AT325" s="137"/>
      <c r="AU325" s="137"/>
      <c r="AV325" s="137"/>
      <c r="AW325" s="137"/>
      <c r="AX325" s="137"/>
      <c r="AY325" s="137"/>
      <c r="AZ325" s="137"/>
      <c r="BA325" s="137"/>
      <c r="BB325" s="137"/>
      <c r="BC325" s="137"/>
      <c r="BD325" s="137"/>
      <c r="BE325" s="137"/>
      <c r="BF325" s="137"/>
      <c r="BG325" s="137"/>
      <c r="BH325" s="137"/>
    </row>
    <row r="326" spans="1:60" s="136" customFormat="1" ht="126">
      <c r="A326" s="231" t="s">
        <v>447</v>
      </c>
      <c r="B326" s="231">
        <v>2570</v>
      </c>
      <c r="C326" s="118" t="s">
        <v>527</v>
      </c>
      <c r="D326" s="118"/>
      <c r="E326" s="118" t="s">
        <v>667</v>
      </c>
      <c r="F326" s="118" t="s">
        <v>666</v>
      </c>
      <c r="G326" s="118" t="s">
        <v>731</v>
      </c>
      <c r="H326" s="118" t="s">
        <v>259</v>
      </c>
      <c r="I326" s="118"/>
      <c r="J326" s="118" t="s">
        <v>257</v>
      </c>
      <c r="K326" s="113" t="s">
        <v>63</v>
      </c>
      <c r="L326" s="121">
        <f t="shared" si="8"/>
        <v>970900</v>
      </c>
      <c r="M326" s="116">
        <f t="shared" si="9"/>
        <v>1</v>
      </c>
      <c r="N326" s="113" t="s">
        <v>533</v>
      </c>
      <c r="O326" s="138" t="s">
        <v>472</v>
      </c>
      <c r="P326" s="113"/>
      <c r="Q326" s="113">
        <v>1</v>
      </c>
      <c r="R326" s="113"/>
      <c r="S326" s="113" t="s">
        <v>730</v>
      </c>
      <c r="T326" s="120">
        <v>970900</v>
      </c>
      <c r="U326" s="111" t="s">
        <v>729</v>
      </c>
      <c r="V326" s="216"/>
      <c r="W326" s="216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/>
      <c r="AV326" s="137"/>
      <c r="AW326" s="137"/>
      <c r="AX326" s="137"/>
      <c r="AY326" s="137"/>
      <c r="AZ326" s="137"/>
      <c r="BA326" s="137"/>
      <c r="BB326" s="137"/>
      <c r="BC326" s="137"/>
      <c r="BD326" s="137"/>
      <c r="BE326" s="137"/>
      <c r="BF326" s="137"/>
      <c r="BG326" s="137"/>
      <c r="BH326" s="137"/>
    </row>
    <row r="327" spans="1:60" s="136" customFormat="1" ht="126">
      <c r="A327" s="231" t="s">
        <v>447</v>
      </c>
      <c r="B327" s="231">
        <v>2570</v>
      </c>
      <c r="C327" s="118" t="s">
        <v>527</v>
      </c>
      <c r="D327" s="118"/>
      <c r="E327" s="118" t="s">
        <v>667</v>
      </c>
      <c r="F327" s="118" t="s">
        <v>666</v>
      </c>
      <c r="G327" s="118" t="s">
        <v>683</v>
      </c>
      <c r="H327" s="118" t="s">
        <v>39</v>
      </c>
      <c r="I327" s="118"/>
      <c r="J327" s="118" t="s">
        <v>34</v>
      </c>
      <c r="K327" s="113" t="s">
        <v>13</v>
      </c>
      <c r="L327" s="121">
        <f t="shared" si="8"/>
        <v>1207900</v>
      </c>
      <c r="M327" s="116">
        <f t="shared" si="9"/>
        <v>1</v>
      </c>
      <c r="N327" s="113" t="s">
        <v>533</v>
      </c>
      <c r="O327" s="138" t="s">
        <v>472</v>
      </c>
      <c r="P327" s="113"/>
      <c r="Q327" s="113">
        <v>1</v>
      </c>
      <c r="R327" s="113"/>
      <c r="S327" s="113" t="s">
        <v>728</v>
      </c>
      <c r="T327" s="120">
        <v>1207900</v>
      </c>
      <c r="U327" s="111" t="s">
        <v>727</v>
      </c>
      <c r="V327" s="216"/>
      <c r="W327" s="216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/>
      <c r="AS327" s="137"/>
      <c r="AT327" s="137"/>
      <c r="AU327" s="137"/>
      <c r="AV327" s="137"/>
      <c r="AW327" s="137"/>
      <c r="AX327" s="137"/>
      <c r="AY327" s="137"/>
      <c r="AZ327" s="137"/>
      <c r="BA327" s="137"/>
      <c r="BB327" s="137"/>
      <c r="BC327" s="137"/>
      <c r="BD327" s="137"/>
      <c r="BE327" s="137"/>
      <c r="BF327" s="137"/>
      <c r="BG327" s="137"/>
      <c r="BH327" s="137"/>
    </row>
    <row r="328" spans="1:60" s="136" customFormat="1" ht="126">
      <c r="A328" s="231" t="s">
        <v>447</v>
      </c>
      <c r="B328" s="231">
        <v>2570</v>
      </c>
      <c r="C328" s="118" t="s">
        <v>527</v>
      </c>
      <c r="D328" s="118"/>
      <c r="E328" s="118" t="s">
        <v>667</v>
      </c>
      <c r="F328" s="118" t="s">
        <v>666</v>
      </c>
      <c r="G328" s="118" t="s">
        <v>683</v>
      </c>
      <c r="H328" s="118" t="s">
        <v>396</v>
      </c>
      <c r="I328" s="118"/>
      <c r="J328" s="118" t="s">
        <v>726</v>
      </c>
      <c r="K328" s="113" t="s">
        <v>149</v>
      </c>
      <c r="L328" s="121">
        <f t="shared" si="8"/>
        <v>1207900</v>
      </c>
      <c r="M328" s="116">
        <f t="shared" si="9"/>
        <v>1</v>
      </c>
      <c r="N328" s="113" t="s">
        <v>533</v>
      </c>
      <c r="O328" s="138" t="s">
        <v>472</v>
      </c>
      <c r="P328" s="113"/>
      <c r="Q328" s="113">
        <v>1</v>
      </c>
      <c r="R328" s="113"/>
      <c r="S328" s="113" t="s">
        <v>725</v>
      </c>
      <c r="T328" s="120">
        <v>1207900</v>
      </c>
      <c r="U328" s="111" t="s">
        <v>724</v>
      </c>
      <c r="V328" s="216"/>
      <c r="W328" s="216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  <c r="AH328" s="137"/>
      <c r="AI328" s="137"/>
      <c r="AJ328" s="137"/>
      <c r="AK328" s="137"/>
      <c r="AL328" s="137"/>
      <c r="AM328" s="137"/>
      <c r="AN328" s="137"/>
      <c r="AO328" s="137"/>
      <c r="AP328" s="137"/>
      <c r="AQ328" s="137"/>
      <c r="AR328" s="137"/>
      <c r="AS328" s="137"/>
      <c r="AT328" s="137"/>
      <c r="AU328" s="137"/>
      <c r="AV328" s="137"/>
      <c r="AW328" s="137"/>
      <c r="AX328" s="137"/>
      <c r="AY328" s="137"/>
      <c r="AZ328" s="137"/>
      <c r="BA328" s="137"/>
      <c r="BB328" s="137"/>
      <c r="BC328" s="137"/>
      <c r="BD328" s="137"/>
      <c r="BE328" s="137"/>
      <c r="BF328" s="137"/>
      <c r="BG328" s="137"/>
      <c r="BH328" s="137"/>
    </row>
    <row r="329" spans="1:60" s="136" customFormat="1" ht="126">
      <c r="A329" s="231" t="s">
        <v>447</v>
      </c>
      <c r="B329" s="231">
        <v>2570</v>
      </c>
      <c r="C329" s="118" t="s">
        <v>527</v>
      </c>
      <c r="D329" s="118"/>
      <c r="E329" s="118" t="s">
        <v>667</v>
      </c>
      <c r="F329" s="118" t="s">
        <v>666</v>
      </c>
      <c r="G329" s="118" t="s">
        <v>683</v>
      </c>
      <c r="H329" s="118" t="s">
        <v>322</v>
      </c>
      <c r="I329" s="118"/>
      <c r="J329" s="118" t="s">
        <v>320</v>
      </c>
      <c r="K329" s="113" t="s">
        <v>40</v>
      </c>
      <c r="L329" s="121">
        <f t="shared" si="8"/>
        <v>1207900</v>
      </c>
      <c r="M329" s="116">
        <f t="shared" si="9"/>
        <v>1</v>
      </c>
      <c r="N329" s="113" t="s">
        <v>533</v>
      </c>
      <c r="O329" s="138" t="s">
        <v>472</v>
      </c>
      <c r="P329" s="113"/>
      <c r="Q329" s="113">
        <v>1</v>
      </c>
      <c r="R329" s="113"/>
      <c r="S329" s="113" t="s">
        <v>723</v>
      </c>
      <c r="T329" s="120">
        <v>1207900</v>
      </c>
      <c r="U329" s="111" t="s">
        <v>722</v>
      </c>
      <c r="V329" s="216"/>
      <c r="W329" s="216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  <c r="AH329" s="137"/>
      <c r="AI329" s="137"/>
      <c r="AJ329" s="137"/>
      <c r="AK329" s="137"/>
      <c r="AL329" s="137"/>
      <c r="AM329" s="137"/>
      <c r="AN329" s="137"/>
      <c r="AO329" s="137"/>
      <c r="AP329" s="137"/>
      <c r="AQ329" s="137"/>
      <c r="AR329" s="137"/>
      <c r="AS329" s="137"/>
      <c r="AT329" s="137"/>
      <c r="AU329" s="137"/>
      <c r="AV329" s="137"/>
      <c r="AW329" s="137"/>
      <c r="AX329" s="137"/>
      <c r="AY329" s="137"/>
      <c r="AZ329" s="137"/>
      <c r="BA329" s="137"/>
      <c r="BB329" s="137"/>
      <c r="BC329" s="137"/>
      <c r="BD329" s="137"/>
      <c r="BE329" s="137"/>
      <c r="BF329" s="137"/>
      <c r="BG329" s="137"/>
      <c r="BH329" s="137"/>
    </row>
    <row r="330" spans="1:60" s="136" customFormat="1" ht="126">
      <c r="A330" s="231" t="s">
        <v>447</v>
      </c>
      <c r="B330" s="231">
        <v>2570</v>
      </c>
      <c r="C330" s="118" t="s">
        <v>527</v>
      </c>
      <c r="D330" s="118"/>
      <c r="E330" s="118" t="s">
        <v>667</v>
      </c>
      <c r="F330" s="118" t="s">
        <v>666</v>
      </c>
      <c r="G330" s="118" t="s">
        <v>683</v>
      </c>
      <c r="H330" s="118" t="s">
        <v>24</v>
      </c>
      <c r="I330" s="118"/>
      <c r="J330" s="118" t="s">
        <v>22</v>
      </c>
      <c r="K330" s="113" t="s">
        <v>13</v>
      </c>
      <c r="L330" s="121">
        <f t="shared" si="8"/>
        <v>1207900</v>
      </c>
      <c r="M330" s="116">
        <f t="shared" si="9"/>
        <v>1</v>
      </c>
      <c r="N330" s="113" t="s">
        <v>533</v>
      </c>
      <c r="O330" s="138" t="s">
        <v>472</v>
      </c>
      <c r="P330" s="113"/>
      <c r="Q330" s="113">
        <v>1</v>
      </c>
      <c r="R330" s="113"/>
      <c r="S330" s="113" t="s">
        <v>721</v>
      </c>
      <c r="T330" s="120">
        <v>1207900</v>
      </c>
      <c r="U330" s="111" t="s">
        <v>720</v>
      </c>
      <c r="V330" s="216"/>
      <c r="W330" s="216"/>
      <c r="X330" s="137"/>
      <c r="Y330" s="137"/>
      <c r="Z330" s="137"/>
      <c r="AA330" s="137"/>
      <c r="AB330" s="137"/>
      <c r="AC330" s="137"/>
      <c r="AD330" s="137"/>
      <c r="AE330" s="137"/>
      <c r="AF330" s="137"/>
      <c r="AG330" s="137"/>
      <c r="AH330" s="137"/>
      <c r="AI330" s="137"/>
      <c r="AJ330" s="137"/>
      <c r="AK330" s="137"/>
      <c r="AL330" s="137"/>
      <c r="AM330" s="137"/>
      <c r="AN330" s="137"/>
      <c r="AO330" s="137"/>
      <c r="AP330" s="137"/>
      <c r="AQ330" s="137"/>
      <c r="AR330" s="137"/>
      <c r="AS330" s="137"/>
      <c r="AT330" s="137"/>
      <c r="AU330" s="137"/>
      <c r="AV330" s="137"/>
      <c r="AW330" s="137"/>
      <c r="AX330" s="137"/>
      <c r="AY330" s="137"/>
      <c r="AZ330" s="137"/>
      <c r="BA330" s="137"/>
      <c r="BB330" s="137"/>
      <c r="BC330" s="137"/>
      <c r="BD330" s="137"/>
      <c r="BE330" s="137"/>
      <c r="BF330" s="137"/>
      <c r="BG330" s="137"/>
      <c r="BH330" s="137"/>
    </row>
    <row r="331" spans="1:60" s="136" customFormat="1" ht="126">
      <c r="A331" s="231" t="s">
        <v>447</v>
      </c>
      <c r="B331" s="231">
        <v>2570</v>
      </c>
      <c r="C331" s="118" t="s">
        <v>527</v>
      </c>
      <c r="D331" s="118"/>
      <c r="E331" s="118" t="s">
        <v>667</v>
      </c>
      <c r="F331" s="118" t="s">
        <v>666</v>
      </c>
      <c r="G331" s="118" t="s">
        <v>683</v>
      </c>
      <c r="H331" s="118" t="s">
        <v>145</v>
      </c>
      <c r="I331" s="118"/>
      <c r="J331" s="118" t="s">
        <v>143</v>
      </c>
      <c r="K331" s="113" t="s">
        <v>63</v>
      </c>
      <c r="L331" s="121">
        <f t="shared" si="8"/>
        <v>1207900</v>
      </c>
      <c r="M331" s="116">
        <f t="shared" si="9"/>
        <v>1</v>
      </c>
      <c r="N331" s="113" t="s">
        <v>533</v>
      </c>
      <c r="O331" s="138" t="s">
        <v>472</v>
      </c>
      <c r="P331" s="113"/>
      <c r="Q331" s="113">
        <v>1</v>
      </c>
      <c r="R331" s="113"/>
      <c r="S331" s="113" t="s">
        <v>719</v>
      </c>
      <c r="T331" s="120">
        <v>1207900</v>
      </c>
      <c r="U331" s="111" t="s">
        <v>718</v>
      </c>
      <c r="V331" s="216"/>
      <c r="W331" s="216"/>
      <c r="X331" s="137"/>
      <c r="Y331" s="137"/>
      <c r="Z331" s="137"/>
      <c r="AA331" s="137"/>
      <c r="AB331" s="137"/>
      <c r="AC331" s="137"/>
      <c r="AD331" s="137"/>
      <c r="AE331" s="137"/>
      <c r="AF331" s="137"/>
      <c r="AG331" s="137"/>
      <c r="AH331" s="137"/>
      <c r="AI331" s="137"/>
      <c r="AJ331" s="137"/>
      <c r="AK331" s="137"/>
      <c r="AL331" s="137"/>
      <c r="AM331" s="137"/>
      <c r="AN331" s="137"/>
      <c r="AO331" s="137"/>
      <c r="AP331" s="137"/>
      <c r="AQ331" s="137"/>
      <c r="AR331" s="137"/>
      <c r="AS331" s="137"/>
      <c r="AT331" s="137"/>
      <c r="AU331" s="137"/>
      <c r="AV331" s="137"/>
      <c r="AW331" s="137"/>
      <c r="AX331" s="137"/>
      <c r="AY331" s="137"/>
      <c r="AZ331" s="137"/>
      <c r="BA331" s="137"/>
      <c r="BB331" s="137"/>
      <c r="BC331" s="137"/>
      <c r="BD331" s="137"/>
      <c r="BE331" s="137"/>
      <c r="BF331" s="137"/>
      <c r="BG331" s="137"/>
      <c r="BH331" s="137"/>
    </row>
    <row r="332" spans="1:60" s="136" customFormat="1" ht="126">
      <c r="A332" s="231" t="s">
        <v>447</v>
      </c>
      <c r="B332" s="231">
        <v>2570</v>
      </c>
      <c r="C332" s="118" t="s">
        <v>527</v>
      </c>
      <c r="D332" s="118"/>
      <c r="E332" s="118" t="s">
        <v>667</v>
      </c>
      <c r="F332" s="118" t="s">
        <v>666</v>
      </c>
      <c r="G332" s="118" t="s">
        <v>683</v>
      </c>
      <c r="H332" s="118" t="s">
        <v>171</v>
      </c>
      <c r="I332" s="118"/>
      <c r="J332" s="118" t="s">
        <v>169</v>
      </c>
      <c r="K332" s="113" t="s">
        <v>149</v>
      </c>
      <c r="L332" s="121">
        <f t="shared" si="8"/>
        <v>1207900</v>
      </c>
      <c r="M332" s="116">
        <f t="shared" si="9"/>
        <v>1</v>
      </c>
      <c r="N332" s="113" t="s">
        <v>533</v>
      </c>
      <c r="O332" s="138" t="s">
        <v>472</v>
      </c>
      <c r="P332" s="113"/>
      <c r="Q332" s="113">
        <v>1</v>
      </c>
      <c r="R332" s="113"/>
      <c r="S332" s="113" t="s">
        <v>717</v>
      </c>
      <c r="T332" s="120">
        <v>1207900</v>
      </c>
      <c r="U332" s="111" t="s">
        <v>716</v>
      </c>
      <c r="V332" s="216"/>
      <c r="W332" s="216"/>
      <c r="X332" s="137"/>
      <c r="Y332" s="137"/>
      <c r="Z332" s="137"/>
      <c r="AA332" s="137"/>
      <c r="AB332" s="137"/>
      <c r="AC332" s="137"/>
      <c r="AD332" s="137"/>
      <c r="AE332" s="137"/>
      <c r="AF332" s="137"/>
      <c r="AG332" s="137"/>
      <c r="AH332" s="137"/>
      <c r="AI332" s="137"/>
      <c r="AJ332" s="137"/>
      <c r="AK332" s="137"/>
      <c r="AL332" s="137"/>
      <c r="AM332" s="137"/>
      <c r="AN332" s="137"/>
      <c r="AO332" s="137"/>
      <c r="AP332" s="137"/>
      <c r="AQ332" s="137"/>
      <c r="AR332" s="137"/>
      <c r="AS332" s="137"/>
      <c r="AT332" s="137"/>
      <c r="AU332" s="137"/>
      <c r="AV332" s="137"/>
      <c r="AW332" s="137"/>
      <c r="AX332" s="137"/>
      <c r="AY332" s="137"/>
      <c r="AZ332" s="137"/>
      <c r="BA332" s="137"/>
      <c r="BB332" s="137"/>
      <c r="BC332" s="137"/>
      <c r="BD332" s="137"/>
      <c r="BE332" s="137"/>
      <c r="BF332" s="137"/>
      <c r="BG332" s="137"/>
      <c r="BH332" s="137"/>
    </row>
    <row r="333" spans="1:60" s="136" customFormat="1" ht="126">
      <c r="A333" s="231" t="s">
        <v>447</v>
      </c>
      <c r="B333" s="231">
        <v>2570</v>
      </c>
      <c r="C333" s="118" t="s">
        <v>527</v>
      </c>
      <c r="D333" s="118"/>
      <c r="E333" s="118" t="s">
        <v>667</v>
      </c>
      <c r="F333" s="118" t="s">
        <v>666</v>
      </c>
      <c r="G333" s="118" t="s">
        <v>683</v>
      </c>
      <c r="H333" s="118" t="s">
        <v>171</v>
      </c>
      <c r="I333" s="118"/>
      <c r="J333" s="118" t="s">
        <v>169</v>
      </c>
      <c r="K333" s="113" t="s">
        <v>149</v>
      </c>
      <c r="L333" s="121">
        <f t="shared" si="8"/>
        <v>1207900</v>
      </c>
      <c r="M333" s="116">
        <f t="shared" si="9"/>
        <v>1</v>
      </c>
      <c r="N333" s="113" t="s">
        <v>533</v>
      </c>
      <c r="O333" s="138" t="s">
        <v>472</v>
      </c>
      <c r="P333" s="113"/>
      <c r="Q333" s="116">
        <v>1</v>
      </c>
      <c r="R333" s="116"/>
      <c r="S333" s="116" t="s">
        <v>715</v>
      </c>
      <c r="T333" s="120">
        <v>1207900</v>
      </c>
      <c r="U333" s="141" t="s">
        <v>714</v>
      </c>
      <c r="V333" s="216"/>
      <c r="W333" s="216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  <c r="AH333" s="137"/>
      <c r="AI333" s="137"/>
      <c r="AJ333" s="137"/>
      <c r="AK333" s="137"/>
      <c r="AL333" s="137"/>
      <c r="AM333" s="137"/>
      <c r="AN333" s="137"/>
      <c r="AO333" s="137"/>
      <c r="AP333" s="137"/>
      <c r="AQ333" s="137"/>
      <c r="AR333" s="137"/>
      <c r="AS333" s="137"/>
      <c r="AT333" s="137"/>
      <c r="AU333" s="137"/>
      <c r="AV333" s="137"/>
      <c r="AW333" s="137"/>
      <c r="AX333" s="137"/>
      <c r="AY333" s="137"/>
      <c r="AZ333" s="137"/>
      <c r="BA333" s="137"/>
      <c r="BB333" s="137"/>
      <c r="BC333" s="137"/>
      <c r="BD333" s="137"/>
      <c r="BE333" s="137"/>
      <c r="BF333" s="137"/>
      <c r="BG333" s="137"/>
      <c r="BH333" s="137"/>
    </row>
    <row r="334" spans="1:60" s="136" customFormat="1" ht="126">
      <c r="A334" s="231" t="s">
        <v>447</v>
      </c>
      <c r="B334" s="231">
        <v>2570</v>
      </c>
      <c r="C334" s="118" t="s">
        <v>527</v>
      </c>
      <c r="D334" s="118"/>
      <c r="E334" s="118" t="s">
        <v>667</v>
      </c>
      <c r="F334" s="118" t="s">
        <v>666</v>
      </c>
      <c r="G334" s="118" t="s">
        <v>683</v>
      </c>
      <c r="H334" s="118" t="s">
        <v>201</v>
      </c>
      <c r="I334" s="118"/>
      <c r="J334" s="118" t="s">
        <v>199</v>
      </c>
      <c r="K334" s="113" t="s">
        <v>63</v>
      </c>
      <c r="L334" s="121">
        <f t="shared" si="8"/>
        <v>1207900</v>
      </c>
      <c r="M334" s="116">
        <f t="shared" si="9"/>
        <v>1</v>
      </c>
      <c r="N334" s="113" t="s">
        <v>533</v>
      </c>
      <c r="O334" s="138" t="s">
        <v>472</v>
      </c>
      <c r="P334" s="113"/>
      <c r="Q334" s="113">
        <v>1</v>
      </c>
      <c r="R334" s="113"/>
      <c r="S334" s="113" t="s">
        <v>713</v>
      </c>
      <c r="T334" s="120">
        <v>1207900</v>
      </c>
      <c r="U334" s="111" t="s">
        <v>712</v>
      </c>
      <c r="V334" s="216"/>
      <c r="W334" s="216"/>
      <c r="X334" s="137"/>
      <c r="Y334" s="137"/>
      <c r="Z334" s="137"/>
      <c r="AA334" s="137"/>
      <c r="AB334" s="137"/>
      <c r="AC334" s="137"/>
      <c r="AD334" s="137"/>
      <c r="AE334" s="137"/>
      <c r="AF334" s="137"/>
      <c r="AG334" s="137"/>
      <c r="AH334" s="137"/>
      <c r="AI334" s="137"/>
      <c r="AJ334" s="137"/>
      <c r="AK334" s="137"/>
      <c r="AL334" s="137"/>
      <c r="AM334" s="137"/>
      <c r="AN334" s="137"/>
      <c r="AO334" s="137"/>
      <c r="AP334" s="137"/>
      <c r="AQ334" s="137"/>
      <c r="AR334" s="137"/>
      <c r="AS334" s="137"/>
      <c r="AT334" s="137"/>
      <c r="AU334" s="137"/>
      <c r="AV334" s="137"/>
      <c r="AW334" s="137"/>
      <c r="AX334" s="137"/>
      <c r="AY334" s="137"/>
      <c r="AZ334" s="137"/>
      <c r="BA334" s="137"/>
      <c r="BB334" s="137"/>
      <c r="BC334" s="137"/>
      <c r="BD334" s="137"/>
      <c r="BE334" s="137"/>
      <c r="BF334" s="137"/>
      <c r="BG334" s="137"/>
      <c r="BH334" s="137"/>
    </row>
    <row r="335" spans="1:60" s="136" customFormat="1" ht="126">
      <c r="A335" s="231" t="s">
        <v>447</v>
      </c>
      <c r="B335" s="231">
        <v>2570</v>
      </c>
      <c r="C335" s="118" t="s">
        <v>527</v>
      </c>
      <c r="D335" s="118"/>
      <c r="E335" s="118" t="s">
        <v>667</v>
      </c>
      <c r="F335" s="118" t="s">
        <v>666</v>
      </c>
      <c r="G335" s="118" t="s">
        <v>683</v>
      </c>
      <c r="H335" s="118" t="s">
        <v>18</v>
      </c>
      <c r="I335" s="118"/>
      <c r="J335" s="118" t="s">
        <v>14</v>
      </c>
      <c r="K335" s="113" t="s">
        <v>13</v>
      </c>
      <c r="L335" s="121">
        <f t="shared" si="8"/>
        <v>1207900</v>
      </c>
      <c r="M335" s="116">
        <f t="shared" si="9"/>
        <v>1</v>
      </c>
      <c r="N335" s="113" t="s">
        <v>533</v>
      </c>
      <c r="O335" s="138" t="s">
        <v>472</v>
      </c>
      <c r="P335" s="113"/>
      <c r="Q335" s="113">
        <v>1</v>
      </c>
      <c r="R335" s="113"/>
      <c r="S335" s="113" t="s">
        <v>711</v>
      </c>
      <c r="T335" s="120">
        <v>1207900</v>
      </c>
      <c r="U335" s="111" t="s">
        <v>710</v>
      </c>
      <c r="V335" s="216"/>
      <c r="W335" s="216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  <c r="AH335" s="137"/>
      <c r="AI335" s="137"/>
      <c r="AJ335" s="137"/>
      <c r="AK335" s="137"/>
      <c r="AL335" s="137"/>
      <c r="AM335" s="137"/>
      <c r="AN335" s="137"/>
      <c r="AO335" s="137"/>
      <c r="AP335" s="137"/>
      <c r="AQ335" s="137"/>
      <c r="AR335" s="137"/>
      <c r="AS335" s="137"/>
      <c r="AT335" s="137"/>
      <c r="AU335" s="137"/>
      <c r="AV335" s="137"/>
      <c r="AW335" s="137"/>
      <c r="AX335" s="137"/>
      <c r="AY335" s="137"/>
      <c r="AZ335" s="137"/>
      <c r="BA335" s="137"/>
      <c r="BB335" s="137"/>
      <c r="BC335" s="137"/>
      <c r="BD335" s="137"/>
      <c r="BE335" s="137"/>
      <c r="BF335" s="137"/>
      <c r="BG335" s="137"/>
      <c r="BH335" s="137"/>
    </row>
    <row r="336" spans="1:60" s="136" customFormat="1" ht="126">
      <c r="A336" s="231" t="s">
        <v>447</v>
      </c>
      <c r="B336" s="231">
        <v>2570</v>
      </c>
      <c r="C336" s="118" t="s">
        <v>527</v>
      </c>
      <c r="D336" s="118"/>
      <c r="E336" s="118" t="s">
        <v>667</v>
      </c>
      <c r="F336" s="118" t="s">
        <v>666</v>
      </c>
      <c r="G336" s="118" t="s">
        <v>683</v>
      </c>
      <c r="H336" s="118" t="s">
        <v>29</v>
      </c>
      <c r="I336" s="118"/>
      <c r="J336" s="118" t="s">
        <v>27</v>
      </c>
      <c r="K336" s="113" t="s">
        <v>13</v>
      </c>
      <c r="L336" s="121">
        <f t="shared" si="8"/>
        <v>1207900</v>
      </c>
      <c r="M336" s="116">
        <f t="shared" si="9"/>
        <v>1</v>
      </c>
      <c r="N336" s="113" t="s">
        <v>533</v>
      </c>
      <c r="O336" s="138" t="s">
        <v>472</v>
      </c>
      <c r="P336" s="113"/>
      <c r="Q336" s="113">
        <v>1</v>
      </c>
      <c r="R336" s="113"/>
      <c r="S336" s="113" t="s">
        <v>709</v>
      </c>
      <c r="T336" s="120">
        <v>1207900</v>
      </c>
      <c r="U336" s="111" t="s">
        <v>708</v>
      </c>
      <c r="V336" s="216"/>
      <c r="W336" s="216"/>
      <c r="X336" s="137"/>
      <c r="Y336" s="137"/>
      <c r="Z336" s="137"/>
      <c r="AA336" s="137"/>
      <c r="AB336" s="137"/>
      <c r="AC336" s="137"/>
      <c r="AD336" s="137"/>
      <c r="AE336" s="137"/>
      <c r="AF336" s="137"/>
      <c r="AG336" s="137"/>
      <c r="AH336" s="137"/>
      <c r="AI336" s="137"/>
      <c r="AJ336" s="137"/>
      <c r="AK336" s="137"/>
      <c r="AL336" s="137"/>
      <c r="AM336" s="137"/>
      <c r="AN336" s="137"/>
      <c r="AO336" s="137"/>
      <c r="AP336" s="137"/>
      <c r="AQ336" s="137"/>
      <c r="AR336" s="137"/>
      <c r="AS336" s="137"/>
      <c r="AT336" s="137"/>
      <c r="AU336" s="137"/>
      <c r="AV336" s="137"/>
      <c r="AW336" s="137"/>
      <c r="AX336" s="137"/>
      <c r="AY336" s="137"/>
      <c r="AZ336" s="137"/>
      <c r="BA336" s="137"/>
      <c r="BB336" s="137"/>
      <c r="BC336" s="137"/>
      <c r="BD336" s="137"/>
      <c r="BE336" s="137"/>
      <c r="BF336" s="137"/>
      <c r="BG336" s="137"/>
      <c r="BH336" s="137"/>
    </row>
    <row r="337" spans="1:60" s="136" customFormat="1" ht="126">
      <c r="A337" s="231" t="s">
        <v>447</v>
      </c>
      <c r="B337" s="231">
        <v>2570</v>
      </c>
      <c r="C337" s="118" t="s">
        <v>527</v>
      </c>
      <c r="D337" s="118"/>
      <c r="E337" s="118" t="s">
        <v>667</v>
      </c>
      <c r="F337" s="118" t="s">
        <v>666</v>
      </c>
      <c r="G337" s="118" t="s">
        <v>683</v>
      </c>
      <c r="H337" s="118" t="s">
        <v>280</v>
      </c>
      <c r="I337" s="118"/>
      <c r="J337" s="118" t="s">
        <v>278</v>
      </c>
      <c r="K337" s="113" t="s">
        <v>40</v>
      </c>
      <c r="L337" s="121">
        <f t="shared" si="8"/>
        <v>1207900</v>
      </c>
      <c r="M337" s="116">
        <f t="shared" si="9"/>
        <v>1</v>
      </c>
      <c r="N337" s="113" t="s">
        <v>533</v>
      </c>
      <c r="O337" s="138" t="s">
        <v>472</v>
      </c>
      <c r="P337" s="113"/>
      <c r="Q337" s="113">
        <v>1</v>
      </c>
      <c r="R337" s="113"/>
      <c r="S337" s="113" t="s">
        <v>707</v>
      </c>
      <c r="T337" s="120">
        <v>1207900</v>
      </c>
      <c r="U337" s="111" t="s">
        <v>706</v>
      </c>
      <c r="V337" s="216"/>
      <c r="W337" s="216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  <c r="AH337" s="137"/>
      <c r="AI337" s="137"/>
      <c r="AJ337" s="137"/>
      <c r="AK337" s="137"/>
      <c r="AL337" s="137"/>
      <c r="AM337" s="137"/>
      <c r="AN337" s="137"/>
      <c r="AO337" s="137"/>
      <c r="AP337" s="137"/>
      <c r="AQ337" s="137"/>
      <c r="AR337" s="137"/>
      <c r="AS337" s="137"/>
      <c r="AT337" s="137"/>
      <c r="AU337" s="137"/>
      <c r="AV337" s="137"/>
      <c r="AW337" s="137"/>
      <c r="AX337" s="137"/>
      <c r="AY337" s="137"/>
      <c r="AZ337" s="137"/>
      <c r="BA337" s="137"/>
      <c r="BB337" s="137"/>
      <c r="BC337" s="137"/>
      <c r="BD337" s="137"/>
      <c r="BE337" s="137"/>
      <c r="BF337" s="137"/>
      <c r="BG337" s="137"/>
      <c r="BH337" s="137"/>
    </row>
    <row r="338" spans="1:60" s="136" customFormat="1" ht="126">
      <c r="A338" s="231" t="s">
        <v>447</v>
      </c>
      <c r="B338" s="231">
        <v>2570</v>
      </c>
      <c r="C338" s="118" t="s">
        <v>527</v>
      </c>
      <c r="D338" s="118"/>
      <c r="E338" s="118" t="s">
        <v>667</v>
      </c>
      <c r="F338" s="118" t="s">
        <v>666</v>
      </c>
      <c r="G338" s="118" t="s">
        <v>683</v>
      </c>
      <c r="H338" s="118" t="s">
        <v>265</v>
      </c>
      <c r="I338" s="118"/>
      <c r="J338" s="118" t="s">
        <v>263</v>
      </c>
      <c r="K338" s="113" t="s">
        <v>63</v>
      </c>
      <c r="L338" s="121">
        <f t="shared" si="8"/>
        <v>1207900</v>
      </c>
      <c r="M338" s="116">
        <f t="shared" si="9"/>
        <v>1</v>
      </c>
      <c r="N338" s="113" t="s">
        <v>533</v>
      </c>
      <c r="O338" s="138" t="s">
        <v>472</v>
      </c>
      <c r="P338" s="113"/>
      <c r="Q338" s="113">
        <v>1</v>
      </c>
      <c r="R338" s="113"/>
      <c r="S338" s="113" t="s">
        <v>705</v>
      </c>
      <c r="T338" s="120">
        <v>1207900</v>
      </c>
      <c r="U338" s="111" t="s">
        <v>704</v>
      </c>
      <c r="V338" s="216"/>
      <c r="W338" s="216"/>
      <c r="X338" s="137"/>
      <c r="Y338" s="137"/>
      <c r="Z338" s="137"/>
      <c r="AA338" s="137"/>
      <c r="AB338" s="137"/>
      <c r="AC338" s="137"/>
      <c r="AD338" s="137"/>
      <c r="AE338" s="137"/>
      <c r="AF338" s="137"/>
      <c r="AG338" s="137"/>
      <c r="AH338" s="137"/>
      <c r="AI338" s="137"/>
      <c r="AJ338" s="137"/>
      <c r="AK338" s="137"/>
      <c r="AL338" s="137"/>
      <c r="AM338" s="137"/>
      <c r="AN338" s="137"/>
      <c r="AO338" s="137"/>
      <c r="AP338" s="137"/>
      <c r="AQ338" s="137"/>
      <c r="AR338" s="137"/>
      <c r="AS338" s="137"/>
      <c r="AT338" s="137"/>
      <c r="AU338" s="137"/>
      <c r="AV338" s="137"/>
      <c r="AW338" s="137"/>
      <c r="AX338" s="137"/>
      <c r="AY338" s="137"/>
      <c r="AZ338" s="137"/>
      <c r="BA338" s="137"/>
      <c r="BB338" s="137"/>
      <c r="BC338" s="137"/>
      <c r="BD338" s="137"/>
      <c r="BE338" s="137"/>
      <c r="BF338" s="137"/>
      <c r="BG338" s="137"/>
      <c r="BH338" s="137"/>
    </row>
    <row r="339" spans="1:60" s="136" customFormat="1" ht="126">
      <c r="A339" s="231" t="s">
        <v>447</v>
      </c>
      <c r="B339" s="231">
        <v>2570</v>
      </c>
      <c r="C339" s="118" t="s">
        <v>527</v>
      </c>
      <c r="D339" s="118"/>
      <c r="E339" s="118" t="s">
        <v>667</v>
      </c>
      <c r="F339" s="118" t="s">
        <v>666</v>
      </c>
      <c r="G339" s="118" t="s">
        <v>683</v>
      </c>
      <c r="H339" s="118" t="s">
        <v>465</v>
      </c>
      <c r="I339" s="118"/>
      <c r="J339" s="118" t="s">
        <v>436</v>
      </c>
      <c r="K339" s="113" t="s">
        <v>63</v>
      </c>
      <c r="L339" s="121">
        <f t="shared" si="8"/>
        <v>1207900</v>
      </c>
      <c r="M339" s="116">
        <f t="shared" si="9"/>
        <v>1</v>
      </c>
      <c r="N339" s="113" t="s">
        <v>533</v>
      </c>
      <c r="O339" s="138" t="s">
        <v>472</v>
      </c>
      <c r="P339" s="113"/>
      <c r="Q339" s="113">
        <v>1</v>
      </c>
      <c r="R339" s="113"/>
      <c r="S339" s="113" t="s">
        <v>703</v>
      </c>
      <c r="T339" s="120">
        <v>1207900</v>
      </c>
      <c r="U339" s="111" t="s">
        <v>702</v>
      </c>
      <c r="V339" s="216"/>
      <c r="W339" s="216"/>
      <c r="X339" s="137"/>
      <c r="Y339" s="137"/>
      <c r="Z339" s="137"/>
      <c r="AA339" s="137"/>
      <c r="AB339" s="137"/>
      <c r="AC339" s="137"/>
      <c r="AD339" s="137"/>
      <c r="AE339" s="137"/>
      <c r="AF339" s="137"/>
      <c r="AG339" s="137"/>
      <c r="AH339" s="137"/>
      <c r="AI339" s="137"/>
      <c r="AJ339" s="137"/>
      <c r="AK339" s="137"/>
      <c r="AL339" s="137"/>
      <c r="AM339" s="137"/>
      <c r="AN339" s="137"/>
      <c r="AO339" s="137"/>
      <c r="AP339" s="137"/>
      <c r="AQ339" s="137"/>
      <c r="AR339" s="137"/>
      <c r="AS339" s="137"/>
      <c r="AT339" s="137"/>
      <c r="AU339" s="137"/>
      <c r="AV339" s="137"/>
      <c r="AW339" s="137"/>
      <c r="AX339" s="137"/>
      <c r="AY339" s="137"/>
      <c r="AZ339" s="137"/>
      <c r="BA339" s="137"/>
      <c r="BB339" s="137"/>
      <c r="BC339" s="137"/>
      <c r="BD339" s="137"/>
      <c r="BE339" s="137"/>
      <c r="BF339" s="137"/>
      <c r="BG339" s="137"/>
      <c r="BH339" s="137"/>
    </row>
    <row r="340" spans="1:60" s="136" customFormat="1" ht="126">
      <c r="A340" s="231" t="s">
        <v>447</v>
      </c>
      <c r="B340" s="231">
        <v>2570</v>
      </c>
      <c r="C340" s="118" t="s">
        <v>527</v>
      </c>
      <c r="D340" s="118"/>
      <c r="E340" s="118" t="s">
        <v>667</v>
      </c>
      <c r="F340" s="118" t="s">
        <v>666</v>
      </c>
      <c r="G340" s="118" t="s">
        <v>683</v>
      </c>
      <c r="H340" s="118" t="s">
        <v>451</v>
      </c>
      <c r="I340" s="118"/>
      <c r="J340" s="118" t="s">
        <v>444</v>
      </c>
      <c r="K340" s="113" t="s">
        <v>13</v>
      </c>
      <c r="L340" s="121">
        <f t="shared" si="8"/>
        <v>1207900</v>
      </c>
      <c r="M340" s="116">
        <f t="shared" si="9"/>
        <v>1</v>
      </c>
      <c r="N340" s="113" t="s">
        <v>533</v>
      </c>
      <c r="O340" s="138" t="s">
        <v>472</v>
      </c>
      <c r="P340" s="113"/>
      <c r="Q340" s="113">
        <v>1</v>
      </c>
      <c r="R340" s="113"/>
      <c r="S340" s="113" t="s">
        <v>701</v>
      </c>
      <c r="T340" s="120">
        <v>1207900</v>
      </c>
      <c r="U340" s="111" t="s">
        <v>700</v>
      </c>
      <c r="V340" s="216"/>
      <c r="W340" s="216"/>
      <c r="X340" s="137"/>
      <c r="Y340" s="137"/>
      <c r="Z340" s="137"/>
      <c r="AA340" s="137"/>
      <c r="AB340" s="137"/>
      <c r="AC340" s="137"/>
      <c r="AD340" s="137"/>
      <c r="AE340" s="137"/>
      <c r="AF340" s="137"/>
      <c r="AG340" s="137"/>
      <c r="AH340" s="137"/>
      <c r="AI340" s="137"/>
      <c r="AJ340" s="137"/>
      <c r="AK340" s="137"/>
      <c r="AL340" s="137"/>
      <c r="AM340" s="137"/>
      <c r="AN340" s="137"/>
      <c r="AO340" s="137"/>
      <c r="AP340" s="137"/>
      <c r="AQ340" s="137"/>
      <c r="AR340" s="137"/>
      <c r="AS340" s="137"/>
      <c r="AT340" s="137"/>
      <c r="AU340" s="137"/>
      <c r="AV340" s="137"/>
      <c r="AW340" s="137"/>
      <c r="AX340" s="137"/>
      <c r="AY340" s="137"/>
      <c r="AZ340" s="137"/>
      <c r="BA340" s="137"/>
      <c r="BB340" s="137"/>
      <c r="BC340" s="137"/>
      <c r="BD340" s="137"/>
      <c r="BE340" s="137"/>
      <c r="BF340" s="137"/>
      <c r="BG340" s="137"/>
      <c r="BH340" s="137"/>
    </row>
    <row r="341" spans="1:60" s="136" customFormat="1" ht="126">
      <c r="A341" s="231" t="s">
        <v>447</v>
      </c>
      <c r="B341" s="231">
        <v>2570</v>
      </c>
      <c r="C341" s="118" t="s">
        <v>527</v>
      </c>
      <c r="D341" s="118"/>
      <c r="E341" s="118" t="s">
        <v>667</v>
      </c>
      <c r="F341" s="118" t="s">
        <v>666</v>
      </c>
      <c r="G341" s="118" t="s">
        <v>683</v>
      </c>
      <c r="H341" s="118" t="s">
        <v>381</v>
      </c>
      <c r="I341" s="118"/>
      <c r="J341" s="118" t="s">
        <v>379</v>
      </c>
      <c r="K341" s="113" t="s">
        <v>63</v>
      </c>
      <c r="L341" s="121">
        <f t="shared" si="8"/>
        <v>1207900</v>
      </c>
      <c r="M341" s="116">
        <f t="shared" si="9"/>
        <v>1</v>
      </c>
      <c r="N341" s="113" t="s">
        <v>533</v>
      </c>
      <c r="O341" s="138" t="s">
        <v>472</v>
      </c>
      <c r="P341" s="113"/>
      <c r="Q341" s="113">
        <v>1</v>
      </c>
      <c r="R341" s="113"/>
      <c r="S341" s="113" t="s">
        <v>699</v>
      </c>
      <c r="T341" s="120">
        <v>1207900</v>
      </c>
      <c r="U341" s="111" t="s">
        <v>698</v>
      </c>
      <c r="V341" s="216"/>
      <c r="W341" s="216"/>
      <c r="X341" s="137"/>
      <c r="Y341" s="137"/>
      <c r="Z341" s="137"/>
      <c r="AA341" s="137"/>
      <c r="AB341" s="137"/>
      <c r="AC341" s="137"/>
      <c r="AD341" s="137"/>
      <c r="AE341" s="137"/>
      <c r="AF341" s="137"/>
      <c r="AG341" s="137"/>
      <c r="AH341" s="137"/>
      <c r="AI341" s="137"/>
      <c r="AJ341" s="137"/>
      <c r="AK341" s="137"/>
      <c r="AL341" s="137"/>
      <c r="AM341" s="137"/>
      <c r="AN341" s="137"/>
      <c r="AO341" s="137"/>
      <c r="AP341" s="137"/>
      <c r="AQ341" s="137"/>
      <c r="AR341" s="137"/>
      <c r="AS341" s="137"/>
      <c r="AT341" s="137"/>
      <c r="AU341" s="137"/>
      <c r="AV341" s="137"/>
      <c r="AW341" s="137"/>
      <c r="AX341" s="137"/>
      <c r="AY341" s="137"/>
      <c r="AZ341" s="137"/>
      <c r="BA341" s="137"/>
      <c r="BB341" s="137"/>
      <c r="BC341" s="137"/>
      <c r="BD341" s="137"/>
      <c r="BE341" s="137"/>
      <c r="BF341" s="137"/>
      <c r="BG341" s="137"/>
      <c r="BH341" s="137"/>
    </row>
    <row r="342" spans="1:60" s="136" customFormat="1" ht="126">
      <c r="A342" s="231" t="s">
        <v>447</v>
      </c>
      <c r="B342" s="231">
        <v>2570</v>
      </c>
      <c r="C342" s="118" t="s">
        <v>527</v>
      </c>
      <c r="D342" s="118"/>
      <c r="E342" s="118" t="s">
        <v>667</v>
      </c>
      <c r="F342" s="118" t="s">
        <v>666</v>
      </c>
      <c r="G342" s="118" t="s">
        <v>683</v>
      </c>
      <c r="H342" s="118" t="s">
        <v>322</v>
      </c>
      <c r="I342" s="118"/>
      <c r="J342" s="118" t="s">
        <v>320</v>
      </c>
      <c r="K342" s="113" t="s">
        <v>40</v>
      </c>
      <c r="L342" s="121">
        <f t="shared" si="8"/>
        <v>1207900</v>
      </c>
      <c r="M342" s="116">
        <f t="shared" si="9"/>
        <v>1</v>
      </c>
      <c r="N342" s="113" t="s">
        <v>533</v>
      </c>
      <c r="O342" s="138" t="s">
        <v>472</v>
      </c>
      <c r="P342" s="113"/>
      <c r="Q342" s="113">
        <v>1</v>
      </c>
      <c r="R342" s="113"/>
      <c r="S342" s="113" t="s">
        <v>697</v>
      </c>
      <c r="T342" s="120">
        <v>1207900</v>
      </c>
      <c r="U342" s="111" t="s">
        <v>696</v>
      </c>
      <c r="V342" s="216"/>
      <c r="W342" s="216"/>
      <c r="X342" s="137"/>
      <c r="Y342" s="137"/>
      <c r="Z342" s="137"/>
      <c r="AA342" s="137"/>
      <c r="AB342" s="137"/>
      <c r="AC342" s="137"/>
      <c r="AD342" s="137"/>
      <c r="AE342" s="137"/>
      <c r="AF342" s="137"/>
      <c r="AG342" s="137"/>
      <c r="AH342" s="137"/>
      <c r="AI342" s="137"/>
      <c r="AJ342" s="137"/>
      <c r="AK342" s="137"/>
      <c r="AL342" s="137"/>
      <c r="AM342" s="137"/>
      <c r="AN342" s="137"/>
      <c r="AO342" s="137"/>
      <c r="AP342" s="137"/>
      <c r="AQ342" s="137"/>
      <c r="AR342" s="137"/>
      <c r="AS342" s="137"/>
      <c r="AT342" s="137"/>
      <c r="AU342" s="137"/>
      <c r="AV342" s="137"/>
      <c r="AW342" s="137"/>
      <c r="AX342" s="137"/>
      <c r="AY342" s="137"/>
      <c r="AZ342" s="137"/>
      <c r="BA342" s="137"/>
      <c r="BB342" s="137"/>
      <c r="BC342" s="137"/>
      <c r="BD342" s="137"/>
      <c r="BE342" s="137"/>
      <c r="BF342" s="137"/>
      <c r="BG342" s="137"/>
      <c r="BH342" s="137"/>
    </row>
    <row r="343" spans="1:60" s="136" customFormat="1" ht="126">
      <c r="A343" s="231" t="s">
        <v>447</v>
      </c>
      <c r="B343" s="231">
        <v>2570</v>
      </c>
      <c r="C343" s="118" t="s">
        <v>527</v>
      </c>
      <c r="D343" s="118"/>
      <c r="E343" s="118" t="s">
        <v>667</v>
      </c>
      <c r="F343" s="118" t="s">
        <v>666</v>
      </c>
      <c r="G343" s="118" t="s">
        <v>683</v>
      </c>
      <c r="H343" s="118" t="s">
        <v>124</v>
      </c>
      <c r="I343" s="118"/>
      <c r="J343" s="118" t="s">
        <v>122</v>
      </c>
      <c r="K343" s="113" t="s">
        <v>63</v>
      </c>
      <c r="L343" s="121">
        <f t="shared" si="8"/>
        <v>1207900</v>
      </c>
      <c r="M343" s="116">
        <f t="shared" si="9"/>
        <v>1</v>
      </c>
      <c r="N343" s="113" t="s">
        <v>533</v>
      </c>
      <c r="O343" s="138" t="s">
        <v>472</v>
      </c>
      <c r="P343" s="116"/>
      <c r="Q343" s="116">
        <v>1</v>
      </c>
      <c r="R343" s="116"/>
      <c r="S343" s="116" t="s">
        <v>695</v>
      </c>
      <c r="T343" s="120">
        <v>1207900</v>
      </c>
      <c r="U343" s="140" t="s">
        <v>694</v>
      </c>
      <c r="V343" s="216"/>
      <c r="W343" s="216"/>
      <c r="X343" s="137"/>
      <c r="Y343" s="137"/>
      <c r="Z343" s="137"/>
      <c r="AA343" s="137"/>
      <c r="AB343" s="137"/>
      <c r="AC343" s="137"/>
      <c r="AD343" s="137"/>
      <c r="AE343" s="137"/>
      <c r="AF343" s="137"/>
      <c r="AG343" s="137"/>
      <c r="AH343" s="137"/>
      <c r="AI343" s="137"/>
      <c r="AJ343" s="137"/>
      <c r="AK343" s="137"/>
      <c r="AL343" s="137"/>
      <c r="AM343" s="137"/>
      <c r="AN343" s="137"/>
      <c r="AO343" s="137"/>
      <c r="AP343" s="137"/>
      <c r="AQ343" s="137"/>
      <c r="AR343" s="137"/>
      <c r="AS343" s="137"/>
      <c r="AT343" s="137"/>
      <c r="AU343" s="137"/>
      <c r="AV343" s="137"/>
      <c r="AW343" s="137"/>
      <c r="AX343" s="137"/>
      <c r="AY343" s="137"/>
      <c r="AZ343" s="137"/>
      <c r="BA343" s="137"/>
      <c r="BB343" s="137"/>
      <c r="BC343" s="137"/>
      <c r="BD343" s="137"/>
      <c r="BE343" s="137"/>
      <c r="BF343" s="137"/>
      <c r="BG343" s="137"/>
      <c r="BH343" s="137"/>
    </row>
    <row r="344" spans="1:60" s="136" customFormat="1" ht="126">
      <c r="A344" s="231" t="s">
        <v>447</v>
      </c>
      <c r="B344" s="231">
        <v>2570</v>
      </c>
      <c r="C344" s="118" t="s">
        <v>527</v>
      </c>
      <c r="D344" s="118"/>
      <c r="E344" s="118" t="s">
        <v>667</v>
      </c>
      <c r="F344" s="118" t="s">
        <v>666</v>
      </c>
      <c r="G344" s="118" t="s">
        <v>683</v>
      </c>
      <c r="H344" s="118" t="s">
        <v>385</v>
      </c>
      <c r="I344" s="118"/>
      <c r="J344" s="118" t="s">
        <v>383</v>
      </c>
      <c r="K344" s="113" t="s">
        <v>149</v>
      </c>
      <c r="L344" s="121">
        <f t="shared" si="8"/>
        <v>1207900</v>
      </c>
      <c r="M344" s="116">
        <f t="shared" si="9"/>
        <v>1</v>
      </c>
      <c r="N344" s="113" t="s">
        <v>533</v>
      </c>
      <c r="O344" s="138" t="s">
        <v>472</v>
      </c>
      <c r="P344" s="113"/>
      <c r="Q344" s="113">
        <v>1</v>
      </c>
      <c r="R344" s="113"/>
      <c r="S344" s="113" t="s">
        <v>693</v>
      </c>
      <c r="T344" s="120">
        <v>1207900</v>
      </c>
      <c r="U344" s="111" t="s">
        <v>692</v>
      </c>
      <c r="V344" s="216"/>
      <c r="W344" s="216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  <c r="AH344" s="137"/>
      <c r="AI344" s="137"/>
      <c r="AJ344" s="137"/>
      <c r="AK344" s="137"/>
      <c r="AL344" s="137"/>
      <c r="AM344" s="137"/>
      <c r="AN344" s="137"/>
      <c r="AO344" s="137"/>
      <c r="AP344" s="137"/>
      <c r="AQ344" s="137"/>
      <c r="AR344" s="137"/>
      <c r="AS344" s="137"/>
      <c r="AT344" s="137"/>
      <c r="AU344" s="137"/>
      <c r="AV344" s="137"/>
      <c r="AW344" s="137"/>
      <c r="AX344" s="137"/>
      <c r="AY344" s="137"/>
      <c r="AZ344" s="137"/>
      <c r="BA344" s="137"/>
      <c r="BB344" s="137"/>
      <c r="BC344" s="137"/>
      <c r="BD344" s="137"/>
      <c r="BE344" s="137"/>
      <c r="BF344" s="137"/>
      <c r="BG344" s="137"/>
      <c r="BH344" s="137"/>
    </row>
    <row r="345" spans="1:60" s="136" customFormat="1" ht="126">
      <c r="A345" s="231" t="s">
        <v>447</v>
      </c>
      <c r="B345" s="231">
        <v>2570</v>
      </c>
      <c r="C345" s="118" t="s">
        <v>527</v>
      </c>
      <c r="D345" s="118"/>
      <c r="E345" s="118" t="s">
        <v>667</v>
      </c>
      <c r="F345" s="118" t="s">
        <v>666</v>
      </c>
      <c r="G345" s="118" t="s">
        <v>683</v>
      </c>
      <c r="H345" s="118" t="s">
        <v>399</v>
      </c>
      <c r="I345" s="118"/>
      <c r="J345" s="118" t="s">
        <v>397</v>
      </c>
      <c r="K345" s="113" t="s">
        <v>149</v>
      </c>
      <c r="L345" s="121">
        <f t="shared" si="8"/>
        <v>1207900</v>
      </c>
      <c r="M345" s="116">
        <f t="shared" si="9"/>
        <v>1</v>
      </c>
      <c r="N345" s="113" t="s">
        <v>533</v>
      </c>
      <c r="O345" s="138" t="s">
        <v>472</v>
      </c>
      <c r="P345" s="113"/>
      <c r="Q345" s="113">
        <v>1</v>
      </c>
      <c r="R345" s="113"/>
      <c r="S345" s="113" t="s">
        <v>691</v>
      </c>
      <c r="T345" s="120">
        <v>1207900</v>
      </c>
      <c r="U345" s="111" t="s">
        <v>690</v>
      </c>
      <c r="V345" s="216"/>
      <c r="W345" s="216"/>
      <c r="X345" s="137"/>
      <c r="Y345" s="137"/>
      <c r="Z345" s="137"/>
      <c r="AA345" s="137"/>
      <c r="AB345" s="137"/>
      <c r="AC345" s="137"/>
      <c r="AD345" s="137"/>
      <c r="AE345" s="137"/>
      <c r="AF345" s="137"/>
      <c r="AG345" s="137"/>
      <c r="AH345" s="137"/>
      <c r="AI345" s="137"/>
      <c r="AJ345" s="137"/>
      <c r="AK345" s="137"/>
      <c r="AL345" s="137"/>
      <c r="AM345" s="137"/>
      <c r="AN345" s="137"/>
      <c r="AO345" s="137"/>
      <c r="AP345" s="137"/>
      <c r="AQ345" s="137"/>
      <c r="AR345" s="137"/>
      <c r="AS345" s="137"/>
      <c r="AT345" s="137"/>
      <c r="AU345" s="137"/>
      <c r="AV345" s="137"/>
      <c r="AW345" s="137"/>
      <c r="AX345" s="137"/>
      <c r="AY345" s="137"/>
      <c r="AZ345" s="137"/>
      <c r="BA345" s="137"/>
      <c r="BB345" s="137"/>
      <c r="BC345" s="137"/>
      <c r="BD345" s="137"/>
      <c r="BE345" s="137"/>
      <c r="BF345" s="137"/>
      <c r="BG345" s="137"/>
      <c r="BH345" s="137"/>
    </row>
    <row r="346" spans="1:60" s="136" customFormat="1" ht="126">
      <c r="A346" s="231" t="s">
        <v>447</v>
      </c>
      <c r="B346" s="231">
        <v>2570</v>
      </c>
      <c r="C346" s="118" t="s">
        <v>527</v>
      </c>
      <c r="D346" s="118"/>
      <c r="E346" s="118" t="s">
        <v>667</v>
      </c>
      <c r="F346" s="118" t="s">
        <v>666</v>
      </c>
      <c r="G346" s="118" t="s">
        <v>683</v>
      </c>
      <c r="H346" s="118" t="s">
        <v>132</v>
      </c>
      <c r="I346" s="118"/>
      <c r="J346" s="118" t="s">
        <v>130</v>
      </c>
      <c r="K346" s="113" t="s">
        <v>63</v>
      </c>
      <c r="L346" s="121">
        <f t="shared" si="8"/>
        <v>1207900</v>
      </c>
      <c r="M346" s="116">
        <f t="shared" si="9"/>
        <v>1</v>
      </c>
      <c r="N346" s="113" t="s">
        <v>533</v>
      </c>
      <c r="O346" s="138" t="s">
        <v>472</v>
      </c>
      <c r="P346" s="113"/>
      <c r="Q346" s="113">
        <v>1</v>
      </c>
      <c r="R346" s="113"/>
      <c r="S346" s="113" t="s">
        <v>689</v>
      </c>
      <c r="T346" s="120">
        <v>1207900</v>
      </c>
      <c r="U346" s="111" t="s">
        <v>688</v>
      </c>
      <c r="V346" s="216"/>
      <c r="W346" s="216"/>
      <c r="X346" s="137"/>
      <c r="Y346" s="137"/>
      <c r="Z346" s="137"/>
      <c r="AA346" s="137"/>
      <c r="AB346" s="137"/>
      <c r="AC346" s="137"/>
      <c r="AD346" s="137"/>
      <c r="AE346" s="137"/>
      <c r="AF346" s="137"/>
      <c r="AG346" s="137"/>
      <c r="AH346" s="137"/>
      <c r="AI346" s="137"/>
      <c r="AJ346" s="137"/>
      <c r="AK346" s="137"/>
      <c r="AL346" s="137"/>
      <c r="AM346" s="137"/>
      <c r="AN346" s="137"/>
      <c r="AO346" s="137"/>
      <c r="AP346" s="137"/>
      <c r="AQ346" s="137"/>
      <c r="AR346" s="137"/>
      <c r="AS346" s="137"/>
      <c r="AT346" s="137"/>
      <c r="AU346" s="137"/>
      <c r="AV346" s="137"/>
      <c r="AW346" s="137"/>
      <c r="AX346" s="137"/>
      <c r="AY346" s="137"/>
      <c r="AZ346" s="137"/>
      <c r="BA346" s="137"/>
      <c r="BB346" s="137"/>
      <c r="BC346" s="137"/>
      <c r="BD346" s="137"/>
      <c r="BE346" s="137"/>
      <c r="BF346" s="137"/>
      <c r="BG346" s="137"/>
      <c r="BH346" s="137"/>
    </row>
    <row r="347" spans="1:60" s="136" customFormat="1" ht="126">
      <c r="A347" s="231" t="s">
        <v>447</v>
      </c>
      <c r="B347" s="231">
        <v>2570</v>
      </c>
      <c r="C347" s="118" t="s">
        <v>527</v>
      </c>
      <c r="D347" s="118"/>
      <c r="E347" s="118" t="s">
        <v>667</v>
      </c>
      <c r="F347" s="118" t="s">
        <v>666</v>
      </c>
      <c r="G347" s="118" t="s">
        <v>683</v>
      </c>
      <c r="H347" s="118" t="s">
        <v>33</v>
      </c>
      <c r="I347" s="118"/>
      <c r="J347" s="118" t="s">
        <v>672</v>
      </c>
      <c r="K347" s="113" t="s">
        <v>13</v>
      </c>
      <c r="L347" s="121">
        <f t="shared" si="8"/>
        <v>1207900</v>
      </c>
      <c r="M347" s="116">
        <f t="shared" si="9"/>
        <v>1</v>
      </c>
      <c r="N347" s="113" t="s">
        <v>533</v>
      </c>
      <c r="O347" s="138" t="s">
        <v>472</v>
      </c>
      <c r="P347" s="113"/>
      <c r="Q347" s="113">
        <v>1</v>
      </c>
      <c r="R347" s="113"/>
      <c r="S347" s="113" t="s">
        <v>687</v>
      </c>
      <c r="T347" s="120">
        <v>1207900</v>
      </c>
      <c r="U347" s="111" t="s">
        <v>686</v>
      </c>
      <c r="V347" s="216"/>
      <c r="W347" s="216"/>
      <c r="X347" s="137"/>
      <c r="Y347" s="137"/>
      <c r="Z347" s="137"/>
      <c r="AA347" s="137"/>
      <c r="AB347" s="137"/>
      <c r="AC347" s="137"/>
      <c r="AD347" s="137"/>
      <c r="AE347" s="137"/>
      <c r="AF347" s="137"/>
      <c r="AG347" s="137"/>
      <c r="AH347" s="137"/>
      <c r="AI347" s="137"/>
      <c r="AJ347" s="137"/>
      <c r="AK347" s="137"/>
      <c r="AL347" s="137"/>
      <c r="AM347" s="137"/>
      <c r="AN347" s="137"/>
      <c r="AO347" s="137"/>
      <c r="AP347" s="137"/>
      <c r="AQ347" s="137"/>
      <c r="AR347" s="137"/>
      <c r="AS347" s="137"/>
      <c r="AT347" s="137"/>
      <c r="AU347" s="137"/>
      <c r="AV347" s="137"/>
      <c r="AW347" s="137"/>
      <c r="AX347" s="137"/>
      <c r="AY347" s="137"/>
      <c r="AZ347" s="137"/>
      <c r="BA347" s="137"/>
      <c r="BB347" s="137"/>
      <c r="BC347" s="137"/>
      <c r="BD347" s="137"/>
      <c r="BE347" s="137"/>
      <c r="BF347" s="137"/>
      <c r="BG347" s="137"/>
      <c r="BH347" s="137"/>
    </row>
    <row r="348" spans="1:60" s="136" customFormat="1" ht="126">
      <c r="A348" s="231" t="s">
        <v>447</v>
      </c>
      <c r="B348" s="231">
        <v>2570</v>
      </c>
      <c r="C348" s="118" t="s">
        <v>527</v>
      </c>
      <c r="D348" s="118"/>
      <c r="E348" s="118" t="s">
        <v>667</v>
      </c>
      <c r="F348" s="118" t="s">
        <v>666</v>
      </c>
      <c r="G348" s="118" t="s">
        <v>683</v>
      </c>
      <c r="H348" s="118" t="s">
        <v>455</v>
      </c>
      <c r="I348" s="118"/>
      <c r="J348" s="118" t="s">
        <v>443</v>
      </c>
      <c r="K348" s="113" t="s">
        <v>40</v>
      </c>
      <c r="L348" s="121">
        <f t="shared" si="8"/>
        <v>1207900</v>
      </c>
      <c r="M348" s="116">
        <f t="shared" si="9"/>
        <v>1</v>
      </c>
      <c r="N348" s="113" t="s">
        <v>533</v>
      </c>
      <c r="O348" s="138" t="s">
        <v>472</v>
      </c>
      <c r="P348" s="113"/>
      <c r="Q348" s="113">
        <v>1</v>
      </c>
      <c r="R348" s="113"/>
      <c r="S348" s="113" t="s">
        <v>685</v>
      </c>
      <c r="T348" s="120">
        <v>1207900</v>
      </c>
      <c r="U348" s="111" t="s">
        <v>684</v>
      </c>
      <c r="V348" s="216"/>
      <c r="W348" s="216"/>
      <c r="X348" s="137"/>
      <c r="Y348" s="137"/>
      <c r="Z348" s="137"/>
      <c r="AA348" s="137"/>
      <c r="AB348" s="137"/>
      <c r="AC348" s="137"/>
      <c r="AD348" s="137"/>
      <c r="AE348" s="137"/>
      <c r="AF348" s="137"/>
      <c r="AG348" s="137"/>
      <c r="AH348" s="137"/>
      <c r="AI348" s="137"/>
      <c r="AJ348" s="137"/>
      <c r="AK348" s="137"/>
      <c r="AL348" s="137"/>
      <c r="AM348" s="137"/>
      <c r="AN348" s="137"/>
      <c r="AO348" s="137"/>
      <c r="AP348" s="137"/>
      <c r="AQ348" s="137"/>
      <c r="AR348" s="137"/>
      <c r="AS348" s="137"/>
      <c r="AT348" s="137"/>
      <c r="AU348" s="137"/>
      <c r="AV348" s="137"/>
      <c r="AW348" s="137"/>
      <c r="AX348" s="137"/>
      <c r="AY348" s="137"/>
      <c r="AZ348" s="137"/>
      <c r="BA348" s="137"/>
      <c r="BB348" s="137"/>
      <c r="BC348" s="137"/>
      <c r="BD348" s="137"/>
      <c r="BE348" s="137"/>
      <c r="BF348" s="137"/>
      <c r="BG348" s="137"/>
      <c r="BH348" s="137"/>
    </row>
    <row r="349" spans="1:60" s="136" customFormat="1" ht="126">
      <c r="A349" s="231" t="s">
        <v>447</v>
      </c>
      <c r="B349" s="231">
        <v>2570</v>
      </c>
      <c r="C349" s="118" t="s">
        <v>527</v>
      </c>
      <c r="D349" s="118"/>
      <c r="E349" s="118" t="s">
        <v>667</v>
      </c>
      <c r="F349" s="118" t="s">
        <v>666</v>
      </c>
      <c r="G349" s="118" t="s">
        <v>683</v>
      </c>
      <c r="H349" s="118" t="s">
        <v>300</v>
      </c>
      <c r="I349" s="118"/>
      <c r="J349" s="118" t="s">
        <v>298</v>
      </c>
      <c r="K349" s="113" t="s">
        <v>149</v>
      </c>
      <c r="L349" s="121">
        <f t="shared" si="8"/>
        <v>1207900</v>
      </c>
      <c r="M349" s="116">
        <f t="shared" si="9"/>
        <v>1</v>
      </c>
      <c r="N349" s="113" t="s">
        <v>533</v>
      </c>
      <c r="O349" s="138" t="s">
        <v>472</v>
      </c>
      <c r="P349" s="113"/>
      <c r="Q349" s="113"/>
      <c r="R349" s="139">
        <v>1</v>
      </c>
      <c r="S349" s="113" t="s">
        <v>682</v>
      </c>
      <c r="T349" s="120">
        <v>1207900</v>
      </c>
      <c r="U349" s="111" t="s">
        <v>681</v>
      </c>
      <c r="V349" s="216"/>
      <c r="W349" s="216"/>
      <c r="X349" s="137"/>
      <c r="Y349" s="137"/>
      <c r="Z349" s="137"/>
      <c r="AA349" s="137"/>
      <c r="AB349" s="137"/>
      <c r="AC349" s="137"/>
      <c r="AD349" s="137"/>
      <c r="AE349" s="137"/>
      <c r="AF349" s="137"/>
      <c r="AG349" s="137"/>
      <c r="AH349" s="137"/>
      <c r="AI349" s="137"/>
      <c r="AJ349" s="137"/>
      <c r="AK349" s="137"/>
      <c r="AL349" s="137"/>
      <c r="AM349" s="137"/>
      <c r="AN349" s="137"/>
      <c r="AO349" s="137"/>
      <c r="AP349" s="137"/>
      <c r="AQ349" s="137"/>
      <c r="AR349" s="137"/>
      <c r="AS349" s="137"/>
      <c r="AT349" s="137"/>
      <c r="AU349" s="137"/>
      <c r="AV349" s="137"/>
      <c r="AW349" s="137"/>
      <c r="AX349" s="137"/>
      <c r="AY349" s="137"/>
      <c r="AZ349" s="137"/>
      <c r="BA349" s="137"/>
      <c r="BB349" s="137"/>
      <c r="BC349" s="137"/>
      <c r="BD349" s="137"/>
      <c r="BE349" s="137"/>
      <c r="BF349" s="137"/>
      <c r="BG349" s="137"/>
      <c r="BH349" s="137"/>
    </row>
    <row r="350" spans="1:60" s="136" customFormat="1" ht="126">
      <c r="A350" s="231" t="s">
        <v>447</v>
      </c>
      <c r="B350" s="231">
        <v>2570</v>
      </c>
      <c r="C350" s="118" t="s">
        <v>527</v>
      </c>
      <c r="D350" s="118"/>
      <c r="E350" s="118" t="s">
        <v>667</v>
      </c>
      <c r="F350" s="118" t="s">
        <v>666</v>
      </c>
      <c r="G350" s="118" t="s">
        <v>680</v>
      </c>
      <c r="H350" s="118" t="s">
        <v>50</v>
      </c>
      <c r="I350" s="118"/>
      <c r="J350" s="118" t="s">
        <v>679</v>
      </c>
      <c r="K350" s="113" t="s">
        <v>40</v>
      </c>
      <c r="L350" s="121">
        <f t="shared" si="8"/>
        <v>1477000</v>
      </c>
      <c r="M350" s="116">
        <f t="shared" si="9"/>
        <v>1</v>
      </c>
      <c r="N350" s="113" t="s">
        <v>533</v>
      </c>
      <c r="O350" s="138" t="s">
        <v>472</v>
      </c>
      <c r="P350" s="113"/>
      <c r="Q350" s="113"/>
      <c r="R350" s="113">
        <v>1</v>
      </c>
      <c r="S350" s="113"/>
      <c r="T350" s="120">
        <v>1477000</v>
      </c>
      <c r="U350" s="111" t="s">
        <v>678</v>
      </c>
      <c r="V350" s="216"/>
      <c r="W350" s="216"/>
      <c r="X350" s="137"/>
      <c r="Y350" s="137"/>
      <c r="Z350" s="137"/>
      <c r="AA350" s="137"/>
      <c r="AB350" s="137"/>
      <c r="AC350" s="137"/>
      <c r="AD350" s="137"/>
      <c r="AE350" s="137"/>
      <c r="AF350" s="137"/>
      <c r="AG350" s="137"/>
      <c r="AH350" s="137"/>
      <c r="AI350" s="137"/>
      <c r="AJ350" s="137"/>
      <c r="AK350" s="137"/>
      <c r="AL350" s="137"/>
      <c r="AM350" s="137"/>
      <c r="AN350" s="137"/>
      <c r="AO350" s="137"/>
      <c r="AP350" s="137"/>
      <c r="AQ350" s="137"/>
      <c r="AR350" s="137"/>
      <c r="AS350" s="137"/>
      <c r="AT350" s="137"/>
      <c r="AU350" s="137"/>
      <c r="AV350" s="137"/>
      <c r="AW350" s="137"/>
      <c r="AX350" s="137"/>
      <c r="AY350" s="137"/>
      <c r="AZ350" s="137"/>
      <c r="BA350" s="137"/>
      <c r="BB350" s="137"/>
      <c r="BC350" s="137"/>
      <c r="BD350" s="137"/>
      <c r="BE350" s="137"/>
      <c r="BF350" s="137"/>
      <c r="BG350" s="137"/>
      <c r="BH350" s="137"/>
    </row>
    <row r="351" spans="1:60" s="136" customFormat="1" ht="126">
      <c r="A351" s="231" t="s">
        <v>447</v>
      </c>
      <c r="B351" s="231">
        <v>2570</v>
      </c>
      <c r="C351" s="118" t="s">
        <v>527</v>
      </c>
      <c r="D351" s="118"/>
      <c r="E351" s="118" t="s">
        <v>667</v>
      </c>
      <c r="F351" s="118" t="s">
        <v>666</v>
      </c>
      <c r="G351" s="118" t="s">
        <v>677</v>
      </c>
      <c r="H351" s="118" t="s">
        <v>280</v>
      </c>
      <c r="I351" s="118"/>
      <c r="J351" s="118" t="s">
        <v>278</v>
      </c>
      <c r="K351" s="113" t="s">
        <v>40</v>
      </c>
      <c r="L351" s="121">
        <f t="shared" si="8"/>
        <v>1664000</v>
      </c>
      <c r="M351" s="116">
        <f t="shared" si="9"/>
        <v>1</v>
      </c>
      <c r="N351" s="113" t="s">
        <v>533</v>
      </c>
      <c r="O351" s="138" t="s">
        <v>472</v>
      </c>
      <c r="P351" s="113"/>
      <c r="Q351" s="113"/>
      <c r="R351" s="113">
        <v>1</v>
      </c>
      <c r="S351" s="113"/>
      <c r="T351" s="120">
        <v>1664000</v>
      </c>
      <c r="U351" s="111" t="s">
        <v>676</v>
      </c>
      <c r="V351" s="216"/>
      <c r="W351" s="216"/>
      <c r="X351" s="137"/>
      <c r="Y351" s="137"/>
      <c r="Z351" s="137"/>
      <c r="AA351" s="137"/>
      <c r="AB351" s="137"/>
      <c r="AC351" s="137"/>
      <c r="AD351" s="137"/>
      <c r="AE351" s="137"/>
      <c r="AF351" s="137"/>
      <c r="AG351" s="137"/>
      <c r="AH351" s="137"/>
      <c r="AI351" s="137"/>
      <c r="AJ351" s="137"/>
      <c r="AK351" s="137"/>
      <c r="AL351" s="137"/>
      <c r="AM351" s="137"/>
      <c r="AN351" s="137"/>
      <c r="AO351" s="137"/>
      <c r="AP351" s="137"/>
      <c r="AQ351" s="137"/>
      <c r="AR351" s="137"/>
      <c r="AS351" s="137"/>
      <c r="AT351" s="137"/>
      <c r="AU351" s="137"/>
      <c r="AV351" s="137"/>
      <c r="AW351" s="137"/>
      <c r="AX351" s="137"/>
      <c r="AY351" s="137"/>
      <c r="AZ351" s="137"/>
      <c r="BA351" s="137"/>
      <c r="BB351" s="137"/>
      <c r="BC351" s="137"/>
      <c r="BD351" s="137"/>
      <c r="BE351" s="137"/>
      <c r="BF351" s="137"/>
      <c r="BG351" s="137"/>
      <c r="BH351" s="137"/>
    </row>
    <row r="352" spans="1:60" s="136" customFormat="1" ht="126">
      <c r="A352" s="231" t="s">
        <v>447</v>
      </c>
      <c r="B352" s="231">
        <v>2570</v>
      </c>
      <c r="C352" s="118" t="s">
        <v>527</v>
      </c>
      <c r="D352" s="118"/>
      <c r="E352" s="118" t="s">
        <v>667</v>
      </c>
      <c r="F352" s="118" t="s">
        <v>666</v>
      </c>
      <c r="G352" s="118" t="s">
        <v>675</v>
      </c>
      <c r="H352" s="118" t="s">
        <v>53</v>
      </c>
      <c r="I352" s="118"/>
      <c r="J352" s="118" t="s">
        <v>51</v>
      </c>
      <c r="K352" s="113" t="s">
        <v>40</v>
      </c>
      <c r="L352" s="121">
        <f t="shared" ref="L352:L389" si="10">M352*T352</f>
        <v>52000</v>
      </c>
      <c r="M352" s="116">
        <f t="shared" si="9"/>
        <v>1</v>
      </c>
      <c r="N352" s="113" t="s">
        <v>533</v>
      </c>
      <c r="O352" s="138" t="s">
        <v>472</v>
      </c>
      <c r="P352" s="113"/>
      <c r="Q352" s="113">
        <v>1</v>
      </c>
      <c r="R352" s="113"/>
      <c r="S352" s="113" t="s">
        <v>674</v>
      </c>
      <c r="T352" s="120">
        <v>52000</v>
      </c>
      <c r="U352" s="111" t="s">
        <v>673</v>
      </c>
      <c r="V352" s="216"/>
      <c r="W352" s="216"/>
      <c r="X352" s="137"/>
      <c r="Y352" s="137"/>
      <c r="Z352" s="137"/>
      <c r="AA352" s="137"/>
      <c r="AB352" s="137"/>
      <c r="AC352" s="137"/>
      <c r="AD352" s="137"/>
      <c r="AE352" s="137"/>
      <c r="AF352" s="137"/>
      <c r="AG352" s="137"/>
      <c r="AH352" s="137"/>
      <c r="AI352" s="137"/>
      <c r="AJ352" s="137"/>
      <c r="AK352" s="137"/>
      <c r="AL352" s="137"/>
      <c r="AM352" s="137"/>
      <c r="AN352" s="137"/>
      <c r="AO352" s="137"/>
      <c r="AP352" s="137"/>
      <c r="AQ352" s="137"/>
      <c r="AR352" s="137"/>
      <c r="AS352" s="137"/>
      <c r="AT352" s="137"/>
      <c r="AU352" s="137"/>
      <c r="AV352" s="137"/>
      <c r="AW352" s="137"/>
      <c r="AX352" s="137"/>
      <c r="AY352" s="137"/>
      <c r="AZ352" s="137"/>
      <c r="BA352" s="137"/>
      <c r="BB352" s="137"/>
      <c r="BC352" s="137"/>
      <c r="BD352" s="137"/>
      <c r="BE352" s="137"/>
      <c r="BF352" s="137"/>
      <c r="BG352" s="137"/>
      <c r="BH352" s="137"/>
    </row>
    <row r="353" spans="1:60" s="136" customFormat="1" ht="126">
      <c r="A353" s="231" t="s">
        <v>447</v>
      </c>
      <c r="B353" s="231">
        <v>2570</v>
      </c>
      <c r="C353" s="118" t="s">
        <v>527</v>
      </c>
      <c r="D353" s="118"/>
      <c r="E353" s="118" t="s">
        <v>667</v>
      </c>
      <c r="F353" s="118" t="s">
        <v>666</v>
      </c>
      <c r="G353" s="118" t="s">
        <v>665</v>
      </c>
      <c r="H353" s="118" t="s">
        <v>33</v>
      </c>
      <c r="I353" s="118"/>
      <c r="J353" s="118" t="s">
        <v>672</v>
      </c>
      <c r="K353" s="113" t="s">
        <v>13</v>
      </c>
      <c r="L353" s="121">
        <f t="shared" si="10"/>
        <v>60100</v>
      </c>
      <c r="M353" s="116">
        <f t="shared" si="9"/>
        <v>1</v>
      </c>
      <c r="N353" s="113" t="s">
        <v>533</v>
      </c>
      <c r="O353" s="138" t="s">
        <v>472</v>
      </c>
      <c r="P353" s="113"/>
      <c r="Q353" s="113">
        <v>1</v>
      </c>
      <c r="R353" s="113"/>
      <c r="S353" s="113" t="s">
        <v>671</v>
      </c>
      <c r="T353" s="120">
        <v>60100</v>
      </c>
      <c r="U353" s="111" t="s">
        <v>670</v>
      </c>
      <c r="V353" s="216"/>
      <c r="W353" s="216"/>
      <c r="X353" s="137"/>
      <c r="Y353" s="137"/>
      <c r="Z353" s="137"/>
      <c r="AA353" s="137"/>
      <c r="AB353" s="137"/>
      <c r="AC353" s="137"/>
      <c r="AD353" s="137"/>
      <c r="AE353" s="137"/>
      <c r="AF353" s="137"/>
      <c r="AG353" s="137"/>
      <c r="AH353" s="137"/>
      <c r="AI353" s="137"/>
      <c r="AJ353" s="137"/>
      <c r="AK353" s="137"/>
      <c r="AL353" s="137"/>
      <c r="AM353" s="137"/>
      <c r="AN353" s="137"/>
      <c r="AO353" s="137"/>
      <c r="AP353" s="137"/>
      <c r="AQ353" s="137"/>
      <c r="AR353" s="137"/>
      <c r="AS353" s="137"/>
      <c r="AT353" s="137"/>
      <c r="AU353" s="137"/>
      <c r="AV353" s="137"/>
      <c r="AW353" s="137"/>
      <c r="AX353" s="137"/>
      <c r="AY353" s="137"/>
      <c r="AZ353" s="137"/>
      <c r="BA353" s="137"/>
      <c r="BB353" s="137"/>
      <c r="BC353" s="137"/>
      <c r="BD353" s="137"/>
      <c r="BE353" s="137"/>
      <c r="BF353" s="137"/>
      <c r="BG353" s="137"/>
      <c r="BH353" s="137"/>
    </row>
    <row r="354" spans="1:60" s="136" customFormat="1" ht="126">
      <c r="A354" s="231" t="s">
        <v>447</v>
      </c>
      <c r="B354" s="231">
        <v>2570</v>
      </c>
      <c r="C354" s="118" t="s">
        <v>527</v>
      </c>
      <c r="D354" s="118"/>
      <c r="E354" s="118" t="s">
        <v>667</v>
      </c>
      <c r="F354" s="118" t="s">
        <v>666</v>
      </c>
      <c r="G354" s="118" t="s">
        <v>665</v>
      </c>
      <c r="H354" s="118" t="s">
        <v>389</v>
      </c>
      <c r="I354" s="118"/>
      <c r="J354" s="118" t="s">
        <v>387</v>
      </c>
      <c r="K354" s="113" t="s">
        <v>149</v>
      </c>
      <c r="L354" s="121">
        <f t="shared" si="10"/>
        <v>60100</v>
      </c>
      <c r="M354" s="116">
        <f t="shared" si="9"/>
        <v>1</v>
      </c>
      <c r="N354" s="113" t="s">
        <v>533</v>
      </c>
      <c r="O354" s="138" t="s">
        <v>472</v>
      </c>
      <c r="P354" s="113"/>
      <c r="Q354" s="113">
        <v>1</v>
      </c>
      <c r="R354" s="113"/>
      <c r="S354" s="113" t="s">
        <v>669</v>
      </c>
      <c r="T354" s="120">
        <v>60100</v>
      </c>
      <c r="U354" s="111" t="s">
        <v>668</v>
      </c>
      <c r="V354" s="216"/>
      <c r="W354" s="216"/>
      <c r="X354" s="137"/>
      <c r="Y354" s="137"/>
      <c r="Z354" s="137"/>
      <c r="AA354" s="137"/>
      <c r="AB354" s="137"/>
      <c r="AC354" s="137"/>
      <c r="AD354" s="137"/>
      <c r="AE354" s="137"/>
      <c r="AF354" s="137"/>
      <c r="AG354" s="137"/>
      <c r="AH354" s="137"/>
      <c r="AI354" s="137"/>
      <c r="AJ354" s="137"/>
      <c r="AK354" s="137"/>
      <c r="AL354" s="137"/>
      <c r="AM354" s="137"/>
      <c r="AN354" s="137"/>
      <c r="AO354" s="137"/>
      <c r="AP354" s="137"/>
      <c r="AQ354" s="137"/>
      <c r="AR354" s="137"/>
      <c r="AS354" s="137"/>
      <c r="AT354" s="137"/>
      <c r="AU354" s="137"/>
      <c r="AV354" s="137"/>
      <c r="AW354" s="137"/>
      <c r="AX354" s="137"/>
      <c r="AY354" s="137"/>
      <c r="AZ354" s="137"/>
      <c r="BA354" s="137"/>
      <c r="BB354" s="137"/>
      <c r="BC354" s="137"/>
      <c r="BD354" s="137"/>
      <c r="BE354" s="137"/>
      <c r="BF354" s="137"/>
      <c r="BG354" s="137"/>
      <c r="BH354" s="137"/>
    </row>
    <row r="355" spans="1:60" s="124" customFormat="1" ht="126">
      <c r="A355" s="231" t="s">
        <v>447</v>
      </c>
      <c r="B355" s="231">
        <v>2570</v>
      </c>
      <c r="C355" s="118" t="s">
        <v>527</v>
      </c>
      <c r="D355" s="118"/>
      <c r="E355" s="118" t="s">
        <v>667</v>
      </c>
      <c r="F355" s="118" t="s">
        <v>666</v>
      </c>
      <c r="G355" s="118" t="s">
        <v>665</v>
      </c>
      <c r="H355" s="118" t="s">
        <v>464</v>
      </c>
      <c r="I355" s="118"/>
      <c r="J355" s="118" t="s">
        <v>437</v>
      </c>
      <c r="K355" s="113" t="s">
        <v>63</v>
      </c>
      <c r="L355" s="121">
        <f t="shared" si="10"/>
        <v>60100</v>
      </c>
      <c r="M355" s="116">
        <f t="shared" si="9"/>
        <v>1</v>
      </c>
      <c r="N355" s="113" t="s">
        <v>533</v>
      </c>
      <c r="O355" s="138" t="s">
        <v>472</v>
      </c>
      <c r="P355" s="113"/>
      <c r="Q355" s="113">
        <v>1</v>
      </c>
      <c r="R355" s="113"/>
      <c r="S355" s="113" t="s">
        <v>664</v>
      </c>
      <c r="T355" s="120">
        <v>60100</v>
      </c>
      <c r="U355" s="111" t="s">
        <v>663</v>
      </c>
      <c r="V355" s="217"/>
      <c r="W355" s="217"/>
      <c r="X355" s="125"/>
      <c r="Y355" s="125"/>
      <c r="Z355" s="125"/>
      <c r="AA355" s="125"/>
      <c r="AB355" s="125"/>
      <c r="AC355" s="125"/>
      <c r="AD355" s="125"/>
      <c r="AE355" s="125"/>
      <c r="AF355" s="125"/>
      <c r="AG355" s="125"/>
      <c r="AH355" s="125"/>
      <c r="AI355" s="125"/>
      <c r="AJ355" s="125"/>
      <c r="AK355" s="125"/>
      <c r="AL355" s="125"/>
      <c r="AM355" s="125"/>
      <c r="AN355" s="125"/>
      <c r="AO355" s="125"/>
      <c r="AP355" s="125"/>
      <c r="AQ355" s="125"/>
      <c r="AR355" s="125"/>
      <c r="AS355" s="125"/>
      <c r="AT355" s="125"/>
      <c r="AU355" s="125"/>
      <c r="AV355" s="125"/>
      <c r="AW355" s="125"/>
      <c r="AX355" s="125"/>
      <c r="AY355" s="125"/>
      <c r="AZ355" s="125"/>
      <c r="BA355" s="125"/>
      <c r="BB355" s="125"/>
      <c r="BC355" s="125"/>
      <c r="BD355" s="125"/>
      <c r="BE355" s="125"/>
      <c r="BF355" s="125"/>
      <c r="BG355" s="125"/>
      <c r="BH355" s="125"/>
    </row>
    <row r="356" spans="1:60" s="124" customFormat="1" ht="232.5">
      <c r="A356" s="232" t="s">
        <v>447</v>
      </c>
      <c r="B356" s="231">
        <v>2570</v>
      </c>
      <c r="C356" s="100" t="s">
        <v>479</v>
      </c>
      <c r="D356" s="100"/>
      <c r="E356" s="100"/>
      <c r="F356" s="100"/>
      <c r="G356" s="100" t="s">
        <v>662</v>
      </c>
      <c r="H356" s="96" t="s">
        <v>77</v>
      </c>
      <c r="I356" s="96"/>
      <c r="J356" s="96" t="s">
        <v>64</v>
      </c>
      <c r="K356" s="96" t="s">
        <v>63</v>
      </c>
      <c r="L356" s="99">
        <f t="shared" si="10"/>
        <v>21090900</v>
      </c>
      <c r="M356" s="98">
        <f t="shared" si="9"/>
        <v>687</v>
      </c>
      <c r="N356" s="96" t="s">
        <v>596</v>
      </c>
      <c r="O356" s="97" t="s">
        <v>472</v>
      </c>
      <c r="P356" s="97"/>
      <c r="Q356" s="96">
        <v>687</v>
      </c>
      <c r="R356" s="96"/>
      <c r="S356" s="206" t="s">
        <v>651</v>
      </c>
      <c r="T356" s="95">
        <v>30700</v>
      </c>
      <c r="U356" s="203" t="s">
        <v>661</v>
      </c>
      <c r="V356" s="217"/>
      <c r="W356" s="217"/>
      <c r="X356" s="125"/>
      <c r="Y356" s="125"/>
      <c r="Z356" s="125"/>
      <c r="AA356" s="125"/>
      <c r="AB356" s="125"/>
      <c r="AC356" s="125"/>
      <c r="AD356" s="125"/>
      <c r="AE356" s="125"/>
      <c r="AF356" s="125"/>
      <c r="AG356" s="125"/>
      <c r="AH356" s="125"/>
      <c r="AI356" s="125"/>
      <c r="AJ356" s="125"/>
      <c r="AK356" s="125"/>
      <c r="AL356" s="125"/>
      <c r="AM356" s="125"/>
      <c r="AN356" s="125"/>
      <c r="AO356" s="125"/>
      <c r="AP356" s="125"/>
      <c r="AQ356" s="125"/>
      <c r="AR356" s="125"/>
      <c r="AS356" s="125"/>
      <c r="AT356" s="125"/>
      <c r="AU356" s="125"/>
      <c r="AV356" s="125"/>
      <c r="AW356" s="125"/>
      <c r="AX356" s="125"/>
      <c r="AY356" s="125"/>
      <c r="AZ356" s="125"/>
      <c r="BA356" s="125"/>
      <c r="BB356" s="125"/>
      <c r="BC356" s="125"/>
      <c r="BD356" s="125"/>
      <c r="BE356" s="125"/>
      <c r="BF356" s="125"/>
      <c r="BG356" s="125"/>
      <c r="BH356" s="125"/>
    </row>
    <row r="357" spans="1:60" s="124" customFormat="1" ht="46.5">
      <c r="A357" s="232" t="s">
        <v>447</v>
      </c>
      <c r="B357" s="231">
        <v>2570</v>
      </c>
      <c r="C357" s="100" t="s">
        <v>479</v>
      </c>
      <c r="D357" s="100"/>
      <c r="E357" s="100"/>
      <c r="F357" s="100"/>
      <c r="G357" s="100" t="s">
        <v>660</v>
      </c>
      <c r="H357" s="96" t="s">
        <v>77</v>
      </c>
      <c r="I357" s="96"/>
      <c r="J357" s="96" t="s">
        <v>64</v>
      </c>
      <c r="K357" s="96" t="s">
        <v>63</v>
      </c>
      <c r="L357" s="99">
        <f t="shared" si="10"/>
        <v>6175800</v>
      </c>
      <c r="M357" s="98">
        <f t="shared" si="9"/>
        <v>219</v>
      </c>
      <c r="N357" s="96" t="s">
        <v>596</v>
      </c>
      <c r="O357" s="97" t="s">
        <v>472</v>
      </c>
      <c r="P357" s="97"/>
      <c r="Q357" s="96">
        <v>219</v>
      </c>
      <c r="R357" s="96"/>
      <c r="S357" s="207"/>
      <c r="T357" s="95">
        <v>28200</v>
      </c>
      <c r="U357" s="204"/>
      <c r="V357" s="217"/>
      <c r="W357" s="217"/>
      <c r="X357" s="125"/>
      <c r="Y357" s="125"/>
      <c r="Z357" s="125"/>
      <c r="AA357" s="125"/>
      <c r="AB357" s="125"/>
      <c r="AC357" s="125"/>
      <c r="AD357" s="125"/>
      <c r="AE357" s="125"/>
      <c r="AF357" s="125"/>
      <c r="AG357" s="125"/>
      <c r="AH357" s="125"/>
      <c r="AI357" s="125"/>
      <c r="AJ357" s="125"/>
      <c r="AK357" s="125"/>
      <c r="AL357" s="125"/>
      <c r="AM357" s="125"/>
      <c r="AN357" s="125"/>
      <c r="AO357" s="125"/>
      <c r="AP357" s="125"/>
      <c r="AQ357" s="125"/>
      <c r="AR357" s="125"/>
      <c r="AS357" s="125"/>
      <c r="AT357" s="125"/>
      <c r="AU357" s="125"/>
      <c r="AV357" s="125"/>
      <c r="AW357" s="125"/>
      <c r="AX357" s="125"/>
      <c r="AY357" s="125"/>
      <c r="AZ357" s="125"/>
      <c r="BA357" s="125"/>
      <c r="BB357" s="125"/>
      <c r="BC357" s="125"/>
      <c r="BD357" s="125"/>
      <c r="BE357" s="125"/>
      <c r="BF357" s="125"/>
      <c r="BG357" s="125"/>
      <c r="BH357" s="125"/>
    </row>
    <row r="358" spans="1:60" s="124" customFormat="1" ht="46.5">
      <c r="A358" s="232" t="s">
        <v>447</v>
      </c>
      <c r="B358" s="231">
        <v>2570</v>
      </c>
      <c r="C358" s="100" t="s">
        <v>479</v>
      </c>
      <c r="D358" s="100"/>
      <c r="E358" s="100"/>
      <c r="F358" s="100"/>
      <c r="G358" s="100" t="s">
        <v>659</v>
      </c>
      <c r="H358" s="96" t="s">
        <v>77</v>
      </c>
      <c r="I358" s="96"/>
      <c r="J358" s="96" t="s">
        <v>64</v>
      </c>
      <c r="K358" s="96" t="s">
        <v>63</v>
      </c>
      <c r="L358" s="99">
        <f t="shared" si="10"/>
        <v>1495200</v>
      </c>
      <c r="M358" s="98">
        <f t="shared" si="9"/>
        <v>168</v>
      </c>
      <c r="N358" s="96" t="s">
        <v>596</v>
      </c>
      <c r="O358" s="97" t="s">
        <v>472</v>
      </c>
      <c r="P358" s="97"/>
      <c r="Q358" s="96">
        <v>168</v>
      </c>
      <c r="R358" s="96"/>
      <c r="S358" s="207"/>
      <c r="T358" s="95">
        <v>8900</v>
      </c>
      <c r="U358" s="204"/>
      <c r="V358" s="217"/>
      <c r="W358" s="217"/>
      <c r="X358" s="125"/>
      <c r="Y358" s="125"/>
      <c r="Z358" s="125"/>
      <c r="AA358" s="125"/>
      <c r="AB358" s="125"/>
      <c r="AC358" s="125"/>
      <c r="AD358" s="125"/>
      <c r="AE358" s="125"/>
      <c r="AF358" s="125"/>
      <c r="AG358" s="125"/>
      <c r="AH358" s="125"/>
      <c r="AI358" s="125"/>
      <c r="AJ358" s="125"/>
      <c r="AK358" s="125"/>
      <c r="AL358" s="125"/>
      <c r="AM358" s="125"/>
      <c r="AN358" s="125"/>
      <c r="AO358" s="125"/>
      <c r="AP358" s="125"/>
      <c r="AQ358" s="125"/>
      <c r="AR358" s="125"/>
      <c r="AS358" s="125"/>
      <c r="AT358" s="125"/>
      <c r="AU358" s="125"/>
      <c r="AV358" s="125"/>
      <c r="AW358" s="125"/>
      <c r="AX358" s="125"/>
      <c r="AY358" s="125"/>
      <c r="AZ358" s="125"/>
      <c r="BA358" s="125"/>
      <c r="BB358" s="125"/>
      <c r="BC358" s="125"/>
      <c r="BD358" s="125"/>
      <c r="BE358" s="125"/>
      <c r="BF358" s="125"/>
      <c r="BG358" s="125"/>
      <c r="BH358" s="125"/>
    </row>
    <row r="359" spans="1:60" s="124" customFormat="1" ht="46.5">
      <c r="A359" s="232" t="s">
        <v>447</v>
      </c>
      <c r="B359" s="231">
        <v>2570</v>
      </c>
      <c r="C359" s="100" t="s">
        <v>479</v>
      </c>
      <c r="D359" s="100"/>
      <c r="E359" s="100"/>
      <c r="F359" s="100"/>
      <c r="G359" s="100" t="s">
        <v>658</v>
      </c>
      <c r="H359" s="96" t="s">
        <v>77</v>
      </c>
      <c r="I359" s="96"/>
      <c r="J359" s="96" t="s">
        <v>64</v>
      </c>
      <c r="K359" s="96" t="s">
        <v>63</v>
      </c>
      <c r="L359" s="99">
        <f t="shared" si="10"/>
        <v>33000</v>
      </c>
      <c r="M359" s="98">
        <f t="shared" si="9"/>
        <v>3</v>
      </c>
      <c r="N359" s="96" t="s">
        <v>596</v>
      </c>
      <c r="O359" s="97" t="s">
        <v>472</v>
      </c>
      <c r="P359" s="97"/>
      <c r="Q359" s="96">
        <v>3</v>
      </c>
      <c r="R359" s="96"/>
      <c r="S359" s="207"/>
      <c r="T359" s="95">
        <v>11000</v>
      </c>
      <c r="U359" s="204"/>
      <c r="V359" s="217"/>
      <c r="W359" s="217"/>
      <c r="X359" s="125"/>
      <c r="Y359" s="125"/>
      <c r="Z359" s="125"/>
      <c r="AA359" s="125"/>
      <c r="AB359" s="125"/>
      <c r="AC359" s="125"/>
      <c r="AD359" s="125"/>
      <c r="AE359" s="125"/>
      <c r="AF359" s="125"/>
      <c r="AG359" s="125"/>
      <c r="AH359" s="125"/>
      <c r="AI359" s="125"/>
      <c r="AJ359" s="125"/>
      <c r="AK359" s="125"/>
      <c r="AL359" s="125"/>
      <c r="AM359" s="125"/>
      <c r="AN359" s="125"/>
      <c r="AO359" s="125"/>
      <c r="AP359" s="125"/>
      <c r="AQ359" s="125"/>
      <c r="AR359" s="125"/>
      <c r="AS359" s="125"/>
      <c r="AT359" s="125"/>
      <c r="AU359" s="125"/>
      <c r="AV359" s="125"/>
      <c r="AW359" s="125"/>
      <c r="AX359" s="125"/>
      <c r="AY359" s="125"/>
      <c r="AZ359" s="125"/>
      <c r="BA359" s="125"/>
      <c r="BB359" s="125"/>
      <c r="BC359" s="125"/>
      <c r="BD359" s="125"/>
      <c r="BE359" s="125"/>
      <c r="BF359" s="125"/>
      <c r="BG359" s="125"/>
      <c r="BH359" s="125"/>
    </row>
    <row r="360" spans="1:60" s="124" customFormat="1" ht="46.5">
      <c r="A360" s="232" t="s">
        <v>447</v>
      </c>
      <c r="B360" s="231">
        <v>2570</v>
      </c>
      <c r="C360" s="100" t="s">
        <v>479</v>
      </c>
      <c r="D360" s="100"/>
      <c r="E360" s="100"/>
      <c r="F360" s="100"/>
      <c r="G360" s="100" t="s">
        <v>657</v>
      </c>
      <c r="H360" s="96" t="s">
        <v>77</v>
      </c>
      <c r="I360" s="96"/>
      <c r="J360" s="96" t="s">
        <v>64</v>
      </c>
      <c r="K360" s="96" t="s">
        <v>63</v>
      </c>
      <c r="L360" s="99">
        <f t="shared" si="10"/>
        <v>4100</v>
      </c>
      <c r="M360" s="98">
        <f t="shared" si="9"/>
        <v>1</v>
      </c>
      <c r="N360" s="96" t="s">
        <v>558</v>
      </c>
      <c r="O360" s="97" t="s">
        <v>472</v>
      </c>
      <c r="P360" s="97"/>
      <c r="Q360" s="96">
        <v>1</v>
      </c>
      <c r="R360" s="96"/>
      <c r="S360" s="207"/>
      <c r="T360" s="95">
        <v>4100</v>
      </c>
      <c r="U360" s="204"/>
      <c r="V360" s="217"/>
      <c r="W360" s="217"/>
      <c r="X360" s="125"/>
      <c r="Y360" s="125"/>
      <c r="Z360" s="125"/>
      <c r="AA360" s="125"/>
      <c r="AB360" s="125"/>
      <c r="AC360" s="125"/>
      <c r="AD360" s="125"/>
      <c r="AE360" s="125"/>
      <c r="AF360" s="125"/>
      <c r="AG360" s="125"/>
      <c r="AH360" s="125"/>
      <c r="AI360" s="125"/>
      <c r="AJ360" s="125"/>
      <c r="AK360" s="125"/>
      <c r="AL360" s="125"/>
      <c r="AM360" s="125"/>
      <c r="AN360" s="125"/>
      <c r="AO360" s="125"/>
      <c r="AP360" s="125"/>
      <c r="AQ360" s="125"/>
      <c r="AR360" s="125"/>
      <c r="AS360" s="125"/>
      <c r="AT360" s="125"/>
      <c r="AU360" s="125"/>
      <c r="AV360" s="125"/>
      <c r="AW360" s="125"/>
      <c r="AX360" s="125"/>
      <c r="AY360" s="125"/>
      <c r="AZ360" s="125"/>
      <c r="BA360" s="125"/>
      <c r="BB360" s="125"/>
      <c r="BC360" s="125"/>
      <c r="BD360" s="125"/>
      <c r="BE360" s="125"/>
      <c r="BF360" s="125"/>
      <c r="BG360" s="125"/>
      <c r="BH360" s="125"/>
    </row>
    <row r="361" spans="1:60" s="124" customFormat="1" ht="46.5">
      <c r="A361" s="232" t="s">
        <v>447</v>
      </c>
      <c r="B361" s="231">
        <v>2570</v>
      </c>
      <c r="C361" s="100" t="s">
        <v>479</v>
      </c>
      <c r="D361" s="100"/>
      <c r="E361" s="100"/>
      <c r="F361" s="100"/>
      <c r="G361" s="100" t="s">
        <v>656</v>
      </c>
      <c r="H361" s="96" t="s">
        <v>77</v>
      </c>
      <c r="I361" s="96"/>
      <c r="J361" s="96" t="s">
        <v>64</v>
      </c>
      <c r="K361" s="96" t="s">
        <v>63</v>
      </c>
      <c r="L361" s="99">
        <f t="shared" si="10"/>
        <v>544000</v>
      </c>
      <c r="M361" s="98">
        <f t="shared" si="9"/>
        <v>34</v>
      </c>
      <c r="N361" s="96" t="s">
        <v>558</v>
      </c>
      <c r="O361" s="97" t="s">
        <v>472</v>
      </c>
      <c r="P361" s="97"/>
      <c r="Q361" s="96">
        <v>34</v>
      </c>
      <c r="R361" s="96"/>
      <c r="S361" s="207"/>
      <c r="T361" s="95">
        <v>16000</v>
      </c>
      <c r="U361" s="204"/>
      <c r="V361" s="217"/>
      <c r="W361" s="217"/>
      <c r="X361" s="125"/>
      <c r="Y361" s="125"/>
      <c r="Z361" s="125"/>
      <c r="AA361" s="125"/>
      <c r="AB361" s="125"/>
      <c r="AC361" s="125"/>
      <c r="AD361" s="125"/>
      <c r="AE361" s="125"/>
      <c r="AF361" s="125"/>
      <c r="AG361" s="125"/>
      <c r="AH361" s="125"/>
      <c r="AI361" s="125"/>
      <c r="AJ361" s="125"/>
      <c r="AK361" s="125"/>
      <c r="AL361" s="125"/>
      <c r="AM361" s="125"/>
      <c r="AN361" s="125"/>
      <c r="AO361" s="125"/>
      <c r="AP361" s="125"/>
      <c r="AQ361" s="125"/>
      <c r="AR361" s="125"/>
      <c r="AS361" s="125"/>
      <c r="AT361" s="125"/>
      <c r="AU361" s="125"/>
      <c r="AV361" s="125"/>
      <c r="AW361" s="125"/>
      <c r="AX361" s="125"/>
      <c r="AY361" s="125"/>
      <c r="AZ361" s="125"/>
      <c r="BA361" s="125"/>
      <c r="BB361" s="125"/>
      <c r="BC361" s="125"/>
      <c r="BD361" s="125"/>
      <c r="BE361" s="125"/>
      <c r="BF361" s="125"/>
      <c r="BG361" s="125"/>
      <c r="BH361" s="125"/>
    </row>
    <row r="362" spans="1:60" s="124" customFormat="1" ht="46.5">
      <c r="A362" s="232" t="s">
        <v>447</v>
      </c>
      <c r="B362" s="231">
        <v>2570</v>
      </c>
      <c r="C362" s="100" t="s">
        <v>479</v>
      </c>
      <c r="D362" s="100"/>
      <c r="E362" s="100"/>
      <c r="F362" s="100"/>
      <c r="G362" s="100" t="s">
        <v>655</v>
      </c>
      <c r="H362" s="96" t="s">
        <v>77</v>
      </c>
      <c r="I362" s="96"/>
      <c r="J362" s="96" t="s">
        <v>64</v>
      </c>
      <c r="K362" s="96" t="s">
        <v>63</v>
      </c>
      <c r="L362" s="99">
        <f t="shared" si="10"/>
        <v>520000</v>
      </c>
      <c r="M362" s="98">
        <f t="shared" si="9"/>
        <v>20</v>
      </c>
      <c r="N362" s="96" t="s">
        <v>596</v>
      </c>
      <c r="O362" s="97"/>
      <c r="P362" s="97" t="s">
        <v>472</v>
      </c>
      <c r="Q362" s="96">
        <v>20</v>
      </c>
      <c r="R362" s="96"/>
      <c r="S362" s="207"/>
      <c r="T362" s="95">
        <v>26000</v>
      </c>
      <c r="U362" s="204"/>
      <c r="V362" s="217"/>
      <c r="W362" s="217"/>
      <c r="X362" s="125"/>
      <c r="Y362" s="125"/>
      <c r="Z362" s="125"/>
      <c r="AA362" s="125"/>
      <c r="AB362" s="125"/>
      <c r="AC362" s="125"/>
      <c r="AD362" s="125"/>
      <c r="AE362" s="125"/>
      <c r="AF362" s="125"/>
      <c r="AG362" s="125"/>
      <c r="AH362" s="125"/>
      <c r="AI362" s="125"/>
      <c r="AJ362" s="125"/>
      <c r="AK362" s="125"/>
      <c r="AL362" s="125"/>
      <c r="AM362" s="125"/>
      <c r="AN362" s="125"/>
      <c r="AO362" s="125"/>
      <c r="AP362" s="125"/>
      <c r="AQ362" s="125"/>
      <c r="AR362" s="125"/>
      <c r="AS362" s="125"/>
      <c r="AT362" s="125"/>
      <c r="AU362" s="125"/>
      <c r="AV362" s="125"/>
      <c r="AW362" s="125"/>
      <c r="AX362" s="125"/>
      <c r="AY362" s="125"/>
      <c r="AZ362" s="125"/>
      <c r="BA362" s="125"/>
      <c r="BB362" s="125"/>
      <c r="BC362" s="125"/>
      <c r="BD362" s="125"/>
      <c r="BE362" s="125"/>
      <c r="BF362" s="125"/>
      <c r="BG362" s="125"/>
      <c r="BH362" s="125"/>
    </row>
    <row r="363" spans="1:60" s="124" customFormat="1" ht="46.5">
      <c r="A363" s="232" t="s">
        <v>447</v>
      </c>
      <c r="B363" s="231">
        <v>2570</v>
      </c>
      <c r="C363" s="100" t="s">
        <v>479</v>
      </c>
      <c r="D363" s="100"/>
      <c r="E363" s="100"/>
      <c r="F363" s="100"/>
      <c r="G363" s="100" t="s">
        <v>654</v>
      </c>
      <c r="H363" s="96" t="s">
        <v>77</v>
      </c>
      <c r="I363" s="96"/>
      <c r="J363" s="96" t="s">
        <v>64</v>
      </c>
      <c r="K363" s="96" t="s">
        <v>63</v>
      </c>
      <c r="L363" s="99">
        <f t="shared" si="10"/>
        <v>440000</v>
      </c>
      <c r="M363" s="98">
        <f t="shared" si="9"/>
        <v>20</v>
      </c>
      <c r="N363" s="96" t="s">
        <v>596</v>
      </c>
      <c r="O363" s="97"/>
      <c r="P363" s="97" t="s">
        <v>472</v>
      </c>
      <c r="Q363" s="96">
        <v>20</v>
      </c>
      <c r="R363" s="96"/>
      <c r="S363" s="207"/>
      <c r="T363" s="95">
        <v>22000</v>
      </c>
      <c r="U363" s="204"/>
      <c r="V363" s="217"/>
      <c r="W363" s="217"/>
      <c r="X363" s="125"/>
      <c r="Y363" s="125"/>
      <c r="Z363" s="125"/>
      <c r="AA363" s="125"/>
      <c r="AB363" s="125"/>
      <c r="AC363" s="125"/>
      <c r="AD363" s="125"/>
      <c r="AE363" s="125"/>
      <c r="AF363" s="125"/>
      <c r="AG363" s="125"/>
      <c r="AH363" s="125"/>
      <c r="AI363" s="125"/>
      <c r="AJ363" s="125"/>
      <c r="AK363" s="125"/>
      <c r="AL363" s="125"/>
      <c r="AM363" s="125"/>
      <c r="AN363" s="125"/>
      <c r="AO363" s="125"/>
      <c r="AP363" s="125"/>
      <c r="AQ363" s="125"/>
      <c r="AR363" s="125"/>
      <c r="AS363" s="125"/>
      <c r="AT363" s="125"/>
      <c r="AU363" s="125"/>
      <c r="AV363" s="125"/>
      <c r="AW363" s="125"/>
      <c r="AX363" s="125"/>
      <c r="AY363" s="125"/>
      <c r="AZ363" s="125"/>
      <c r="BA363" s="125"/>
      <c r="BB363" s="125"/>
      <c r="BC363" s="125"/>
      <c r="BD363" s="125"/>
      <c r="BE363" s="125"/>
      <c r="BF363" s="125"/>
      <c r="BG363" s="125"/>
      <c r="BH363" s="125"/>
    </row>
    <row r="364" spans="1:60" s="124" customFormat="1" ht="46.5">
      <c r="A364" s="232" t="s">
        <v>447</v>
      </c>
      <c r="B364" s="231">
        <v>2570</v>
      </c>
      <c r="C364" s="100" t="s">
        <v>479</v>
      </c>
      <c r="D364" s="100"/>
      <c r="E364" s="100"/>
      <c r="F364" s="100"/>
      <c r="G364" s="100" t="s">
        <v>653</v>
      </c>
      <c r="H364" s="96" t="s">
        <v>77</v>
      </c>
      <c r="I364" s="96"/>
      <c r="J364" s="96" t="s">
        <v>64</v>
      </c>
      <c r="K364" s="96" t="s">
        <v>63</v>
      </c>
      <c r="L364" s="99">
        <f t="shared" si="10"/>
        <v>4077000</v>
      </c>
      <c r="M364" s="98">
        <f t="shared" si="9"/>
        <v>906</v>
      </c>
      <c r="N364" s="96" t="s">
        <v>596</v>
      </c>
      <c r="O364" s="97" t="s">
        <v>472</v>
      </c>
      <c r="P364" s="97"/>
      <c r="Q364" s="96">
        <v>906</v>
      </c>
      <c r="R364" s="96"/>
      <c r="S364" s="208"/>
      <c r="T364" s="95">
        <v>4500</v>
      </c>
      <c r="U364" s="205"/>
      <c r="V364" s="217"/>
      <c r="W364" s="217"/>
      <c r="X364" s="125"/>
      <c r="Y364" s="125"/>
      <c r="Z364" s="125"/>
      <c r="AA364" s="125"/>
      <c r="AB364" s="125"/>
      <c r="AC364" s="125"/>
      <c r="AD364" s="125"/>
      <c r="AE364" s="125"/>
      <c r="AF364" s="125"/>
      <c r="AG364" s="125"/>
      <c r="AH364" s="125"/>
      <c r="AI364" s="125"/>
      <c r="AJ364" s="125"/>
      <c r="AK364" s="125"/>
      <c r="AL364" s="125"/>
      <c r="AM364" s="125"/>
      <c r="AN364" s="125"/>
      <c r="AO364" s="125"/>
      <c r="AP364" s="125"/>
      <c r="AQ364" s="125"/>
      <c r="AR364" s="125"/>
      <c r="AS364" s="125"/>
      <c r="AT364" s="125"/>
      <c r="AU364" s="125"/>
      <c r="AV364" s="125"/>
      <c r="AW364" s="125"/>
      <c r="AX364" s="125"/>
      <c r="AY364" s="125"/>
      <c r="AZ364" s="125"/>
      <c r="BA364" s="125"/>
      <c r="BB364" s="125"/>
      <c r="BC364" s="125"/>
      <c r="BD364" s="125"/>
      <c r="BE364" s="125"/>
      <c r="BF364" s="125"/>
      <c r="BG364" s="125"/>
      <c r="BH364" s="125"/>
    </row>
    <row r="365" spans="1:60" s="124" customFormat="1" ht="209.25">
      <c r="A365" s="232" t="s">
        <v>447</v>
      </c>
      <c r="B365" s="231">
        <v>2570</v>
      </c>
      <c r="C365" s="100" t="s">
        <v>479</v>
      </c>
      <c r="D365" s="100"/>
      <c r="E365" s="100"/>
      <c r="F365" s="100"/>
      <c r="G365" s="100" t="s">
        <v>652</v>
      </c>
      <c r="H365" s="96" t="s">
        <v>77</v>
      </c>
      <c r="I365" s="96"/>
      <c r="J365" s="96" t="s">
        <v>64</v>
      </c>
      <c r="K365" s="96" t="s">
        <v>63</v>
      </c>
      <c r="L365" s="99">
        <f t="shared" si="10"/>
        <v>7700000</v>
      </c>
      <c r="M365" s="98">
        <f t="shared" si="9"/>
        <v>22</v>
      </c>
      <c r="N365" s="96" t="s">
        <v>558</v>
      </c>
      <c r="O365" s="97" t="s">
        <v>472</v>
      </c>
      <c r="P365" s="97"/>
      <c r="Q365" s="96">
        <v>22</v>
      </c>
      <c r="R365" s="96"/>
      <c r="S365" s="206" t="s">
        <v>651</v>
      </c>
      <c r="T365" s="95">
        <v>350000</v>
      </c>
      <c r="U365" s="203" t="s">
        <v>650</v>
      </c>
      <c r="V365" s="217"/>
      <c r="W365" s="217"/>
      <c r="X365" s="125"/>
      <c r="Y365" s="125"/>
      <c r="Z365" s="125"/>
      <c r="AA365" s="125"/>
      <c r="AB365" s="125"/>
      <c r="AC365" s="125"/>
      <c r="AD365" s="125"/>
      <c r="AE365" s="125"/>
      <c r="AF365" s="125"/>
      <c r="AG365" s="125"/>
      <c r="AH365" s="125"/>
      <c r="AI365" s="125"/>
      <c r="AJ365" s="125"/>
      <c r="AK365" s="125"/>
      <c r="AL365" s="125"/>
      <c r="AM365" s="125"/>
      <c r="AN365" s="125"/>
      <c r="AO365" s="125"/>
      <c r="AP365" s="125"/>
      <c r="AQ365" s="125"/>
      <c r="AR365" s="125"/>
      <c r="AS365" s="125"/>
      <c r="AT365" s="125"/>
      <c r="AU365" s="125"/>
      <c r="AV365" s="125"/>
      <c r="AW365" s="125"/>
      <c r="AX365" s="125"/>
      <c r="AY365" s="125"/>
      <c r="AZ365" s="125"/>
      <c r="BA365" s="125"/>
      <c r="BB365" s="125"/>
      <c r="BC365" s="125"/>
      <c r="BD365" s="125"/>
      <c r="BE365" s="125"/>
      <c r="BF365" s="125"/>
      <c r="BG365" s="125"/>
      <c r="BH365" s="125"/>
    </row>
    <row r="366" spans="1:60" s="124" customFormat="1" ht="46.5">
      <c r="A366" s="232" t="s">
        <v>447</v>
      </c>
      <c r="B366" s="231">
        <v>2570</v>
      </c>
      <c r="C366" s="100" t="s">
        <v>479</v>
      </c>
      <c r="D366" s="100"/>
      <c r="E366" s="100"/>
      <c r="F366" s="100"/>
      <c r="G366" s="100" t="s">
        <v>649</v>
      </c>
      <c r="H366" s="96" t="s">
        <v>77</v>
      </c>
      <c r="I366" s="96"/>
      <c r="J366" s="96" t="s">
        <v>64</v>
      </c>
      <c r="K366" s="96" t="s">
        <v>63</v>
      </c>
      <c r="L366" s="99">
        <f t="shared" si="10"/>
        <v>570000</v>
      </c>
      <c r="M366" s="98">
        <f t="shared" si="9"/>
        <v>1</v>
      </c>
      <c r="N366" s="96" t="s">
        <v>558</v>
      </c>
      <c r="O366" s="97" t="s">
        <v>472</v>
      </c>
      <c r="P366" s="97"/>
      <c r="Q366" s="96">
        <v>1</v>
      </c>
      <c r="R366" s="96"/>
      <c r="S366" s="207"/>
      <c r="T366" s="95">
        <v>570000</v>
      </c>
      <c r="U366" s="204"/>
      <c r="V366" s="217"/>
      <c r="W366" s="217"/>
      <c r="X366" s="125"/>
      <c r="Y366" s="125"/>
      <c r="Z366" s="125"/>
      <c r="AA366" s="125"/>
      <c r="AB366" s="125"/>
      <c r="AC366" s="125"/>
      <c r="AD366" s="125"/>
      <c r="AE366" s="125"/>
      <c r="AF366" s="125"/>
      <c r="AG366" s="125"/>
      <c r="AH366" s="125"/>
      <c r="AI366" s="125"/>
      <c r="AJ366" s="125"/>
      <c r="AK366" s="125"/>
      <c r="AL366" s="125"/>
      <c r="AM366" s="125"/>
      <c r="AN366" s="125"/>
      <c r="AO366" s="125"/>
      <c r="AP366" s="125"/>
      <c r="AQ366" s="125"/>
      <c r="AR366" s="125"/>
      <c r="AS366" s="125"/>
      <c r="AT366" s="125"/>
      <c r="AU366" s="125"/>
      <c r="AV366" s="125"/>
      <c r="AW366" s="125"/>
      <c r="AX366" s="125"/>
      <c r="AY366" s="125"/>
      <c r="AZ366" s="125"/>
      <c r="BA366" s="125"/>
      <c r="BB366" s="125"/>
      <c r="BC366" s="125"/>
      <c r="BD366" s="125"/>
      <c r="BE366" s="125"/>
      <c r="BF366" s="125"/>
      <c r="BG366" s="125"/>
      <c r="BH366" s="125"/>
    </row>
    <row r="367" spans="1:60" s="124" customFormat="1" ht="46.5">
      <c r="A367" s="232" t="s">
        <v>447</v>
      </c>
      <c r="B367" s="231">
        <v>2570</v>
      </c>
      <c r="C367" s="100" t="s">
        <v>479</v>
      </c>
      <c r="D367" s="100"/>
      <c r="E367" s="100"/>
      <c r="F367" s="100"/>
      <c r="G367" s="100" t="s">
        <v>648</v>
      </c>
      <c r="H367" s="96" t="s">
        <v>77</v>
      </c>
      <c r="I367" s="96"/>
      <c r="J367" s="96" t="s">
        <v>64</v>
      </c>
      <c r="K367" s="96" t="s">
        <v>63</v>
      </c>
      <c r="L367" s="99">
        <f t="shared" si="10"/>
        <v>208000</v>
      </c>
      <c r="M367" s="98">
        <f t="shared" si="9"/>
        <v>16</v>
      </c>
      <c r="N367" s="96" t="s">
        <v>558</v>
      </c>
      <c r="O367" s="97" t="s">
        <v>472</v>
      </c>
      <c r="P367" s="97"/>
      <c r="Q367" s="96">
        <v>16</v>
      </c>
      <c r="R367" s="96"/>
      <c r="S367" s="207"/>
      <c r="T367" s="95">
        <v>13000</v>
      </c>
      <c r="U367" s="204"/>
      <c r="V367" s="217"/>
      <c r="W367" s="217"/>
      <c r="X367" s="125"/>
      <c r="Y367" s="125"/>
      <c r="Z367" s="125"/>
      <c r="AA367" s="125"/>
      <c r="AB367" s="125"/>
      <c r="AC367" s="125"/>
      <c r="AD367" s="125"/>
      <c r="AE367" s="125"/>
      <c r="AF367" s="125"/>
      <c r="AG367" s="125"/>
      <c r="AH367" s="125"/>
      <c r="AI367" s="125"/>
      <c r="AJ367" s="125"/>
      <c r="AK367" s="125"/>
      <c r="AL367" s="125"/>
      <c r="AM367" s="125"/>
      <c r="AN367" s="125"/>
      <c r="AO367" s="125"/>
      <c r="AP367" s="125"/>
      <c r="AQ367" s="125"/>
      <c r="AR367" s="125"/>
      <c r="AS367" s="125"/>
      <c r="AT367" s="125"/>
      <c r="AU367" s="125"/>
      <c r="AV367" s="125"/>
      <c r="AW367" s="125"/>
      <c r="AX367" s="125"/>
      <c r="AY367" s="125"/>
      <c r="AZ367" s="125"/>
      <c r="BA367" s="125"/>
      <c r="BB367" s="125"/>
      <c r="BC367" s="125"/>
      <c r="BD367" s="125"/>
      <c r="BE367" s="125"/>
      <c r="BF367" s="125"/>
      <c r="BG367" s="125"/>
      <c r="BH367" s="125"/>
    </row>
    <row r="368" spans="1:60" s="124" customFormat="1" ht="46.5">
      <c r="A368" s="232" t="s">
        <v>447</v>
      </c>
      <c r="B368" s="231">
        <v>2570</v>
      </c>
      <c r="C368" s="100" t="s">
        <v>479</v>
      </c>
      <c r="D368" s="100"/>
      <c r="E368" s="100"/>
      <c r="F368" s="100"/>
      <c r="G368" s="100" t="s">
        <v>647</v>
      </c>
      <c r="H368" s="96" t="s">
        <v>77</v>
      </c>
      <c r="I368" s="96"/>
      <c r="J368" s="96" t="s">
        <v>64</v>
      </c>
      <c r="K368" s="96" t="s">
        <v>63</v>
      </c>
      <c r="L368" s="99">
        <f t="shared" si="10"/>
        <v>1000000</v>
      </c>
      <c r="M368" s="98">
        <f t="shared" si="9"/>
        <v>2</v>
      </c>
      <c r="N368" s="96" t="s">
        <v>558</v>
      </c>
      <c r="O368" s="97"/>
      <c r="P368" s="97" t="s">
        <v>472</v>
      </c>
      <c r="Q368" s="96">
        <v>2</v>
      </c>
      <c r="R368" s="96"/>
      <c r="S368" s="207"/>
      <c r="T368" s="95">
        <v>500000</v>
      </c>
      <c r="U368" s="204"/>
      <c r="V368" s="217"/>
      <c r="W368" s="217"/>
      <c r="X368" s="125"/>
      <c r="Y368" s="125"/>
      <c r="Z368" s="125"/>
      <c r="AA368" s="125"/>
      <c r="AB368" s="125"/>
      <c r="AC368" s="125"/>
      <c r="AD368" s="125"/>
      <c r="AE368" s="125"/>
      <c r="AF368" s="125"/>
      <c r="AG368" s="125"/>
      <c r="AH368" s="125"/>
      <c r="AI368" s="125"/>
      <c r="AJ368" s="125"/>
      <c r="AK368" s="125"/>
      <c r="AL368" s="125"/>
      <c r="AM368" s="125"/>
      <c r="AN368" s="125"/>
      <c r="AO368" s="125"/>
      <c r="AP368" s="125"/>
      <c r="AQ368" s="125"/>
      <c r="AR368" s="125"/>
      <c r="AS368" s="125"/>
      <c r="AT368" s="125"/>
      <c r="AU368" s="125"/>
      <c r="AV368" s="125"/>
      <c r="AW368" s="125"/>
      <c r="AX368" s="125"/>
      <c r="AY368" s="125"/>
      <c r="AZ368" s="125"/>
      <c r="BA368" s="125"/>
      <c r="BB368" s="125"/>
      <c r="BC368" s="125"/>
      <c r="BD368" s="125"/>
      <c r="BE368" s="125"/>
      <c r="BF368" s="125"/>
      <c r="BG368" s="125"/>
      <c r="BH368" s="125"/>
    </row>
    <row r="369" spans="1:60" s="124" customFormat="1" ht="46.5">
      <c r="A369" s="232" t="s">
        <v>447</v>
      </c>
      <c r="B369" s="231">
        <v>2570</v>
      </c>
      <c r="C369" s="100" t="s">
        <v>479</v>
      </c>
      <c r="D369" s="100"/>
      <c r="E369" s="100"/>
      <c r="F369" s="100"/>
      <c r="G369" s="100" t="s">
        <v>646</v>
      </c>
      <c r="H369" s="96" t="s">
        <v>77</v>
      </c>
      <c r="I369" s="96"/>
      <c r="J369" s="96" t="s">
        <v>64</v>
      </c>
      <c r="K369" s="96" t="s">
        <v>63</v>
      </c>
      <c r="L369" s="99">
        <f t="shared" si="10"/>
        <v>525000</v>
      </c>
      <c r="M369" s="98">
        <f t="shared" si="9"/>
        <v>25</v>
      </c>
      <c r="N369" s="96" t="s">
        <v>558</v>
      </c>
      <c r="O369" s="97" t="s">
        <v>472</v>
      </c>
      <c r="P369" s="97"/>
      <c r="Q369" s="96">
        <v>25</v>
      </c>
      <c r="R369" s="96"/>
      <c r="S369" s="207"/>
      <c r="T369" s="95">
        <v>21000</v>
      </c>
      <c r="U369" s="204"/>
      <c r="V369" s="217"/>
      <c r="W369" s="217"/>
      <c r="X369" s="125"/>
      <c r="Y369" s="125"/>
      <c r="Z369" s="125"/>
      <c r="AA369" s="125"/>
      <c r="AB369" s="125"/>
      <c r="AC369" s="125"/>
      <c r="AD369" s="125"/>
      <c r="AE369" s="125"/>
      <c r="AF369" s="125"/>
      <c r="AG369" s="125"/>
      <c r="AH369" s="125"/>
      <c r="AI369" s="125"/>
      <c r="AJ369" s="125"/>
      <c r="AK369" s="125"/>
      <c r="AL369" s="125"/>
      <c r="AM369" s="125"/>
      <c r="AN369" s="125"/>
      <c r="AO369" s="125"/>
      <c r="AP369" s="125"/>
      <c r="AQ369" s="125"/>
      <c r="AR369" s="125"/>
      <c r="AS369" s="125"/>
      <c r="AT369" s="125"/>
      <c r="AU369" s="125"/>
      <c r="AV369" s="125"/>
      <c r="AW369" s="125"/>
      <c r="AX369" s="125"/>
      <c r="AY369" s="125"/>
      <c r="AZ369" s="125"/>
      <c r="BA369" s="125"/>
      <c r="BB369" s="125"/>
      <c r="BC369" s="125"/>
      <c r="BD369" s="125"/>
      <c r="BE369" s="125"/>
      <c r="BF369" s="125"/>
      <c r="BG369" s="125"/>
      <c r="BH369" s="125"/>
    </row>
    <row r="370" spans="1:60" s="124" customFormat="1" ht="46.5">
      <c r="A370" s="232" t="s">
        <v>447</v>
      </c>
      <c r="B370" s="231">
        <v>2570</v>
      </c>
      <c r="C370" s="100" t="s">
        <v>479</v>
      </c>
      <c r="D370" s="100"/>
      <c r="E370" s="100"/>
      <c r="F370" s="100"/>
      <c r="G370" s="100" t="s">
        <v>645</v>
      </c>
      <c r="H370" s="96" t="s">
        <v>77</v>
      </c>
      <c r="I370" s="96"/>
      <c r="J370" s="96" t="s">
        <v>64</v>
      </c>
      <c r="K370" s="96" t="s">
        <v>63</v>
      </c>
      <c r="L370" s="99">
        <f t="shared" si="10"/>
        <v>4224000</v>
      </c>
      <c r="M370" s="98">
        <f t="shared" ref="M370:M433" si="11">Q370+R370</f>
        <v>704</v>
      </c>
      <c r="N370" s="96" t="s">
        <v>644</v>
      </c>
      <c r="O370" s="97"/>
      <c r="P370" s="97" t="s">
        <v>472</v>
      </c>
      <c r="Q370" s="96">
        <v>704</v>
      </c>
      <c r="R370" s="96"/>
      <c r="S370" s="208"/>
      <c r="T370" s="95">
        <v>6000</v>
      </c>
      <c r="U370" s="205"/>
      <c r="V370" s="217"/>
      <c r="W370" s="217"/>
      <c r="X370" s="125"/>
      <c r="Y370" s="125"/>
      <c r="Z370" s="125"/>
      <c r="AA370" s="125"/>
      <c r="AB370" s="125"/>
      <c r="AC370" s="125"/>
      <c r="AD370" s="125"/>
      <c r="AE370" s="125"/>
      <c r="AF370" s="125"/>
      <c r="AG370" s="125"/>
      <c r="AH370" s="125"/>
      <c r="AI370" s="125"/>
      <c r="AJ370" s="125"/>
      <c r="AK370" s="125"/>
      <c r="AL370" s="125"/>
      <c r="AM370" s="125"/>
      <c r="AN370" s="125"/>
      <c r="AO370" s="125"/>
      <c r="AP370" s="125"/>
      <c r="AQ370" s="125"/>
      <c r="AR370" s="125"/>
      <c r="AS370" s="125"/>
      <c r="AT370" s="125"/>
      <c r="AU370" s="125"/>
      <c r="AV370" s="125"/>
      <c r="AW370" s="125"/>
      <c r="AX370" s="125"/>
      <c r="AY370" s="125"/>
      <c r="AZ370" s="125"/>
      <c r="BA370" s="125"/>
      <c r="BB370" s="125"/>
      <c r="BC370" s="125"/>
      <c r="BD370" s="125"/>
      <c r="BE370" s="125"/>
      <c r="BF370" s="125"/>
      <c r="BG370" s="125"/>
      <c r="BH370" s="125"/>
    </row>
    <row r="371" spans="1:60" s="124" customFormat="1" ht="139.5">
      <c r="A371" s="232" t="s">
        <v>447</v>
      </c>
      <c r="B371" s="231">
        <v>2570</v>
      </c>
      <c r="C371" s="100" t="s">
        <v>555</v>
      </c>
      <c r="D371" s="100" t="s">
        <v>621</v>
      </c>
      <c r="E371" s="100" t="s">
        <v>620</v>
      </c>
      <c r="F371" s="100" t="s">
        <v>619</v>
      </c>
      <c r="G371" s="100" t="s">
        <v>643</v>
      </c>
      <c r="H371" s="100" t="s">
        <v>117</v>
      </c>
      <c r="I371" s="100"/>
      <c r="J371" s="96" t="s">
        <v>110</v>
      </c>
      <c r="K371" s="96" t="s">
        <v>63</v>
      </c>
      <c r="L371" s="99">
        <f t="shared" si="10"/>
        <v>25200</v>
      </c>
      <c r="M371" s="98">
        <f t="shared" si="11"/>
        <v>1</v>
      </c>
      <c r="N371" s="96" t="s">
        <v>596</v>
      </c>
      <c r="O371" s="97"/>
      <c r="P371" s="97" t="s">
        <v>472</v>
      </c>
      <c r="Q371" s="96"/>
      <c r="R371" s="96">
        <v>1</v>
      </c>
      <c r="S371" s="96"/>
      <c r="T371" s="95">
        <v>25200</v>
      </c>
      <c r="U371" s="135" t="s">
        <v>636</v>
      </c>
      <c r="V371" s="217"/>
      <c r="W371" s="217"/>
      <c r="X371" s="125"/>
      <c r="Y371" s="125"/>
      <c r="Z371" s="125"/>
      <c r="AA371" s="125"/>
      <c r="AB371" s="125"/>
      <c r="AC371" s="125"/>
      <c r="AD371" s="125"/>
      <c r="AE371" s="125"/>
      <c r="AF371" s="125"/>
      <c r="AG371" s="125"/>
      <c r="AH371" s="125"/>
      <c r="AI371" s="125"/>
      <c r="AJ371" s="125"/>
      <c r="AK371" s="125"/>
      <c r="AL371" s="125"/>
      <c r="AM371" s="125"/>
      <c r="AN371" s="125"/>
      <c r="AO371" s="125"/>
      <c r="AP371" s="125"/>
      <c r="AQ371" s="125"/>
      <c r="AR371" s="125"/>
      <c r="AS371" s="125"/>
      <c r="AT371" s="125"/>
      <c r="AU371" s="125"/>
      <c r="AV371" s="125"/>
      <c r="AW371" s="125"/>
      <c r="AX371" s="125"/>
      <c r="AY371" s="125"/>
      <c r="AZ371" s="125"/>
      <c r="BA371" s="125"/>
      <c r="BB371" s="125"/>
      <c r="BC371" s="125"/>
      <c r="BD371" s="125"/>
      <c r="BE371" s="125"/>
      <c r="BF371" s="125"/>
      <c r="BG371" s="125"/>
      <c r="BH371" s="125"/>
    </row>
    <row r="372" spans="1:60" s="124" customFormat="1" ht="139.5">
      <c r="A372" s="232" t="s">
        <v>447</v>
      </c>
      <c r="B372" s="231">
        <v>2570</v>
      </c>
      <c r="C372" s="100" t="s">
        <v>555</v>
      </c>
      <c r="D372" s="100" t="s">
        <v>621</v>
      </c>
      <c r="E372" s="100" t="s">
        <v>620</v>
      </c>
      <c r="F372" s="100" t="s">
        <v>619</v>
      </c>
      <c r="G372" s="100" t="s">
        <v>642</v>
      </c>
      <c r="H372" s="100" t="s">
        <v>117</v>
      </c>
      <c r="I372" s="100"/>
      <c r="J372" s="96" t="s">
        <v>110</v>
      </c>
      <c r="K372" s="96" t="s">
        <v>63</v>
      </c>
      <c r="L372" s="99">
        <f t="shared" si="10"/>
        <v>41200</v>
      </c>
      <c r="M372" s="98">
        <f t="shared" si="11"/>
        <v>4</v>
      </c>
      <c r="N372" s="96" t="s">
        <v>596</v>
      </c>
      <c r="O372" s="97"/>
      <c r="P372" s="97" t="s">
        <v>472</v>
      </c>
      <c r="Q372" s="96"/>
      <c r="R372" s="96">
        <v>4</v>
      </c>
      <c r="S372" s="96"/>
      <c r="T372" s="95">
        <v>10300</v>
      </c>
      <c r="U372" s="135" t="s">
        <v>636</v>
      </c>
      <c r="V372" s="217"/>
      <c r="W372" s="217"/>
      <c r="X372" s="125"/>
      <c r="Y372" s="125"/>
      <c r="Z372" s="125"/>
      <c r="AA372" s="125"/>
      <c r="AB372" s="125"/>
      <c r="AC372" s="125"/>
      <c r="AD372" s="125"/>
      <c r="AE372" s="125"/>
      <c r="AF372" s="125"/>
      <c r="AG372" s="125"/>
      <c r="AH372" s="125"/>
      <c r="AI372" s="125"/>
      <c r="AJ372" s="125"/>
      <c r="AK372" s="125"/>
      <c r="AL372" s="125"/>
      <c r="AM372" s="125"/>
      <c r="AN372" s="125"/>
      <c r="AO372" s="125"/>
      <c r="AP372" s="125"/>
      <c r="AQ372" s="125"/>
      <c r="AR372" s="125"/>
      <c r="AS372" s="125"/>
      <c r="AT372" s="125"/>
      <c r="AU372" s="125"/>
      <c r="AV372" s="125"/>
      <c r="AW372" s="125"/>
      <c r="AX372" s="125"/>
      <c r="AY372" s="125"/>
      <c r="AZ372" s="125"/>
      <c r="BA372" s="125"/>
      <c r="BB372" s="125"/>
      <c r="BC372" s="125"/>
      <c r="BD372" s="125"/>
      <c r="BE372" s="125"/>
      <c r="BF372" s="125"/>
      <c r="BG372" s="125"/>
      <c r="BH372" s="125"/>
    </row>
    <row r="373" spans="1:60" s="124" customFormat="1" ht="139.5">
      <c r="A373" s="232" t="s">
        <v>447</v>
      </c>
      <c r="B373" s="231">
        <v>2570</v>
      </c>
      <c r="C373" s="100" t="s">
        <v>555</v>
      </c>
      <c r="D373" s="100" t="s">
        <v>621</v>
      </c>
      <c r="E373" s="100" t="s">
        <v>620</v>
      </c>
      <c r="F373" s="100" t="s">
        <v>619</v>
      </c>
      <c r="G373" s="100" t="s">
        <v>641</v>
      </c>
      <c r="H373" s="100" t="s">
        <v>117</v>
      </c>
      <c r="I373" s="100"/>
      <c r="J373" s="96" t="s">
        <v>110</v>
      </c>
      <c r="K373" s="96" t="s">
        <v>63</v>
      </c>
      <c r="L373" s="99">
        <f t="shared" si="10"/>
        <v>291200</v>
      </c>
      <c r="M373" s="98">
        <f t="shared" si="11"/>
        <v>26</v>
      </c>
      <c r="N373" s="96" t="s">
        <v>596</v>
      </c>
      <c r="O373" s="96"/>
      <c r="P373" s="97" t="s">
        <v>472</v>
      </c>
      <c r="Q373" s="96"/>
      <c r="R373" s="96">
        <v>26</v>
      </c>
      <c r="S373" s="96"/>
      <c r="T373" s="95">
        <v>11200</v>
      </c>
      <c r="U373" s="135" t="s">
        <v>636</v>
      </c>
      <c r="V373" s="217"/>
      <c r="W373" s="217"/>
      <c r="X373" s="125"/>
      <c r="Y373" s="125"/>
      <c r="Z373" s="125"/>
      <c r="AA373" s="125"/>
      <c r="AB373" s="125"/>
      <c r="AC373" s="125"/>
      <c r="AD373" s="125"/>
      <c r="AE373" s="125"/>
      <c r="AF373" s="125"/>
      <c r="AG373" s="125"/>
      <c r="AH373" s="125"/>
      <c r="AI373" s="125"/>
      <c r="AJ373" s="125"/>
      <c r="AK373" s="125"/>
      <c r="AL373" s="125"/>
      <c r="AM373" s="125"/>
      <c r="AN373" s="125"/>
      <c r="AO373" s="125"/>
      <c r="AP373" s="125"/>
      <c r="AQ373" s="125"/>
      <c r="AR373" s="125"/>
      <c r="AS373" s="125"/>
      <c r="AT373" s="125"/>
      <c r="AU373" s="125"/>
      <c r="AV373" s="125"/>
      <c r="AW373" s="125"/>
      <c r="AX373" s="125"/>
      <c r="AY373" s="125"/>
      <c r="AZ373" s="125"/>
      <c r="BA373" s="125"/>
      <c r="BB373" s="125"/>
      <c r="BC373" s="125"/>
      <c r="BD373" s="125"/>
      <c r="BE373" s="125"/>
      <c r="BF373" s="125"/>
      <c r="BG373" s="125"/>
      <c r="BH373" s="125"/>
    </row>
    <row r="374" spans="1:60" s="124" customFormat="1" ht="139.5">
      <c r="A374" s="232" t="s">
        <v>447</v>
      </c>
      <c r="B374" s="231">
        <v>2570</v>
      </c>
      <c r="C374" s="100" t="s">
        <v>555</v>
      </c>
      <c r="D374" s="100" t="s">
        <v>621</v>
      </c>
      <c r="E374" s="100" t="s">
        <v>620</v>
      </c>
      <c r="F374" s="100" t="s">
        <v>619</v>
      </c>
      <c r="G374" s="100" t="s">
        <v>640</v>
      </c>
      <c r="H374" s="100" t="s">
        <v>117</v>
      </c>
      <c r="I374" s="100"/>
      <c r="J374" s="96" t="s">
        <v>110</v>
      </c>
      <c r="K374" s="96" t="s">
        <v>63</v>
      </c>
      <c r="L374" s="99">
        <f t="shared" si="10"/>
        <v>455000</v>
      </c>
      <c r="M374" s="98">
        <f t="shared" si="11"/>
        <v>1</v>
      </c>
      <c r="N374" s="98" t="s">
        <v>596</v>
      </c>
      <c r="O374" s="98"/>
      <c r="P374" s="97" t="s">
        <v>472</v>
      </c>
      <c r="Q374" s="98"/>
      <c r="R374" s="98">
        <v>1</v>
      </c>
      <c r="S374" s="98"/>
      <c r="T374" s="95">
        <v>455000</v>
      </c>
      <c r="U374" s="109" t="s">
        <v>628</v>
      </c>
      <c r="V374" s="217"/>
      <c r="W374" s="217"/>
      <c r="X374" s="125"/>
      <c r="Y374" s="125"/>
      <c r="Z374" s="125"/>
      <c r="AA374" s="125"/>
      <c r="AB374" s="125"/>
      <c r="AC374" s="125"/>
      <c r="AD374" s="125"/>
      <c r="AE374" s="125"/>
      <c r="AF374" s="125"/>
      <c r="AG374" s="125"/>
      <c r="AH374" s="125"/>
      <c r="AI374" s="125"/>
      <c r="AJ374" s="125"/>
      <c r="AK374" s="125"/>
      <c r="AL374" s="125"/>
      <c r="AM374" s="125"/>
      <c r="AN374" s="125"/>
      <c r="AO374" s="125"/>
      <c r="AP374" s="125"/>
      <c r="AQ374" s="125"/>
      <c r="AR374" s="125"/>
      <c r="AS374" s="125"/>
      <c r="AT374" s="125"/>
      <c r="AU374" s="125"/>
      <c r="AV374" s="125"/>
      <c r="AW374" s="125"/>
      <c r="AX374" s="125"/>
      <c r="AY374" s="125"/>
      <c r="AZ374" s="125"/>
      <c r="BA374" s="125"/>
      <c r="BB374" s="125"/>
      <c r="BC374" s="125"/>
      <c r="BD374" s="125"/>
      <c r="BE374" s="125"/>
      <c r="BF374" s="125"/>
      <c r="BG374" s="125"/>
      <c r="BH374" s="125"/>
    </row>
    <row r="375" spans="1:60" s="124" customFormat="1" ht="139.5">
      <c r="A375" s="232" t="s">
        <v>447</v>
      </c>
      <c r="B375" s="231">
        <v>2570</v>
      </c>
      <c r="C375" s="100" t="s">
        <v>555</v>
      </c>
      <c r="D375" s="100" t="s">
        <v>621</v>
      </c>
      <c r="E375" s="100" t="s">
        <v>620</v>
      </c>
      <c r="F375" s="100" t="s">
        <v>619</v>
      </c>
      <c r="G375" s="100" t="s">
        <v>639</v>
      </c>
      <c r="H375" s="100" t="s">
        <v>117</v>
      </c>
      <c r="I375" s="100"/>
      <c r="J375" s="96" t="s">
        <v>110</v>
      </c>
      <c r="K375" s="96" t="s">
        <v>63</v>
      </c>
      <c r="L375" s="99">
        <f t="shared" si="10"/>
        <v>50000</v>
      </c>
      <c r="M375" s="98">
        <f t="shared" si="11"/>
        <v>1</v>
      </c>
      <c r="N375" s="98" t="s">
        <v>553</v>
      </c>
      <c r="O375" s="98"/>
      <c r="P375" s="97" t="s">
        <v>472</v>
      </c>
      <c r="Q375" s="98"/>
      <c r="R375" s="98">
        <v>1</v>
      </c>
      <c r="S375" s="98"/>
      <c r="T375" s="95">
        <v>50000</v>
      </c>
      <c r="U375" s="131" t="s">
        <v>628</v>
      </c>
      <c r="V375" s="217"/>
      <c r="W375" s="217"/>
      <c r="X375" s="125"/>
      <c r="Y375" s="125"/>
      <c r="Z375" s="125"/>
      <c r="AA375" s="125"/>
      <c r="AB375" s="125"/>
      <c r="AC375" s="125"/>
      <c r="AD375" s="125"/>
      <c r="AE375" s="125"/>
      <c r="AF375" s="125"/>
      <c r="AG375" s="125"/>
      <c r="AH375" s="125"/>
      <c r="AI375" s="125"/>
      <c r="AJ375" s="125"/>
      <c r="AK375" s="125"/>
      <c r="AL375" s="125"/>
      <c r="AM375" s="125"/>
      <c r="AN375" s="125"/>
      <c r="AO375" s="125"/>
      <c r="AP375" s="125"/>
      <c r="AQ375" s="125"/>
      <c r="AR375" s="125"/>
      <c r="AS375" s="125"/>
      <c r="AT375" s="125"/>
      <c r="AU375" s="125"/>
      <c r="AV375" s="125"/>
      <c r="AW375" s="125"/>
      <c r="AX375" s="125"/>
      <c r="AY375" s="125"/>
      <c r="AZ375" s="125"/>
      <c r="BA375" s="125"/>
      <c r="BB375" s="125"/>
      <c r="BC375" s="125"/>
      <c r="BD375" s="125"/>
      <c r="BE375" s="125"/>
      <c r="BF375" s="125"/>
      <c r="BG375" s="125"/>
      <c r="BH375" s="125"/>
    </row>
    <row r="376" spans="1:60" s="124" customFormat="1" ht="139.5">
      <c r="A376" s="232" t="s">
        <v>447</v>
      </c>
      <c r="B376" s="231">
        <v>2570</v>
      </c>
      <c r="C376" s="100" t="s">
        <v>538</v>
      </c>
      <c r="D376" s="100" t="s">
        <v>621</v>
      </c>
      <c r="E376" s="100" t="s">
        <v>620</v>
      </c>
      <c r="F376" s="100" t="s">
        <v>619</v>
      </c>
      <c r="G376" s="100" t="s">
        <v>638</v>
      </c>
      <c r="H376" s="100" t="s">
        <v>117</v>
      </c>
      <c r="I376" s="100"/>
      <c r="J376" s="96" t="s">
        <v>110</v>
      </c>
      <c r="K376" s="96" t="s">
        <v>63</v>
      </c>
      <c r="L376" s="99">
        <f t="shared" si="10"/>
        <v>222500</v>
      </c>
      <c r="M376" s="98">
        <f t="shared" si="11"/>
        <v>250</v>
      </c>
      <c r="N376" s="96" t="s">
        <v>553</v>
      </c>
      <c r="O376" s="97"/>
      <c r="P376" s="97" t="s">
        <v>472</v>
      </c>
      <c r="Q376" s="96"/>
      <c r="R376" s="96">
        <v>250</v>
      </c>
      <c r="S376" s="96"/>
      <c r="T376" s="95">
        <v>890</v>
      </c>
      <c r="U376" s="94" t="s">
        <v>636</v>
      </c>
      <c r="V376" s="217"/>
      <c r="W376" s="217"/>
      <c r="X376" s="125"/>
      <c r="Y376" s="125"/>
      <c r="Z376" s="125"/>
      <c r="AA376" s="125"/>
      <c r="AB376" s="125"/>
      <c r="AC376" s="125"/>
      <c r="AD376" s="125"/>
      <c r="AE376" s="125"/>
      <c r="AF376" s="125"/>
      <c r="AG376" s="125"/>
      <c r="AH376" s="125"/>
      <c r="AI376" s="125"/>
      <c r="AJ376" s="125"/>
      <c r="AK376" s="125"/>
      <c r="AL376" s="125"/>
      <c r="AM376" s="125"/>
      <c r="AN376" s="125"/>
      <c r="AO376" s="125"/>
      <c r="AP376" s="125"/>
      <c r="AQ376" s="125"/>
      <c r="AR376" s="125"/>
      <c r="AS376" s="125"/>
      <c r="AT376" s="125"/>
      <c r="AU376" s="125"/>
      <c r="AV376" s="125"/>
      <c r="AW376" s="125"/>
      <c r="AX376" s="125"/>
      <c r="AY376" s="125"/>
      <c r="AZ376" s="125"/>
      <c r="BA376" s="125"/>
      <c r="BB376" s="125"/>
      <c r="BC376" s="125"/>
      <c r="BD376" s="125"/>
      <c r="BE376" s="125"/>
      <c r="BF376" s="125"/>
      <c r="BG376" s="125"/>
      <c r="BH376" s="125"/>
    </row>
    <row r="377" spans="1:60" s="124" customFormat="1" ht="139.5">
      <c r="A377" s="232" t="s">
        <v>447</v>
      </c>
      <c r="B377" s="231">
        <v>2570</v>
      </c>
      <c r="C377" s="100" t="s">
        <v>538</v>
      </c>
      <c r="D377" s="100" t="s">
        <v>621</v>
      </c>
      <c r="E377" s="100" t="s">
        <v>620</v>
      </c>
      <c r="F377" s="100" t="s">
        <v>619</v>
      </c>
      <c r="G377" s="100" t="s">
        <v>637</v>
      </c>
      <c r="H377" s="100" t="s">
        <v>117</v>
      </c>
      <c r="I377" s="100"/>
      <c r="J377" s="96" t="s">
        <v>110</v>
      </c>
      <c r="K377" s="96" t="s">
        <v>63</v>
      </c>
      <c r="L377" s="99">
        <f t="shared" si="10"/>
        <v>138000</v>
      </c>
      <c r="M377" s="98">
        <f t="shared" si="11"/>
        <v>60</v>
      </c>
      <c r="N377" s="98" t="s">
        <v>553</v>
      </c>
      <c r="O377" s="98"/>
      <c r="P377" s="97" t="s">
        <v>472</v>
      </c>
      <c r="Q377" s="98"/>
      <c r="R377" s="98">
        <v>60</v>
      </c>
      <c r="S377" s="98"/>
      <c r="T377" s="95">
        <v>2300</v>
      </c>
      <c r="U377" s="131" t="s">
        <v>636</v>
      </c>
      <c r="V377" s="217"/>
      <c r="W377" s="217"/>
      <c r="X377" s="125"/>
      <c r="Y377" s="125"/>
      <c r="Z377" s="125"/>
      <c r="AA377" s="125"/>
      <c r="AB377" s="125"/>
      <c r="AC377" s="125"/>
      <c r="AD377" s="125"/>
      <c r="AE377" s="125"/>
      <c r="AF377" s="125"/>
      <c r="AG377" s="125"/>
      <c r="AH377" s="125"/>
      <c r="AI377" s="125"/>
      <c r="AJ377" s="125"/>
      <c r="AK377" s="125"/>
      <c r="AL377" s="125"/>
      <c r="AM377" s="125"/>
      <c r="AN377" s="125"/>
      <c r="AO377" s="125"/>
      <c r="AP377" s="125"/>
      <c r="AQ377" s="125"/>
      <c r="AR377" s="125"/>
      <c r="AS377" s="125"/>
      <c r="AT377" s="125"/>
      <c r="AU377" s="125"/>
      <c r="AV377" s="125"/>
      <c r="AW377" s="125"/>
      <c r="AX377" s="125"/>
      <c r="AY377" s="125"/>
      <c r="AZ377" s="125"/>
      <c r="BA377" s="125"/>
      <c r="BB377" s="125"/>
      <c r="BC377" s="125"/>
      <c r="BD377" s="125"/>
      <c r="BE377" s="125"/>
      <c r="BF377" s="125"/>
      <c r="BG377" s="125"/>
      <c r="BH377" s="125"/>
    </row>
    <row r="378" spans="1:60" s="124" customFormat="1" ht="139.5">
      <c r="A378" s="232" t="s">
        <v>447</v>
      </c>
      <c r="B378" s="231">
        <v>2570</v>
      </c>
      <c r="C378" s="100" t="s">
        <v>538</v>
      </c>
      <c r="D378" s="100" t="s">
        <v>621</v>
      </c>
      <c r="E378" s="100" t="s">
        <v>620</v>
      </c>
      <c r="F378" s="100" t="s">
        <v>619</v>
      </c>
      <c r="G378" s="100" t="s">
        <v>635</v>
      </c>
      <c r="H378" s="100" t="s">
        <v>117</v>
      </c>
      <c r="I378" s="100"/>
      <c r="J378" s="96" t="s">
        <v>110</v>
      </c>
      <c r="K378" s="96" t="s">
        <v>63</v>
      </c>
      <c r="L378" s="99">
        <f t="shared" si="10"/>
        <v>335000</v>
      </c>
      <c r="M378" s="98">
        <f t="shared" si="11"/>
        <v>100</v>
      </c>
      <c r="N378" s="98" t="s">
        <v>596</v>
      </c>
      <c r="O378" s="98"/>
      <c r="P378" s="97" t="s">
        <v>472</v>
      </c>
      <c r="Q378" s="98"/>
      <c r="R378" s="98">
        <v>100</v>
      </c>
      <c r="S378" s="98"/>
      <c r="T378" s="95">
        <v>3350</v>
      </c>
      <c r="U378" s="131" t="s">
        <v>628</v>
      </c>
      <c r="V378" s="217"/>
      <c r="W378" s="217"/>
      <c r="X378" s="125"/>
      <c r="Y378" s="125"/>
      <c r="Z378" s="125"/>
      <c r="AA378" s="125"/>
      <c r="AB378" s="125"/>
      <c r="AC378" s="125"/>
      <c r="AD378" s="125"/>
      <c r="AE378" s="125"/>
      <c r="AF378" s="125"/>
      <c r="AG378" s="125"/>
      <c r="AH378" s="125"/>
      <c r="AI378" s="125"/>
      <c r="AJ378" s="125"/>
      <c r="AK378" s="125"/>
      <c r="AL378" s="125"/>
      <c r="AM378" s="125"/>
      <c r="AN378" s="125"/>
      <c r="AO378" s="125"/>
      <c r="AP378" s="125"/>
      <c r="AQ378" s="125"/>
      <c r="AR378" s="125"/>
      <c r="AS378" s="125"/>
      <c r="AT378" s="125"/>
      <c r="AU378" s="125"/>
      <c r="AV378" s="125"/>
      <c r="AW378" s="125"/>
      <c r="AX378" s="125"/>
      <c r="AY378" s="125"/>
      <c r="AZ378" s="125"/>
      <c r="BA378" s="125"/>
      <c r="BB378" s="125"/>
      <c r="BC378" s="125"/>
      <c r="BD378" s="125"/>
      <c r="BE378" s="125"/>
      <c r="BF378" s="125"/>
      <c r="BG378" s="125"/>
      <c r="BH378" s="125"/>
    </row>
    <row r="379" spans="1:60" s="124" customFormat="1" ht="139.5">
      <c r="A379" s="232" t="s">
        <v>447</v>
      </c>
      <c r="B379" s="231">
        <v>2570</v>
      </c>
      <c r="C379" s="100" t="s">
        <v>538</v>
      </c>
      <c r="D379" s="100" t="s">
        <v>621</v>
      </c>
      <c r="E379" s="100" t="s">
        <v>620</v>
      </c>
      <c r="F379" s="100" t="s">
        <v>619</v>
      </c>
      <c r="G379" s="100" t="s">
        <v>634</v>
      </c>
      <c r="H379" s="100" t="s">
        <v>117</v>
      </c>
      <c r="I379" s="100"/>
      <c r="J379" s="96" t="s">
        <v>110</v>
      </c>
      <c r="K379" s="96" t="s">
        <v>63</v>
      </c>
      <c r="L379" s="99">
        <f t="shared" si="10"/>
        <v>340000</v>
      </c>
      <c r="M379" s="98">
        <f t="shared" si="11"/>
        <v>100</v>
      </c>
      <c r="N379" s="98" t="s">
        <v>596</v>
      </c>
      <c r="O379" s="98"/>
      <c r="P379" s="97" t="s">
        <v>472</v>
      </c>
      <c r="Q379" s="98"/>
      <c r="R379" s="98">
        <v>100</v>
      </c>
      <c r="S379" s="98"/>
      <c r="T379" s="95">
        <v>3400</v>
      </c>
      <c r="U379" s="131" t="s">
        <v>628</v>
      </c>
      <c r="V379" s="217"/>
      <c r="W379" s="217"/>
      <c r="X379" s="125"/>
      <c r="Y379" s="125"/>
      <c r="Z379" s="125"/>
      <c r="AA379" s="125"/>
      <c r="AB379" s="125"/>
      <c r="AC379" s="125"/>
      <c r="AD379" s="125"/>
      <c r="AE379" s="125"/>
      <c r="AF379" s="125"/>
      <c r="AG379" s="125"/>
      <c r="AH379" s="125"/>
      <c r="AI379" s="125"/>
      <c r="AJ379" s="125"/>
      <c r="AK379" s="125"/>
      <c r="AL379" s="125"/>
      <c r="AM379" s="125"/>
      <c r="AN379" s="125"/>
      <c r="AO379" s="125"/>
      <c r="AP379" s="125"/>
      <c r="AQ379" s="125"/>
      <c r="AR379" s="125"/>
      <c r="AS379" s="125"/>
      <c r="AT379" s="125"/>
      <c r="AU379" s="125"/>
      <c r="AV379" s="125"/>
      <c r="AW379" s="125"/>
      <c r="AX379" s="125"/>
      <c r="AY379" s="125"/>
      <c r="AZ379" s="125"/>
      <c r="BA379" s="125"/>
      <c r="BB379" s="125"/>
      <c r="BC379" s="125"/>
      <c r="BD379" s="125"/>
      <c r="BE379" s="125"/>
      <c r="BF379" s="125"/>
      <c r="BG379" s="125"/>
      <c r="BH379" s="125"/>
    </row>
    <row r="380" spans="1:60" s="124" customFormat="1" ht="139.5">
      <c r="A380" s="232" t="s">
        <v>447</v>
      </c>
      <c r="B380" s="231">
        <v>2570</v>
      </c>
      <c r="C380" s="100" t="s">
        <v>538</v>
      </c>
      <c r="D380" s="100" t="s">
        <v>621</v>
      </c>
      <c r="E380" s="100" t="s">
        <v>620</v>
      </c>
      <c r="F380" s="100" t="s">
        <v>619</v>
      </c>
      <c r="G380" s="100" t="s">
        <v>633</v>
      </c>
      <c r="H380" s="100" t="s">
        <v>117</v>
      </c>
      <c r="I380" s="100"/>
      <c r="J380" s="96" t="s">
        <v>110</v>
      </c>
      <c r="K380" s="96" t="s">
        <v>63</v>
      </c>
      <c r="L380" s="99">
        <f t="shared" si="10"/>
        <v>400000</v>
      </c>
      <c r="M380" s="98">
        <f t="shared" si="11"/>
        <v>100</v>
      </c>
      <c r="N380" s="96" t="s">
        <v>596</v>
      </c>
      <c r="O380" s="96"/>
      <c r="P380" s="97" t="s">
        <v>472</v>
      </c>
      <c r="Q380" s="98"/>
      <c r="R380" s="98">
        <v>100</v>
      </c>
      <c r="S380" s="98"/>
      <c r="T380" s="95">
        <v>4000</v>
      </c>
      <c r="U380" s="109" t="s">
        <v>628</v>
      </c>
      <c r="V380" s="217"/>
      <c r="W380" s="217"/>
      <c r="X380" s="125"/>
      <c r="Y380" s="125"/>
      <c r="Z380" s="125"/>
      <c r="AA380" s="125"/>
      <c r="AB380" s="125"/>
      <c r="AC380" s="125"/>
      <c r="AD380" s="125"/>
      <c r="AE380" s="125"/>
      <c r="AF380" s="125"/>
      <c r="AG380" s="125"/>
      <c r="AH380" s="125"/>
      <c r="AI380" s="125"/>
      <c r="AJ380" s="125"/>
      <c r="AK380" s="125"/>
      <c r="AL380" s="125"/>
      <c r="AM380" s="125"/>
      <c r="AN380" s="125"/>
      <c r="AO380" s="125"/>
      <c r="AP380" s="125"/>
      <c r="AQ380" s="125"/>
      <c r="AR380" s="125"/>
      <c r="AS380" s="125"/>
      <c r="AT380" s="125"/>
      <c r="AU380" s="125"/>
      <c r="AV380" s="125"/>
      <c r="AW380" s="125"/>
      <c r="AX380" s="125"/>
      <c r="AY380" s="125"/>
      <c r="AZ380" s="125"/>
      <c r="BA380" s="125"/>
      <c r="BB380" s="125"/>
      <c r="BC380" s="125"/>
      <c r="BD380" s="125"/>
      <c r="BE380" s="125"/>
      <c r="BF380" s="125"/>
      <c r="BG380" s="125"/>
      <c r="BH380" s="125"/>
    </row>
    <row r="381" spans="1:60" s="124" customFormat="1" ht="139.5">
      <c r="A381" s="232" t="s">
        <v>447</v>
      </c>
      <c r="B381" s="231">
        <v>2570</v>
      </c>
      <c r="C381" s="100" t="s">
        <v>538</v>
      </c>
      <c r="D381" s="100" t="s">
        <v>621</v>
      </c>
      <c r="E381" s="100" t="s">
        <v>620</v>
      </c>
      <c r="F381" s="100" t="s">
        <v>619</v>
      </c>
      <c r="G381" s="100" t="s">
        <v>632</v>
      </c>
      <c r="H381" s="100" t="s">
        <v>117</v>
      </c>
      <c r="I381" s="100"/>
      <c r="J381" s="96" t="s">
        <v>110</v>
      </c>
      <c r="K381" s="96" t="s">
        <v>63</v>
      </c>
      <c r="L381" s="99">
        <f t="shared" si="10"/>
        <v>60000</v>
      </c>
      <c r="M381" s="98">
        <f t="shared" si="11"/>
        <v>100</v>
      </c>
      <c r="N381" s="98" t="s">
        <v>596</v>
      </c>
      <c r="O381" s="98"/>
      <c r="P381" s="97" t="s">
        <v>472</v>
      </c>
      <c r="Q381" s="98"/>
      <c r="R381" s="98">
        <v>100</v>
      </c>
      <c r="S381" s="98"/>
      <c r="T381" s="95">
        <v>600</v>
      </c>
      <c r="U381" s="131" t="s">
        <v>628</v>
      </c>
      <c r="V381" s="217"/>
      <c r="W381" s="217"/>
      <c r="X381" s="125"/>
      <c r="Y381" s="125"/>
      <c r="Z381" s="125"/>
      <c r="AA381" s="125"/>
      <c r="AB381" s="125"/>
      <c r="AC381" s="125"/>
      <c r="AD381" s="125"/>
      <c r="AE381" s="125"/>
      <c r="AF381" s="125"/>
      <c r="AG381" s="125"/>
      <c r="AH381" s="125"/>
      <c r="AI381" s="125"/>
      <c r="AJ381" s="125"/>
      <c r="AK381" s="125"/>
      <c r="AL381" s="125"/>
      <c r="AM381" s="125"/>
      <c r="AN381" s="125"/>
      <c r="AO381" s="125"/>
      <c r="AP381" s="125"/>
      <c r="AQ381" s="125"/>
      <c r="AR381" s="125"/>
      <c r="AS381" s="125"/>
      <c r="AT381" s="125"/>
      <c r="AU381" s="125"/>
      <c r="AV381" s="125"/>
      <c r="AW381" s="125"/>
      <c r="AX381" s="125"/>
      <c r="AY381" s="125"/>
      <c r="AZ381" s="125"/>
      <c r="BA381" s="125"/>
      <c r="BB381" s="125"/>
      <c r="BC381" s="125"/>
      <c r="BD381" s="125"/>
      <c r="BE381" s="125"/>
      <c r="BF381" s="125"/>
      <c r="BG381" s="125"/>
      <c r="BH381" s="125"/>
    </row>
    <row r="382" spans="1:60" s="124" customFormat="1" ht="139.5">
      <c r="A382" s="232" t="s">
        <v>447</v>
      </c>
      <c r="B382" s="231">
        <v>2570</v>
      </c>
      <c r="C382" s="100" t="s">
        <v>538</v>
      </c>
      <c r="D382" s="100" t="s">
        <v>621</v>
      </c>
      <c r="E382" s="100" t="s">
        <v>620</v>
      </c>
      <c r="F382" s="100" t="s">
        <v>619</v>
      </c>
      <c r="G382" s="100" t="s">
        <v>631</v>
      </c>
      <c r="H382" s="100" t="s">
        <v>117</v>
      </c>
      <c r="I382" s="100"/>
      <c r="J382" s="96" t="s">
        <v>110</v>
      </c>
      <c r="K382" s="96" t="s">
        <v>63</v>
      </c>
      <c r="L382" s="99">
        <f t="shared" si="10"/>
        <v>38000</v>
      </c>
      <c r="M382" s="98">
        <f t="shared" si="11"/>
        <v>100</v>
      </c>
      <c r="N382" s="98" t="s">
        <v>596</v>
      </c>
      <c r="O382" s="98"/>
      <c r="P382" s="97" t="s">
        <v>472</v>
      </c>
      <c r="Q382" s="98"/>
      <c r="R382" s="98">
        <v>100</v>
      </c>
      <c r="S382" s="98"/>
      <c r="T382" s="95">
        <v>380</v>
      </c>
      <c r="U382" s="131" t="s">
        <v>628</v>
      </c>
      <c r="V382" s="217"/>
      <c r="W382" s="217"/>
      <c r="X382" s="125"/>
      <c r="Y382" s="125"/>
      <c r="Z382" s="125"/>
      <c r="AA382" s="125"/>
      <c r="AB382" s="125"/>
      <c r="AC382" s="125"/>
      <c r="AD382" s="125"/>
      <c r="AE382" s="125"/>
      <c r="AF382" s="125"/>
      <c r="AG382" s="125"/>
      <c r="AH382" s="125"/>
      <c r="AI382" s="125"/>
      <c r="AJ382" s="125"/>
      <c r="AK382" s="125"/>
      <c r="AL382" s="125"/>
      <c r="AM382" s="125"/>
      <c r="AN382" s="125"/>
      <c r="AO382" s="125"/>
      <c r="AP382" s="125"/>
      <c r="AQ382" s="125"/>
      <c r="AR382" s="125"/>
      <c r="AS382" s="125"/>
      <c r="AT382" s="125"/>
      <c r="AU382" s="125"/>
      <c r="AV382" s="125"/>
      <c r="AW382" s="125"/>
      <c r="AX382" s="125"/>
      <c r="AY382" s="125"/>
      <c r="AZ382" s="125"/>
      <c r="BA382" s="125"/>
      <c r="BB382" s="125"/>
      <c r="BC382" s="125"/>
      <c r="BD382" s="125"/>
      <c r="BE382" s="125"/>
      <c r="BF382" s="125"/>
      <c r="BG382" s="125"/>
      <c r="BH382" s="125"/>
    </row>
    <row r="383" spans="1:60" s="124" customFormat="1" ht="139.5">
      <c r="A383" s="232" t="s">
        <v>447</v>
      </c>
      <c r="B383" s="231">
        <v>2570</v>
      </c>
      <c r="C383" s="100" t="s">
        <v>538</v>
      </c>
      <c r="D383" s="100" t="s">
        <v>621</v>
      </c>
      <c r="E383" s="100" t="s">
        <v>620</v>
      </c>
      <c r="F383" s="100" t="s">
        <v>619</v>
      </c>
      <c r="G383" s="100" t="s">
        <v>630</v>
      </c>
      <c r="H383" s="100" t="s">
        <v>117</v>
      </c>
      <c r="I383" s="100"/>
      <c r="J383" s="96" t="s">
        <v>110</v>
      </c>
      <c r="K383" s="96" t="s">
        <v>63</v>
      </c>
      <c r="L383" s="99">
        <f t="shared" si="10"/>
        <v>680000</v>
      </c>
      <c r="M383" s="98">
        <f t="shared" si="11"/>
        <v>100</v>
      </c>
      <c r="N383" s="96" t="s">
        <v>629</v>
      </c>
      <c r="O383" s="97"/>
      <c r="P383" s="97" t="s">
        <v>472</v>
      </c>
      <c r="Q383" s="96"/>
      <c r="R383" s="96">
        <v>100</v>
      </c>
      <c r="S383" s="96"/>
      <c r="T383" s="95">
        <v>6800</v>
      </c>
      <c r="U383" s="94" t="s">
        <v>628</v>
      </c>
      <c r="V383" s="217"/>
      <c r="W383" s="217"/>
      <c r="X383" s="125"/>
      <c r="Y383" s="125"/>
      <c r="Z383" s="125"/>
      <c r="AA383" s="125"/>
      <c r="AB383" s="125"/>
      <c r="AC383" s="125"/>
      <c r="AD383" s="125"/>
      <c r="AE383" s="125"/>
      <c r="AF383" s="125"/>
      <c r="AG383" s="125"/>
      <c r="AH383" s="125"/>
      <c r="AI383" s="125"/>
      <c r="AJ383" s="125"/>
      <c r="AK383" s="125"/>
      <c r="AL383" s="125"/>
      <c r="AM383" s="125"/>
      <c r="AN383" s="125"/>
      <c r="AO383" s="125"/>
      <c r="AP383" s="125"/>
      <c r="AQ383" s="125"/>
      <c r="AR383" s="125"/>
      <c r="AS383" s="125"/>
      <c r="AT383" s="125"/>
      <c r="AU383" s="125"/>
      <c r="AV383" s="125"/>
      <c r="AW383" s="125"/>
      <c r="AX383" s="125"/>
      <c r="AY383" s="125"/>
      <c r="AZ383" s="125"/>
      <c r="BA383" s="125"/>
      <c r="BB383" s="125"/>
      <c r="BC383" s="125"/>
      <c r="BD383" s="125"/>
      <c r="BE383" s="125"/>
      <c r="BF383" s="125"/>
      <c r="BG383" s="125"/>
      <c r="BH383" s="125"/>
    </row>
    <row r="384" spans="1:60" s="124" customFormat="1" ht="139.5">
      <c r="A384" s="232" t="s">
        <v>447</v>
      </c>
      <c r="B384" s="231">
        <v>2570</v>
      </c>
      <c r="C384" s="100" t="s">
        <v>538</v>
      </c>
      <c r="D384" s="100" t="s">
        <v>621</v>
      </c>
      <c r="E384" s="100" t="s">
        <v>620</v>
      </c>
      <c r="F384" s="100" t="s">
        <v>619</v>
      </c>
      <c r="G384" s="100" t="s">
        <v>627</v>
      </c>
      <c r="H384" s="100" t="s">
        <v>117</v>
      </c>
      <c r="I384" s="100"/>
      <c r="J384" s="96" t="s">
        <v>110</v>
      </c>
      <c r="K384" s="96" t="s">
        <v>63</v>
      </c>
      <c r="L384" s="99">
        <f t="shared" si="10"/>
        <v>138000</v>
      </c>
      <c r="M384" s="98">
        <f t="shared" si="11"/>
        <v>6</v>
      </c>
      <c r="N384" s="96" t="s">
        <v>558</v>
      </c>
      <c r="O384" s="97" t="s">
        <v>472</v>
      </c>
      <c r="P384" s="97"/>
      <c r="Q384" s="96"/>
      <c r="R384" s="96">
        <v>6</v>
      </c>
      <c r="S384" s="96"/>
      <c r="T384" s="95">
        <v>23000</v>
      </c>
      <c r="U384" s="94" t="s">
        <v>616</v>
      </c>
      <c r="V384" s="217"/>
      <c r="W384" s="217"/>
      <c r="X384" s="125"/>
      <c r="Y384" s="125"/>
      <c r="Z384" s="125"/>
      <c r="AA384" s="125"/>
      <c r="AB384" s="125"/>
      <c r="AC384" s="125"/>
      <c r="AD384" s="125"/>
      <c r="AE384" s="125"/>
      <c r="AF384" s="125"/>
      <c r="AG384" s="125"/>
      <c r="AH384" s="125"/>
      <c r="AI384" s="125"/>
      <c r="AJ384" s="125"/>
      <c r="AK384" s="125"/>
      <c r="AL384" s="125"/>
      <c r="AM384" s="125"/>
      <c r="AN384" s="125"/>
      <c r="AO384" s="125"/>
      <c r="AP384" s="125"/>
      <c r="AQ384" s="125"/>
      <c r="AR384" s="125"/>
      <c r="AS384" s="125"/>
      <c r="AT384" s="125"/>
      <c r="AU384" s="125"/>
      <c r="AV384" s="125"/>
      <c r="AW384" s="125"/>
      <c r="AX384" s="125"/>
      <c r="AY384" s="125"/>
      <c r="AZ384" s="125"/>
      <c r="BA384" s="125"/>
      <c r="BB384" s="125"/>
      <c r="BC384" s="125"/>
      <c r="BD384" s="125"/>
      <c r="BE384" s="125"/>
      <c r="BF384" s="125"/>
      <c r="BG384" s="125"/>
      <c r="BH384" s="125"/>
    </row>
    <row r="385" spans="1:60" s="124" customFormat="1" ht="139.5">
      <c r="A385" s="232" t="s">
        <v>447</v>
      </c>
      <c r="B385" s="231">
        <v>2570</v>
      </c>
      <c r="C385" s="100" t="s">
        <v>538</v>
      </c>
      <c r="D385" s="100" t="s">
        <v>621</v>
      </c>
      <c r="E385" s="100" t="s">
        <v>620</v>
      </c>
      <c r="F385" s="100" t="s">
        <v>619</v>
      </c>
      <c r="G385" s="100" t="s">
        <v>626</v>
      </c>
      <c r="H385" s="100" t="s">
        <v>117</v>
      </c>
      <c r="I385" s="100"/>
      <c r="J385" s="96" t="s">
        <v>110</v>
      </c>
      <c r="K385" s="96" t="s">
        <v>63</v>
      </c>
      <c r="L385" s="99">
        <f t="shared" si="10"/>
        <v>72000</v>
      </c>
      <c r="M385" s="98">
        <f t="shared" si="11"/>
        <v>3</v>
      </c>
      <c r="N385" s="96" t="s">
        <v>558</v>
      </c>
      <c r="O385" s="96"/>
      <c r="P385" s="97" t="s">
        <v>472</v>
      </c>
      <c r="Q385" s="96"/>
      <c r="R385" s="96">
        <v>3</v>
      </c>
      <c r="S385" s="96"/>
      <c r="T385" s="95">
        <v>24000</v>
      </c>
      <c r="U385" s="94" t="s">
        <v>625</v>
      </c>
      <c r="V385" s="217"/>
      <c r="W385" s="217"/>
      <c r="X385" s="125"/>
      <c r="Y385" s="125"/>
      <c r="Z385" s="125"/>
      <c r="AA385" s="125"/>
      <c r="AB385" s="125"/>
      <c r="AC385" s="125"/>
      <c r="AD385" s="125"/>
      <c r="AE385" s="125"/>
      <c r="AF385" s="125"/>
      <c r="AG385" s="125"/>
      <c r="AH385" s="125"/>
      <c r="AI385" s="125"/>
      <c r="AJ385" s="125"/>
      <c r="AK385" s="125"/>
      <c r="AL385" s="125"/>
      <c r="AM385" s="125"/>
      <c r="AN385" s="125"/>
      <c r="AO385" s="125"/>
      <c r="AP385" s="125"/>
      <c r="AQ385" s="125"/>
      <c r="AR385" s="125"/>
      <c r="AS385" s="125"/>
      <c r="AT385" s="125"/>
      <c r="AU385" s="125"/>
      <c r="AV385" s="125"/>
      <c r="AW385" s="125"/>
      <c r="AX385" s="125"/>
      <c r="AY385" s="125"/>
      <c r="AZ385" s="125"/>
      <c r="BA385" s="125"/>
      <c r="BB385" s="125"/>
      <c r="BC385" s="125"/>
      <c r="BD385" s="125"/>
      <c r="BE385" s="125"/>
      <c r="BF385" s="125"/>
      <c r="BG385" s="125"/>
      <c r="BH385" s="125"/>
    </row>
    <row r="386" spans="1:60" s="124" customFormat="1" ht="139.5">
      <c r="A386" s="232" t="s">
        <v>447</v>
      </c>
      <c r="B386" s="231">
        <v>2570</v>
      </c>
      <c r="C386" s="100" t="s">
        <v>477</v>
      </c>
      <c r="D386" s="100" t="s">
        <v>621</v>
      </c>
      <c r="E386" s="100" t="s">
        <v>620</v>
      </c>
      <c r="F386" s="100" t="s">
        <v>619</v>
      </c>
      <c r="G386" s="100" t="s">
        <v>624</v>
      </c>
      <c r="H386" s="100" t="s">
        <v>117</v>
      </c>
      <c r="I386" s="100"/>
      <c r="J386" s="96" t="s">
        <v>110</v>
      </c>
      <c r="K386" s="96" t="s">
        <v>63</v>
      </c>
      <c r="L386" s="99">
        <f t="shared" si="10"/>
        <v>97200</v>
      </c>
      <c r="M386" s="98">
        <f t="shared" si="11"/>
        <v>2</v>
      </c>
      <c r="N386" s="96" t="s">
        <v>558</v>
      </c>
      <c r="O386" s="97" t="s">
        <v>472</v>
      </c>
      <c r="P386" s="96"/>
      <c r="Q386" s="96">
        <v>1</v>
      </c>
      <c r="R386" s="96">
        <v>1</v>
      </c>
      <c r="S386" s="134"/>
      <c r="T386" s="95">
        <v>48600</v>
      </c>
      <c r="U386" s="94" t="s">
        <v>616</v>
      </c>
      <c r="V386" s="217"/>
      <c r="W386" s="217"/>
      <c r="X386" s="125"/>
      <c r="Y386" s="125"/>
      <c r="Z386" s="125"/>
      <c r="AA386" s="125"/>
      <c r="AB386" s="125"/>
      <c r="AC386" s="125"/>
      <c r="AD386" s="125"/>
      <c r="AE386" s="125"/>
      <c r="AF386" s="125"/>
      <c r="AG386" s="125"/>
      <c r="AH386" s="125"/>
      <c r="AI386" s="125"/>
      <c r="AJ386" s="125"/>
      <c r="AK386" s="125"/>
      <c r="AL386" s="125"/>
      <c r="AM386" s="125"/>
      <c r="AN386" s="125"/>
      <c r="AO386" s="125"/>
      <c r="AP386" s="125"/>
      <c r="AQ386" s="125"/>
      <c r="AR386" s="125"/>
      <c r="AS386" s="125"/>
      <c r="AT386" s="125"/>
      <c r="AU386" s="125"/>
      <c r="AV386" s="125"/>
      <c r="AW386" s="125"/>
      <c r="AX386" s="125"/>
      <c r="AY386" s="125"/>
      <c r="AZ386" s="125"/>
      <c r="BA386" s="125"/>
      <c r="BB386" s="125"/>
      <c r="BC386" s="125"/>
      <c r="BD386" s="125"/>
      <c r="BE386" s="125"/>
      <c r="BF386" s="125"/>
      <c r="BG386" s="125"/>
      <c r="BH386" s="125"/>
    </row>
    <row r="387" spans="1:60" s="124" customFormat="1" ht="139.5">
      <c r="A387" s="232" t="s">
        <v>447</v>
      </c>
      <c r="B387" s="231">
        <v>2570</v>
      </c>
      <c r="C387" s="100" t="s">
        <v>477</v>
      </c>
      <c r="D387" s="100" t="s">
        <v>621</v>
      </c>
      <c r="E387" s="100" t="s">
        <v>620</v>
      </c>
      <c r="F387" s="100" t="s">
        <v>619</v>
      </c>
      <c r="G387" s="100" t="s">
        <v>623</v>
      </c>
      <c r="H387" s="100" t="s">
        <v>117</v>
      </c>
      <c r="I387" s="100"/>
      <c r="J387" s="96" t="s">
        <v>110</v>
      </c>
      <c r="K387" s="96" t="s">
        <v>63</v>
      </c>
      <c r="L387" s="99">
        <f t="shared" si="10"/>
        <v>1095000</v>
      </c>
      <c r="M387" s="98">
        <f t="shared" si="11"/>
        <v>73</v>
      </c>
      <c r="N387" s="96" t="s">
        <v>558</v>
      </c>
      <c r="O387" s="97" t="s">
        <v>472</v>
      </c>
      <c r="P387" s="96"/>
      <c r="Q387" s="96">
        <v>23</v>
      </c>
      <c r="R387" s="96">
        <v>50</v>
      </c>
      <c r="S387" s="134"/>
      <c r="T387" s="95">
        <v>15000</v>
      </c>
      <c r="U387" s="94" t="s">
        <v>616</v>
      </c>
      <c r="V387" s="217"/>
      <c r="W387" s="217"/>
      <c r="X387" s="125"/>
      <c r="Y387" s="125"/>
      <c r="Z387" s="125"/>
      <c r="AA387" s="125"/>
      <c r="AB387" s="125"/>
      <c r="AC387" s="125"/>
      <c r="AD387" s="125"/>
      <c r="AE387" s="125"/>
      <c r="AF387" s="125"/>
      <c r="AG387" s="125"/>
      <c r="AH387" s="125"/>
      <c r="AI387" s="125"/>
      <c r="AJ387" s="125"/>
      <c r="AK387" s="125"/>
      <c r="AL387" s="125"/>
      <c r="AM387" s="125"/>
      <c r="AN387" s="125"/>
      <c r="AO387" s="125"/>
      <c r="AP387" s="125"/>
      <c r="AQ387" s="125"/>
      <c r="AR387" s="125"/>
      <c r="AS387" s="125"/>
      <c r="AT387" s="125"/>
      <c r="AU387" s="125"/>
      <c r="AV387" s="125"/>
      <c r="AW387" s="125"/>
      <c r="AX387" s="125"/>
      <c r="AY387" s="125"/>
      <c r="AZ387" s="125"/>
      <c r="BA387" s="125"/>
      <c r="BB387" s="125"/>
      <c r="BC387" s="125"/>
      <c r="BD387" s="125"/>
      <c r="BE387" s="125"/>
      <c r="BF387" s="125"/>
      <c r="BG387" s="125"/>
      <c r="BH387" s="125"/>
    </row>
    <row r="388" spans="1:60" s="124" customFormat="1" ht="139.5">
      <c r="A388" s="232" t="s">
        <v>447</v>
      </c>
      <c r="B388" s="231">
        <v>2570</v>
      </c>
      <c r="C388" s="100" t="s">
        <v>477</v>
      </c>
      <c r="D388" s="100" t="s">
        <v>621</v>
      </c>
      <c r="E388" s="100" t="s">
        <v>620</v>
      </c>
      <c r="F388" s="100" t="s">
        <v>619</v>
      </c>
      <c r="G388" s="100" t="s">
        <v>622</v>
      </c>
      <c r="H388" s="100" t="s">
        <v>117</v>
      </c>
      <c r="I388" s="100"/>
      <c r="J388" s="96" t="s">
        <v>110</v>
      </c>
      <c r="K388" s="96" t="s">
        <v>63</v>
      </c>
      <c r="L388" s="99">
        <f t="shared" si="10"/>
        <v>90000</v>
      </c>
      <c r="M388" s="98">
        <f t="shared" si="11"/>
        <v>2</v>
      </c>
      <c r="N388" s="96" t="s">
        <v>617</v>
      </c>
      <c r="O388" s="97" t="s">
        <v>472</v>
      </c>
      <c r="P388" s="96"/>
      <c r="Q388" s="96"/>
      <c r="R388" s="96">
        <v>2</v>
      </c>
      <c r="S388" s="96"/>
      <c r="T388" s="95">
        <v>45000</v>
      </c>
      <c r="U388" s="94" t="s">
        <v>616</v>
      </c>
      <c r="V388" s="217"/>
      <c r="W388" s="217"/>
      <c r="X388" s="125"/>
      <c r="Y388" s="125"/>
      <c r="Z388" s="125"/>
      <c r="AA388" s="125"/>
      <c r="AB388" s="125"/>
      <c r="AC388" s="125"/>
      <c r="AD388" s="125"/>
      <c r="AE388" s="125"/>
      <c r="AF388" s="125"/>
      <c r="AG388" s="125"/>
      <c r="AH388" s="125"/>
      <c r="AI388" s="125"/>
      <c r="AJ388" s="125"/>
      <c r="AK388" s="125"/>
      <c r="AL388" s="125"/>
      <c r="AM388" s="125"/>
      <c r="AN388" s="125"/>
      <c r="AO388" s="125"/>
      <c r="AP388" s="125"/>
      <c r="AQ388" s="125"/>
      <c r="AR388" s="125"/>
      <c r="AS388" s="125"/>
      <c r="AT388" s="125"/>
      <c r="AU388" s="125"/>
      <c r="AV388" s="125"/>
      <c r="AW388" s="125"/>
      <c r="AX388" s="125"/>
      <c r="AY388" s="125"/>
      <c r="AZ388" s="125"/>
      <c r="BA388" s="125"/>
      <c r="BB388" s="125"/>
      <c r="BC388" s="125"/>
      <c r="BD388" s="125"/>
      <c r="BE388" s="125"/>
      <c r="BF388" s="125"/>
      <c r="BG388" s="125"/>
      <c r="BH388" s="125"/>
    </row>
    <row r="389" spans="1:60" s="124" customFormat="1" ht="139.5">
      <c r="A389" s="232" t="s">
        <v>447</v>
      </c>
      <c r="B389" s="231">
        <v>2570</v>
      </c>
      <c r="C389" s="100" t="s">
        <v>477</v>
      </c>
      <c r="D389" s="100" t="s">
        <v>621</v>
      </c>
      <c r="E389" s="100" t="s">
        <v>620</v>
      </c>
      <c r="F389" s="100" t="s">
        <v>619</v>
      </c>
      <c r="G389" s="100" t="s">
        <v>618</v>
      </c>
      <c r="H389" s="100" t="s">
        <v>117</v>
      </c>
      <c r="I389" s="100"/>
      <c r="J389" s="96" t="s">
        <v>110</v>
      </c>
      <c r="K389" s="96" t="s">
        <v>63</v>
      </c>
      <c r="L389" s="99">
        <f t="shared" si="10"/>
        <v>34900</v>
      </c>
      <c r="M389" s="98">
        <f t="shared" si="11"/>
        <v>1</v>
      </c>
      <c r="N389" s="96" t="s">
        <v>617</v>
      </c>
      <c r="O389" s="97" t="s">
        <v>472</v>
      </c>
      <c r="P389" s="96"/>
      <c r="Q389" s="96"/>
      <c r="R389" s="96">
        <v>1</v>
      </c>
      <c r="S389" s="96"/>
      <c r="T389" s="95">
        <v>34900</v>
      </c>
      <c r="U389" s="94" t="s">
        <v>616</v>
      </c>
      <c r="V389" s="217"/>
      <c r="W389" s="217"/>
      <c r="X389" s="125"/>
      <c r="Y389" s="125"/>
      <c r="Z389" s="125"/>
      <c r="AA389" s="125"/>
      <c r="AB389" s="125"/>
      <c r="AC389" s="125"/>
      <c r="AD389" s="125"/>
      <c r="AE389" s="125"/>
      <c r="AF389" s="125"/>
      <c r="AG389" s="125"/>
      <c r="AH389" s="125"/>
      <c r="AI389" s="125"/>
      <c r="AJ389" s="125"/>
      <c r="AK389" s="125"/>
      <c r="AL389" s="125"/>
      <c r="AM389" s="125"/>
      <c r="AN389" s="125"/>
      <c r="AO389" s="125"/>
      <c r="AP389" s="125"/>
      <c r="AQ389" s="125"/>
      <c r="AR389" s="125"/>
      <c r="AS389" s="125"/>
      <c r="AT389" s="125"/>
      <c r="AU389" s="125"/>
      <c r="AV389" s="125"/>
      <c r="AW389" s="125"/>
      <c r="AX389" s="125"/>
      <c r="AY389" s="125"/>
      <c r="AZ389" s="125"/>
      <c r="BA389" s="125"/>
      <c r="BB389" s="125"/>
      <c r="BC389" s="125"/>
      <c r="BD389" s="125"/>
      <c r="BE389" s="125"/>
      <c r="BF389" s="125"/>
      <c r="BG389" s="125"/>
      <c r="BH389" s="125"/>
    </row>
    <row r="390" spans="1:60" s="124" customFormat="1" ht="139.5">
      <c r="A390" s="233" t="s">
        <v>447</v>
      </c>
      <c r="B390" s="231">
        <v>2570</v>
      </c>
      <c r="C390" s="103" t="s">
        <v>615</v>
      </c>
      <c r="D390" s="100" t="s">
        <v>476</v>
      </c>
      <c r="E390" s="100" t="s">
        <v>475</v>
      </c>
      <c r="F390" s="100" t="s">
        <v>474</v>
      </c>
      <c r="G390" s="100" t="s">
        <v>614</v>
      </c>
      <c r="H390" s="100" t="s">
        <v>112</v>
      </c>
      <c r="I390" s="100"/>
      <c r="J390" s="96" t="s">
        <v>110</v>
      </c>
      <c r="K390" s="96" t="s">
        <v>63</v>
      </c>
      <c r="L390" s="99">
        <f t="shared" ref="L390:L453" si="12">T390*M390</f>
        <v>34400</v>
      </c>
      <c r="M390" s="98">
        <f t="shared" si="11"/>
        <v>2</v>
      </c>
      <c r="N390" s="96" t="s">
        <v>558</v>
      </c>
      <c r="O390" s="97" t="s">
        <v>472</v>
      </c>
      <c r="P390" s="96"/>
      <c r="Q390" s="96"/>
      <c r="R390" s="96">
        <v>2</v>
      </c>
      <c r="S390" s="96"/>
      <c r="T390" s="95">
        <v>17200</v>
      </c>
      <c r="U390" s="94" t="s">
        <v>613</v>
      </c>
      <c r="V390" s="217"/>
      <c r="W390" s="217"/>
      <c r="X390" s="125"/>
      <c r="Y390" s="125"/>
      <c r="Z390" s="125"/>
      <c r="AA390" s="125"/>
      <c r="AB390" s="125"/>
      <c r="AC390" s="125"/>
      <c r="AD390" s="125"/>
      <c r="AE390" s="125"/>
      <c r="AF390" s="125"/>
      <c r="AG390" s="125"/>
      <c r="AH390" s="125"/>
      <c r="AI390" s="125"/>
      <c r="AJ390" s="125"/>
      <c r="AK390" s="125"/>
      <c r="AL390" s="125"/>
      <c r="AM390" s="125"/>
      <c r="AN390" s="125"/>
      <c r="AO390" s="125"/>
      <c r="AP390" s="125"/>
      <c r="AQ390" s="125"/>
      <c r="AR390" s="125"/>
      <c r="AS390" s="125"/>
      <c r="AT390" s="125"/>
      <c r="AU390" s="125"/>
      <c r="AV390" s="125"/>
      <c r="AW390" s="125"/>
      <c r="AX390" s="125"/>
      <c r="AY390" s="125"/>
      <c r="AZ390" s="125"/>
      <c r="BA390" s="125"/>
      <c r="BB390" s="125"/>
      <c r="BC390" s="125"/>
      <c r="BD390" s="125"/>
      <c r="BE390" s="125"/>
      <c r="BF390" s="125"/>
      <c r="BG390" s="125"/>
      <c r="BH390" s="125"/>
    </row>
    <row r="391" spans="1:60" s="124" customFormat="1" ht="139.5">
      <c r="A391" s="233" t="s">
        <v>447</v>
      </c>
      <c r="B391" s="231">
        <v>2570</v>
      </c>
      <c r="C391" s="100" t="s">
        <v>555</v>
      </c>
      <c r="D391" s="100" t="s">
        <v>476</v>
      </c>
      <c r="E391" s="100" t="s">
        <v>475</v>
      </c>
      <c r="F391" s="100" t="s">
        <v>474</v>
      </c>
      <c r="G391" s="103" t="s">
        <v>612</v>
      </c>
      <c r="H391" s="100" t="s">
        <v>112</v>
      </c>
      <c r="I391" s="100"/>
      <c r="J391" s="96" t="s">
        <v>110</v>
      </c>
      <c r="K391" s="96" t="s">
        <v>63</v>
      </c>
      <c r="L391" s="99">
        <f t="shared" si="12"/>
        <v>45500</v>
      </c>
      <c r="M391" s="98">
        <f t="shared" si="11"/>
        <v>1</v>
      </c>
      <c r="N391" s="96" t="s">
        <v>558</v>
      </c>
      <c r="O391" s="97" t="s">
        <v>472</v>
      </c>
      <c r="P391" s="96"/>
      <c r="Q391" s="96">
        <v>1</v>
      </c>
      <c r="R391" s="96"/>
      <c r="S391" s="96" t="s">
        <v>611</v>
      </c>
      <c r="T391" s="95">
        <v>45500</v>
      </c>
      <c r="U391" s="94" t="s">
        <v>610</v>
      </c>
      <c r="V391" s="217"/>
      <c r="W391" s="217"/>
      <c r="X391" s="125"/>
      <c r="Y391" s="125"/>
      <c r="Z391" s="125"/>
      <c r="AA391" s="125"/>
      <c r="AB391" s="125"/>
      <c r="AC391" s="125"/>
      <c r="AD391" s="125"/>
      <c r="AE391" s="125"/>
      <c r="AF391" s="125"/>
      <c r="AG391" s="125"/>
      <c r="AH391" s="125"/>
      <c r="AI391" s="125"/>
      <c r="AJ391" s="125"/>
      <c r="AK391" s="125"/>
      <c r="AL391" s="125"/>
      <c r="AM391" s="125"/>
      <c r="AN391" s="125"/>
      <c r="AO391" s="125"/>
      <c r="AP391" s="125"/>
      <c r="AQ391" s="125"/>
      <c r="AR391" s="125"/>
      <c r="AS391" s="125"/>
      <c r="AT391" s="125"/>
      <c r="AU391" s="125"/>
      <c r="AV391" s="125"/>
      <c r="AW391" s="125"/>
      <c r="AX391" s="125"/>
      <c r="AY391" s="125"/>
      <c r="AZ391" s="125"/>
      <c r="BA391" s="125"/>
      <c r="BB391" s="125"/>
      <c r="BC391" s="125"/>
      <c r="BD391" s="125"/>
      <c r="BE391" s="125"/>
      <c r="BF391" s="125"/>
      <c r="BG391" s="125"/>
      <c r="BH391" s="125"/>
    </row>
    <row r="392" spans="1:60" s="124" customFormat="1" ht="139.5">
      <c r="A392" s="233" t="s">
        <v>447</v>
      </c>
      <c r="B392" s="231">
        <v>2570</v>
      </c>
      <c r="C392" s="100" t="s">
        <v>555</v>
      </c>
      <c r="D392" s="100" t="s">
        <v>476</v>
      </c>
      <c r="E392" s="100" t="s">
        <v>475</v>
      </c>
      <c r="F392" s="100" t="s">
        <v>474</v>
      </c>
      <c r="G392" s="100" t="s">
        <v>609</v>
      </c>
      <c r="H392" s="100" t="s">
        <v>112</v>
      </c>
      <c r="I392" s="100"/>
      <c r="J392" s="96" t="s">
        <v>110</v>
      </c>
      <c r="K392" s="96" t="s">
        <v>63</v>
      </c>
      <c r="L392" s="106">
        <f t="shared" si="12"/>
        <v>28945</v>
      </c>
      <c r="M392" s="98">
        <f t="shared" si="11"/>
        <v>5</v>
      </c>
      <c r="N392" s="96"/>
      <c r="O392" s="96"/>
      <c r="P392" s="108" t="s">
        <v>472</v>
      </c>
      <c r="Q392" s="96"/>
      <c r="R392" s="96">
        <v>5</v>
      </c>
      <c r="S392" s="96"/>
      <c r="T392" s="95">
        <v>5789</v>
      </c>
      <c r="U392" s="94" t="s">
        <v>608</v>
      </c>
      <c r="V392" s="217"/>
      <c r="W392" s="217"/>
      <c r="X392" s="125"/>
      <c r="Y392" s="125"/>
      <c r="Z392" s="125"/>
      <c r="AA392" s="125"/>
      <c r="AB392" s="125"/>
      <c r="AC392" s="125"/>
      <c r="AD392" s="125"/>
      <c r="AE392" s="125"/>
      <c r="AF392" s="125"/>
      <c r="AG392" s="125"/>
      <c r="AH392" s="125"/>
      <c r="AI392" s="125"/>
      <c r="AJ392" s="125"/>
      <c r="AK392" s="125"/>
      <c r="AL392" s="125"/>
      <c r="AM392" s="125"/>
      <c r="AN392" s="125"/>
      <c r="AO392" s="125"/>
      <c r="AP392" s="125"/>
      <c r="AQ392" s="125"/>
      <c r="AR392" s="125"/>
      <c r="AS392" s="125"/>
      <c r="AT392" s="125"/>
      <c r="AU392" s="125"/>
      <c r="AV392" s="125"/>
      <c r="AW392" s="125"/>
      <c r="AX392" s="125"/>
      <c r="AY392" s="125"/>
      <c r="AZ392" s="125"/>
      <c r="BA392" s="125"/>
      <c r="BB392" s="125"/>
      <c r="BC392" s="125"/>
      <c r="BD392" s="125"/>
      <c r="BE392" s="125"/>
      <c r="BF392" s="125"/>
      <c r="BG392" s="125"/>
      <c r="BH392" s="125"/>
    </row>
    <row r="393" spans="1:60" s="124" customFormat="1" ht="139.5">
      <c r="A393" s="233" t="s">
        <v>447</v>
      </c>
      <c r="B393" s="231">
        <v>2570</v>
      </c>
      <c r="C393" s="100" t="s">
        <v>555</v>
      </c>
      <c r="D393" s="100" t="s">
        <v>476</v>
      </c>
      <c r="E393" s="100" t="s">
        <v>475</v>
      </c>
      <c r="F393" s="100" t="s">
        <v>474</v>
      </c>
      <c r="G393" s="100" t="s">
        <v>607</v>
      </c>
      <c r="H393" s="100" t="s">
        <v>106</v>
      </c>
      <c r="I393" s="100"/>
      <c r="J393" s="96" t="s">
        <v>103</v>
      </c>
      <c r="K393" s="96" t="s">
        <v>63</v>
      </c>
      <c r="L393" s="99">
        <f t="shared" si="12"/>
        <v>118500</v>
      </c>
      <c r="M393" s="98">
        <f t="shared" si="11"/>
        <v>1</v>
      </c>
      <c r="N393" s="133" t="s">
        <v>596</v>
      </c>
      <c r="O393" s="98"/>
      <c r="P393" s="97" t="s">
        <v>472</v>
      </c>
      <c r="Q393" s="98"/>
      <c r="R393" s="133">
        <v>1</v>
      </c>
      <c r="S393" s="98"/>
      <c r="T393" s="95">
        <v>118500</v>
      </c>
      <c r="U393" s="109" t="s">
        <v>606</v>
      </c>
      <c r="V393" s="217"/>
      <c r="W393" s="217"/>
      <c r="X393" s="125"/>
      <c r="Y393" s="125"/>
      <c r="Z393" s="125"/>
      <c r="AA393" s="125"/>
      <c r="AB393" s="125"/>
      <c r="AC393" s="125"/>
      <c r="AD393" s="125"/>
      <c r="AE393" s="125"/>
      <c r="AF393" s="125"/>
      <c r="AG393" s="125"/>
      <c r="AH393" s="125"/>
      <c r="AI393" s="125"/>
      <c r="AJ393" s="125"/>
      <c r="AK393" s="125"/>
      <c r="AL393" s="125"/>
      <c r="AM393" s="125"/>
      <c r="AN393" s="125"/>
      <c r="AO393" s="125"/>
      <c r="AP393" s="125"/>
      <c r="AQ393" s="125"/>
      <c r="AR393" s="125"/>
      <c r="AS393" s="125"/>
      <c r="AT393" s="125"/>
      <c r="AU393" s="125"/>
      <c r="AV393" s="125"/>
      <c r="AW393" s="125"/>
      <c r="AX393" s="125"/>
      <c r="AY393" s="125"/>
      <c r="AZ393" s="125"/>
      <c r="BA393" s="125"/>
      <c r="BB393" s="125"/>
      <c r="BC393" s="125"/>
      <c r="BD393" s="125"/>
      <c r="BE393" s="125"/>
      <c r="BF393" s="125"/>
      <c r="BG393" s="125"/>
      <c r="BH393" s="125"/>
    </row>
    <row r="394" spans="1:60" s="124" customFormat="1" ht="139.5">
      <c r="A394" s="233" t="s">
        <v>447</v>
      </c>
      <c r="B394" s="231">
        <v>2570</v>
      </c>
      <c r="C394" s="100" t="s">
        <v>555</v>
      </c>
      <c r="D394" s="100" t="s">
        <v>476</v>
      </c>
      <c r="E394" s="100" t="s">
        <v>475</v>
      </c>
      <c r="F394" s="100" t="s">
        <v>474</v>
      </c>
      <c r="G394" s="100" t="s">
        <v>605</v>
      </c>
      <c r="H394" s="100" t="s">
        <v>106</v>
      </c>
      <c r="I394" s="100"/>
      <c r="J394" s="96" t="s">
        <v>103</v>
      </c>
      <c r="K394" s="96" t="s">
        <v>63</v>
      </c>
      <c r="L394" s="99">
        <f t="shared" si="12"/>
        <v>114000</v>
      </c>
      <c r="M394" s="98">
        <f t="shared" si="11"/>
        <v>30</v>
      </c>
      <c r="N394" s="98" t="s">
        <v>553</v>
      </c>
      <c r="O394" s="98"/>
      <c r="P394" s="97" t="s">
        <v>472</v>
      </c>
      <c r="Q394" s="98"/>
      <c r="R394" s="98">
        <v>30</v>
      </c>
      <c r="S394" s="98"/>
      <c r="T394" s="95">
        <v>3800</v>
      </c>
      <c r="U394" s="131" t="s">
        <v>604</v>
      </c>
      <c r="V394" s="217"/>
      <c r="W394" s="217"/>
      <c r="X394" s="125"/>
      <c r="Y394" s="125"/>
      <c r="Z394" s="125"/>
      <c r="AA394" s="125"/>
      <c r="AB394" s="125"/>
      <c r="AC394" s="125"/>
      <c r="AD394" s="125"/>
      <c r="AE394" s="125"/>
      <c r="AF394" s="125"/>
      <c r="AG394" s="125"/>
      <c r="AH394" s="125"/>
      <c r="AI394" s="125"/>
      <c r="AJ394" s="125"/>
      <c r="AK394" s="125"/>
      <c r="AL394" s="125"/>
      <c r="AM394" s="125"/>
      <c r="AN394" s="125"/>
      <c r="AO394" s="125"/>
      <c r="AP394" s="125"/>
      <c r="AQ394" s="125"/>
      <c r="AR394" s="125"/>
      <c r="AS394" s="125"/>
      <c r="AT394" s="125"/>
      <c r="AU394" s="125"/>
      <c r="AV394" s="125"/>
      <c r="AW394" s="125"/>
      <c r="AX394" s="125"/>
      <c r="AY394" s="125"/>
      <c r="AZ394" s="125"/>
      <c r="BA394" s="125"/>
      <c r="BB394" s="125"/>
      <c r="BC394" s="125"/>
      <c r="BD394" s="125"/>
      <c r="BE394" s="125"/>
      <c r="BF394" s="125"/>
      <c r="BG394" s="125"/>
      <c r="BH394" s="125"/>
    </row>
    <row r="395" spans="1:60" s="124" customFormat="1" ht="139.5">
      <c r="A395" s="233" t="s">
        <v>447</v>
      </c>
      <c r="B395" s="231">
        <v>2570</v>
      </c>
      <c r="C395" s="100" t="s">
        <v>555</v>
      </c>
      <c r="D395" s="100" t="s">
        <v>476</v>
      </c>
      <c r="E395" s="100" t="s">
        <v>475</v>
      </c>
      <c r="F395" s="100" t="s">
        <v>474</v>
      </c>
      <c r="G395" s="100" t="s">
        <v>603</v>
      </c>
      <c r="H395" s="100" t="s">
        <v>462</v>
      </c>
      <c r="I395" s="100"/>
      <c r="J395" s="96" t="s">
        <v>439</v>
      </c>
      <c r="K395" s="96" t="s">
        <v>63</v>
      </c>
      <c r="L395" s="99">
        <f t="shared" si="12"/>
        <v>67000</v>
      </c>
      <c r="M395" s="98">
        <f t="shared" si="11"/>
        <v>1</v>
      </c>
      <c r="N395" s="96" t="s">
        <v>558</v>
      </c>
      <c r="O395" s="97" t="s">
        <v>472</v>
      </c>
      <c r="P395" s="96"/>
      <c r="Q395" s="96">
        <v>1</v>
      </c>
      <c r="R395" s="96"/>
      <c r="S395" s="96" t="s">
        <v>602</v>
      </c>
      <c r="T395" s="95">
        <v>67000</v>
      </c>
      <c r="U395" s="94" t="s">
        <v>601</v>
      </c>
      <c r="V395" s="217"/>
      <c r="W395" s="217"/>
      <c r="X395" s="125"/>
      <c r="Y395" s="125"/>
      <c r="Z395" s="125"/>
      <c r="AA395" s="125"/>
      <c r="AB395" s="125"/>
      <c r="AC395" s="125"/>
      <c r="AD395" s="125"/>
      <c r="AE395" s="125"/>
      <c r="AF395" s="125"/>
      <c r="AG395" s="125"/>
      <c r="AH395" s="125"/>
      <c r="AI395" s="125"/>
      <c r="AJ395" s="125"/>
      <c r="AK395" s="125"/>
      <c r="AL395" s="125"/>
      <c r="AM395" s="125"/>
      <c r="AN395" s="125"/>
      <c r="AO395" s="125"/>
      <c r="AP395" s="125"/>
      <c r="AQ395" s="125"/>
      <c r="AR395" s="125"/>
      <c r="AS395" s="125"/>
      <c r="AT395" s="125"/>
      <c r="AU395" s="125"/>
      <c r="AV395" s="125"/>
      <c r="AW395" s="125"/>
      <c r="AX395" s="125"/>
      <c r="AY395" s="125"/>
      <c r="AZ395" s="125"/>
      <c r="BA395" s="125"/>
      <c r="BB395" s="125"/>
      <c r="BC395" s="125"/>
      <c r="BD395" s="125"/>
      <c r="BE395" s="125"/>
      <c r="BF395" s="125"/>
      <c r="BG395" s="125"/>
      <c r="BH395" s="125"/>
    </row>
    <row r="396" spans="1:60" s="124" customFormat="1" ht="139.5">
      <c r="A396" s="233" t="s">
        <v>447</v>
      </c>
      <c r="B396" s="231">
        <v>2570</v>
      </c>
      <c r="C396" s="100" t="s">
        <v>555</v>
      </c>
      <c r="D396" s="100" t="s">
        <v>476</v>
      </c>
      <c r="E396" s="100" t="s">
        <v>475</v>
      </c>
      <c r="F396" s="100" t="s">
        <v>474</v>
      </c>
      <c r="G396" s="100" t="s">
        <v>600</v>
      </c>
      <c r="H396" s="100" t="s">
        <v>411</v>
      </c>
      <c r="I396" s="100"/>
      <c r="J396" s="96" t="s">
        <v>317</v>
      </c>
      <c r="K396" s="96" t="s">
        <v>40</v>
      </c>
      <c r="L396" s="99">
        <f t="shared" si="12"/>
        <v>29900</v>
      </c>
      <c r="M396" s="98">
        <f t="shared" si="11"/>
        <v>1</v>
      </c>
      <c r="N396" s="98" t="s">
        <v>596</v>
      </c>
      <c r="O396" s="98"/>
      <c r="P396" s="97" t="s">
        <v>472</v>
      </c>
      <c r="Q396" s="98">
        <v>1</v>
      </c>
      <c r="R396" s="98"/>
      <c r="S396" s="96" t="s">
        <v>599</v>
      </c>
      <c r="T396" s="95">
        <v>29900</v>
      </c>
      <c r="U396" s="131" t="s">
        <v>598</v>
      </c>
      <c r="V396" s="217"/>
      <c r="W396" s="217"/>
      <c r="X396" s="125"/>
      <c r="Y396" s="125"/>
      <c r="Z396" s="125"/>
      <c r="AA396" s="125"/>
      <c r="AB396" s="125"/>
      <c r="AC396" s="125"/>
      <c r="AD396" s="125"/>
      <c r="AE396" s="125"/>
      <c r="AF396" s="125"/>
      <c r="AG396" s="125"/>
      <c r="AH396" s="125"/>
      <c r="AI396" s="125"/>
      <c r="AJ396" s="125"/>
      <c r="AK396" s="125"/>
      <c r="AL396" s="125"/>
      <c r="AM396" s="125"/>
      <c r="AN396" s="125"/>
      <c r="AO396" s="125"/>
      <c r="AP396" s="125"/>
      <c r="AQ396" s="125"/>
      <c r="AR396" s="125"/>
      <c r="AS396" s="125"/>
      <c r="AT396" s="125"/>
      <c r="AU396" s="125"/>
      <c r="AV396" s="125"/>
      <c r="AW396" s="125"/>
      <c r="AX396" s="125"/>
      <c r="AY396" s="125"/>
      <c r="AZ396" s="125"/>
      <c r="BA396" s="125"/>
      <c r="BB396" s="125"/>
      <c r="BC396" s="125"/>
      <c r="BD396" s="125"/>
      <c r="BE396" s="125"/>
      <c r="BF396" s="125"/>
      <c r="BG396" s="125"/>
      <c r="BH396" s="125"/>
    </row>
    <row r="397" spans="1:60" s="124" customFormat="1" ht="139.5">
      <c r="A397" s="233" t="s">
        <v>447</v>
      </c>
      <c r="B397" s="231">
        <v>2570</v>
      </c>
      <c r="C397" s="100" t="s">
        <v>555</v>
      </c>
      <c r="D397" s="100" t="s">
        <v>476</v>
      </c>
      <c r="E397" s="100" t="s">
        <v>475</v>
      </c>
      <c r="F397" s="100" t="s">
        <v>474</v>
      </c>
      <c r="G397" s="100" t="s">
        <v>597</v>
      </c>
      <c r="H397" s="100" t="s">
        <v>43</v>
      </c>
      <c r="I397" s="100"/>
      <c r="J397" s="96" t="s">
        <v>41</v>
      </c>
      <c r="K397" s="96" t="s">
        <v>40</v>
      </c>
      <c r="L397" s="99">
        <f t="shared" si="12"/>
        <v>93800</v>
      </c>
      <c r="M397" s="98">
        <f t="shared" si="11"/>
        <v>1</v>
      </c>
      <c r="N397" s="98" t="s">
        <v>596</v>
      </c>
      <c r="O397" s="98"/>
      <c r="P397" s="97" t="s">
        <v>472</v>
      </c>
      <c r="Q397" s="98">
        <v>1</v>
      </c>
      <c r="R397" s="98"/>
      <c r="S397" s="98" t="s">
        <v>595</v>
      </c>
      <c r="T397" s="95">
        <v>93800</v>
      </c>
      <c r="U397" s="131" t="s">
        <v>594</v>
      </c>
      <c r="V397" s="217"/>
      <c r="W397" s="217"/>
      <c r="X397" s="125"/>
      <c r="Y397" s="125"/>
      <c r="Z397" s="125"/>
      <c r="AA397" s="125"/>
      <c r="AB397" s="125"/>
      <c r="AC397" s="125"/>
      <c r="AD397" s="125"/>
      <c r="AE397" s="125"/>
      <c r="AF397" s="125"/>
      <c r="AG397" s="125"/>
      <c r="AH397" s="125"/>
      <c r="AI397" s="125"/>
      <c r="AJ397" s="125"/>
      <c r="AK397" s="125"/>
      <c r="AL397" s="125"/>
      <c r="AM397" s="125"/>
      <c r="AN397" s="125"/>
      <c r="AO397" s="125"/>
      <c r="AP397" s="125"/>
      <c r="AQ397" s="125"/>
      <c r="AR397" s="125"/>
      <c r="AS397" s="125"/>
      <c r="AT397" s="125"/>
      <c r="AU397" s="125"/>
      <c r="AV397" s="125"/>
      <c r="AW397" s="125"/>
      <c r="AX397" s="125"/>
      <c r="AY397" s="125"/>
      <c r="AZ397" s="125"/>
      <c r="BA397" s="125"/>
      <c r="BB397" s="125"/>
      <c r="BC397" s="125"/>
      <c r="BD397" s="125"/>
      <c r="BE397" s="125"/>
      <c r="BF397" s="125"/>
      <c r="BG397" s="125"/>
      <c r="BH397" s="125"/>
    </row>
    <row r="398" spans="1:60" s="124" customFormat="1" ht="409.5">
      <c r="A398" s="233" t="s">
        <v>447</v>
      </c>
      <c r="B398" s="231">
        <v>2570</v>
      </c>
      <c r="C398" s="100" t="s">
        <v>555</v>
      </c>
      <c r="D398" s="100" t="s">
        <v>476</v>
      </c>
      <c r="E398" s="100" t="s">
        <v>475</v>
      </c>
      <c r="F398" s="100" t="s">
        <v>474</v>
      </c>
      <c r="G398" s="100" t="s">
        <v>593</v>
      </c>
      <c r="H398" s="100" t="s">
        <v>43</v>
      </c>
      <c r="I398" s="100"/>
      <c r="J398" s="96" t="s">
        <v>41</v>
      </c>
      <c r="K398" s="96" t="s">
        <v>40</v>
      </c>
      <c r="L398" s="99">
        <f t="shared" si="12"/>
        <v>112500</v>
      </c>
      <c r="M398" s="98">
        <f t="shared" si="11"/>
        <v>30</v>
      </c>
      <c r="N398" s="98" t="s">
        <v>553</v>
      </c>
      <c r="O398" s="98"/>
      <c r="P398" s="97" t="s">
        <v>472</v>
      </c>
      <c r="Q398" s="98">
        <v>30</v>
      </c>
      <c r="R398" s="98"/>
      <c r="S398" s="132" t="s">
        <v>592</v>
      </c>
      <c r="T398" s="95">
        <v>3750</v>
      </c>
      <c r="U398" s="131" t="s">
        <v>589</v>
      </c>
      <c r="V398" s="217"/>
      <c r="W398" s="217"/>
      <c r="X398" s="125"/>
      <c r="Y398" s="125"/>
      <c r="Z398" s="125"/>
      <c r="AA398" s="125"/>
      <c r="AB398" s="125"/>
      <c r="AC398" s="125"/>
      <c r="AD398" s="125"/>
      <c r="AE398" s="125"/>
      <c r="AF398" s="125"/>
      <c r="AG398" s="125"/>
      <c r="AH398" s="125"/>
      <c r="AI398" s="125"/>
      <c r="AJ398" s="125"/>
      <c r="AK398" s="125"/>
      <c r="AL398" s="125"/>
      <c r="AM398" s="125"/>
      <c r="AN398" s="125"/>
      <c r="AO398" s="125"/>
      <c r="AP398" s="125"/>
      <c r="AQ398" s="125"/>
      <c r="AR398" s="125"/>
      <c r="AS398" s="125"/>
      <c r="AT398" s="125"/>
      <c r="AU398" s="125"/>
      <c r="AV398" s="125"/>
      <c r="AW398" s="125"/>
      <c r="AX398" s="125"/>
      <c r="AY398" s="125"/>
      <c r="AZ398" s="125"/>
      <c r="BA398" s="125"/>
      <c r="BB398" s="125"/>
      <c r="BC398" s="125"/>
      <c r="BD398" s="125"/>
      <c r="BE398" s="125"/>
      <c r="BF398" s="125"/>
      <c r="BG398" s="125"/>
      <c r="BH398" s="125"/>
    </row>
    <row r="399" spans="1:60" s="124" customFormat="1" ht="139.5">
      <c r="A399" s="233" t="s">
        <v>447</v>
      </c>
      <c r="B399" s="231">
        <v>2570</v>
      </c>
      <c r="C399" s="100" t="s">
        <v>555</v>
      </c>
      <c r="D399" s="100" t="s">
        <v>476</v>
      </c>
      <c r="E399" s="100" t="s">
        <v>475</v>
      </c>
      <c r="F399" s="100" t="s">
        <v>474</v>
      </c>
      <c r="G399" s="100" t="s">
        <v>591</v>
      </c>
      <c r="H399" s="100" t="s">
        <v>43</v>
      </c>
      <c r="I399" s="100"/>
      <c r="J399" s="96" t="s">
        <v>41</v>
      </c>
      <c r="K399" s="96" t="s">
        <v>40</v>
      </c>
      <c r="L399" s="99">
        <f t="shared" si="12"/>
        <v>3850</v>
      </c>
      <c r="M399" s="98">
        <f t="shared" si="11"/>
        <v>1</v>
      </c>
      <c r="N399" s="98" t="s">
        <v>553</v>
      </c>
      <c r="O399" s="96"/>
      <c r="P399" s="97" t="s">
        <v>472</v>
      </c>
      <c r="Q399" s="98">
        <v>1</v>
      </c>
      <c r="R399" s="98"/>
      <c r="S399" s="98" t="s">
        <v>590</v>
      </c>
      <c r="T399" s="95">
        <v>3850</v>
      </c>
      <c r="U399" s="109" t="s">
        <v>589</v>
      </c>
      <c r="V399" s="217"/>
      <c r="W399" s="217"/>
      <c r="X399" s="125"/>
      <c r="Y399" s="125"/>
      <c r="Z399" s="125"/>
      <c r="AA399" s="125"/>
      <c r="AB399" s="125"/>
      <c r="AC399" s="125"/>
      <c r="AD399" s="125"/>
      <c r="AE399" s="125"/>
      <c r="AF399" s="125"/>
      <c r="AG399" s="125"/>
      <c r="AH399" s="125"/>
      <c r="AI399" s="125"/>
      <c r="AJ399" s="125"/>
      <c r="AK399" s="125"/>
      <c r="AL399" s="125"/>
      <c r="AM399" s="125"/>
      <c r="AN399" s="125"/>
      <c r="AO399" s="125"/>
      <c r="AP399" s="125"/>
      <c r="AQ399" s="125"/>
      <c r="AR399" s="125"/>
      <c r="AS399" s="125"/>
      <c r="AT399" s="125"/>
      <c r="AU399" s="125"/>
      <c r="AV399" s="125"/>
      <c r="AW399" s="125"/>
      <c r="AX399" s="125"/>
      <c r="AY399" s="125"/>
      <c r="AZ399" s="125"/>
      <c r="BA399" s="125"/>
      <c r="BB399" s="125"/>
      <c r="BC399" s="125"/>
      <c r="BD399" s="125"/>
      <c r="BE399" s="125"/>
      <c r="BF399" s="125"/>
      <c r="BG399" s="125"/>
      <c r="BH399" s="125"/>
    </row>
    <row r="400" spans="1:60" s="124" customFormat="1" ht="279">
      <c r="A400" s="233" t="s">
        <v>447</v>
      </c>
      <c r="B400" s="231">
        <v>2570</v>
      </c>
      <c r="C400" s="100" t="s">
        <v>555</v>
      </c>
      <c r="D400" s="100" t="s">
        <v>476</v>
      </c>
      <c r="E400" s="100" t="s">
        <v>475</v>
      </c>
      <c r="F400" s="100" t="s">
        <v>474</v>
      </c>
      <c r="G400" s="100" t="s">
        <v>588</v>
      </c>
      <c r="H400" s="100" t="s">
        <v>459</v>
      </c>
      <c r="I400" s="100"/>
      <c r="J400" s="96" t="s">
        <v>379</v>
      </c>
      <c r="K400" s="96" t="s">
        <v>63</v>
      </c>
      <c r="L400" s="99">
        <f t="shared" si="12"/>
        <v>327200</v>
      </c>
      <c r="M400" s="98">
        <f t="shared" si="11"/>
        <v>8</v>
      </c>
      <c r="N400" s="98" t="s">
        <v>558</v>
      </c>
      <c r="O400" s="97" t="s">
        <v>472</v>
      </c>
      <c r="P400" s="98"/>
      <c r="Q400" s="98">
        <v>7</v>
      </c>
      <c r="R400" s="98">
        <v>1</v>
      </c>
      <c r="S400" s="96" t="s">
        <v>587</v>
      </c>
      <c r="T400" s="95">
        <v>40900</v>
      </c>
      <c r="U400" s="131" t="s">
        <v>586</v>
      </c>
      <c r="V400" s="217"/>
      <c r="W400" s="217"/>
      <c r="X400" s="125"/>
      <c r="Y400" s="125"/>
      <c r="Z400" s="125"/>
      <c r="AA400" s="125"/>
      <c r="AB400" s="125"/>
      <c r="AC400" s="125"/>
      <c r="AD400" s="125"/>
      <c r="AE400" s="125"/>
      <c r="AF400" s="125"/>
      <c r="AG400" s="125"/>
      <c r="AH400" s="125"/>
      <c r="AI400" s="125"/>
      <c r="AJ400" s="125"/>
      <c r="AK400" s="125"/>
      <c r="AL400" s="125"/>
      <c r="AM400" s="125"/>
      <c r="AN400" s="125"/>
      <c r="AO400" s="125"/>
      <c r="AP400" s="125"/>
      <c r="AQ400" s="125"/>
      <c r="AR400" s="125"/>
      <c r="AS400" s="125"/>
      <c r="AT400" s="125"/>
      <c r="AU400" s="125"/>
      <c r="AV400" s="125"/>
      <c r="AW400" s="125"/>
      <c r="AX400" s="125"/>
      <c r="AY400" s="125"/>
      <c r="AZ400" s="125"/>
      <c r="BA400" s="125"/>
      <c r="BB400" s="125"/>
      <c r="BC400" s="125"/>
      <c r="BD400" s="125"/>
      <c r="BE400" s="125"/>
      <c r="BF400" s="125"/>
      <c r="BG400" s="125"/>
      <c r="BH400" s="125"/>
    </row>
    <row r="401" spans="1:60" s="124" customFormat="1" ht="186">
      <c r="A401" s="233" t="s">
        <v>447</v>
      </c>
      <c r="B401" s="231">
        <v>2570</v>
      </c>
      <c r="C401" s="100" t="s">
        <v>555</v>
      </c>
      <c r="D401" s="100" t="s">
        <v>476</v>
      </c>
      <c r="E401" s="100" t="s">
        <v>475</v>
      </c>
      <c r="F401" s="100" t="s">
        <v>474</v>
      </c>
      <c r="G401" s="103" t="s">
        <v>585</v>
      </c>
      <c r="H401" s="100" t="s">
        <v>459</v>
      </c>
      <c r="I401" s="100"/>
      <c r="J401" s="96" t="s">
        <v>379</v>
      </c>
      <c r="K401" s="96" t="s">
        <v>63</v>
      </c>
      <c r="L401" s="99">
        <f t="shared" si="12"/>
        <v>85000</v>
      </c>
      <c r="M401" s="98">
        <f t="shared" si="11"/>
        <v>1</v>
      </c>
      <c r="N401" s="98" t="s">
        <v>584</v>
      </c>
      <c r="O401" s="98"/>
      <c r="P401" s="97" t="s">
        <v>472</v>
      </c>
      <c r="Q401" s="98"/>
      <c r="R401" s="98">
        <v>1</v>
      </c>
      <c r="S401" s="98"/>
      <c r="T401" s="95">
        <v>85000</v>
      </c>
      <c r="U401" s="131" t="s">
        <v>583</v>
      </c>
      <c r="V401" s="217"/>
      <c r="W401" s="217"/>
      <c r="X401" s="125"/>
      <c r="Y401" s="125"/>
      <c r="Z401" s="125"/>
      <c r="AA401" s="125"/>
      <c r="AB401" s="125"/>
      <c r="AC401" s="125"/>
      <c r="AD401" s="125"/>
      <c r="AE401" s="125"/>
      <c r="AF401" s="125"/>
      <c r="AG401" s="125"/>
      <c r="AH401" s="125"/>
      <c r="AI401" s="125"/>
      <c r="AJ401" s="125"/>
      <c r="AK401" s="125"/>
      <c r="AL401" s="125"/>
      <c r="AM401" s="125"/>
      <c r="AN401" s="125"/>
      <c r="AO401" s="125"/>
      <c r="AP401" s="125"/>
      <c r="AQ401" s="125"/>
      <c r="AR401" s="125"/>
      <c r="AS401" s="125"/>
      <c r="AT401" s="125"/>
      <c r="AU401" s="125"/>
      <c r="AV401" s="125"/>
      <c r="AW401" s="125"/>
      <c r="AX401" s="125"/>
      <c r="AY401" s="125"/>
      <c r="AZ401" s="125"/>
      <c r="BA401" s="125"/>
      <c r="BB401" s="125"/>
      <c r="BC401" s="125"/>
      <c r="BD401" s="125"/>
      <c r="BE401" s="125"/>
      <c r="BF401" s="125"/>
      <c r="BG401" s="125"/>
      <c r="BH401" s="125"/>
    </row>
    <row r="402" spans="1:60" s="124" customFormat="1" ht="232.5">
      <c r="A402" s="233" t="s">
        <v>447</v>
      </c>
      <c r="B402" s="231">
        <v>2570</v>
      </c>
      <c r="C402" s="100" t="s">
        <v>555</v>
      </c>
      <c r="D402" s="100" t="s">
        <v>476</v>
      </c>
      <c r="E402" s="100" t="s">
        <v>475</v>
      </c>
      <c r="F402" s="100" t="s">
        <v>474</v>
      </c>
      <c r="G402" s="103" t="s">
        <v>582</v>
      </c>
      <c r="H402" s="100" t="s">
        <v>36</v>
      </c>
      <c r="I402" s="100"/>
      <c r="J402" s="100" t="s">
        <v>34</v>
      </c>
      <c r="K402" s="96" t="s">
        <v>13</v>
      </c>
      <c r="L402" s="99">
        <f t="shared" si="12"/>
        <v>29000</v>
      </c>
      <c r="M402" s="98">
        <f t="shared" si="11"/>
        <v>10</v>
      </c>
      <c r="N402" s="96" t="s">
        <v>553</v>
      </c>
      <c r="O402" s="96"/>
      <c r="P402" s="97" t="s">
        <v>472</v>
      </c>
      <c r="Q402" s="96">
        <v>10</v>
      </c>
      <c r="R402" s="96"/>
      <c r="S402" s="96" t="s">
        <v>581</v>
      </c>
      <c r="T402" s="95">
        <v>2900</v>
      </c>
      <c r="U402" s="94" t="s">
        <v>580</v>
      </c>
      <c r="V402" s="217"/>
      <c r="W402" s="217"/>
      <c r="X402" s="125"/>
      <c r="Y402" s="125"/>
      <c r="Z402" s="125"/>
      <c r="AA402" s="125"/>
      <c r="AB402" s="125"/>
      <c r="AC402" s="125"/>
      <c r="AD402" s="125"/>
      <c r="AE402" s="125"/>
      <c r="AF402" s="125"/>
      <c r="AG402" s="125"/>
      <c r="AH402" s="125"/>
      <c r="AI402" s="125"/>
      <c r="AJ402" s="125"/>
      <c r="AK402" s="125"/>
      <c r="AL402" s="125"/>
      <c r="AM402" s="125"/>
      <c r="AN402" s="125"/>
      <c r="AO402" s="125"/>
      <c r="AP402" s="125"/>
      <c r="AQ402" s="125"/>
      <c r="AR402" s="125"/>
      <c r="AS402" s="125"/>
      <c r="AT402" s="125"/>
      <c r="AU402" s="125"/>
      <c r="AV402" s="125"/>
      <c r="AW402" s="125"/>
      <c r="AX402" s="125"/>
      <c r="AY402" s="125"/>
      <c r="AZ402" s="125"/>
      <c r="BA402" s="125"/>
      <c r="BB402" s="125"/>
      <c r="BC402" s="125"/>
      <c r="BD402" s="125"/>
      <c r="BE402" s="125"/>
      <c r="BF402" s="125"/>
      <c r="BG402" s="125"/>
      <c r="BH402" s="125"/>
    </row>
    <row r="403" spans="1:60" s="124" customFormat="1" ht="139.5">
      <c r="A403" s="233" t="s">
        <v>447</v>
      </c>
      <c r="B403" s="231">
        <v>2570</v>
      </c>
      <c r="C403" s="100" t="s">
        <v>555</v>
      </c>
      <c r="D403" s="100" t="s">
        <v>476</v>
      </c>
      <c r="E403" s="100" t="s">
        <v>475</v>
      </c>
      <c r="F403" s="100" t="s">
        <v>474</v>
      </c>
      <c r="G403" s="100" t="s">
        <v>579</v>
      </c>
      <c r="H403" s="100" t="s">
        <v>36</v>
      </c>
      <c r="I403" s="100"/>
      <c r="J403" s="100" t="s">
        <v>34</v>
      </c>
      <c r="K403" s="96" t="s">
        <v>13</v>
      </c>
      <c r="L403" s="99">
        <f t="shared" si="12"/>
        <v>107200</v>
      </c>
      <c r="M403" s="98">
        <f t="shared" si="11"/>
        <v>2</v>
      </c>
      <c r="N403" s="96" t="s">
        <v>558</v>
      </c>
      <c r="O403" s="97" t="s">
        <v>472</v>
      </c>
      <c r="P403" s="96"/>
      <c r="Q403" s="96">
        <v>2</v>
      </c>
      <c r="R403" s="96"/>
      <c r="S403" s="96" t="s">
        <v>578</v>
      </c>
      <c r="T403" s="95">
        <v>53600</v>
      </c>
      <c r="U403" s="94" t="s">
        <v>577</v>
      </c>
      <c r="V403" s="217"/>
      <c r="W403" s="217"/>
      <c r="X403" s="125"/>
      <c r="Y403" s="125"/>
      <c r="Z403" s="125"/>
      <c r="AA403" s="125"/>
      <c r="AB403" s="125"/>
      <c r="AC403" s="125"/>
      <c r="AD403" s="125"/>
      <c r="AE403" s="125"/>
      <c r="AF403" s="125"/>
      <c r="AG403" s="125"/>
      <c r="AH403" s="125"/>
      <c r="AI403" s="125"/>
      <c r="AJ403" s="125"/>
      <c r="AK403" s="125"/>
      <c r="AL403" s="125"/>
      <c r="AM403" s="125"/>
      <c r="AN403" s="125"/>
      <c r="AO403" s="125"/>
      <c r="AP403" s="125"/>
      <c r="AQ403" s="125"/>
      <c r="AR403" s="125"/>
      <c r="AS403" s="125"/>
      <c r="AT403" s="125"/>
      <c r="AU403" s="125"/>
      <c r="AV403" s="125"/>
      <c r="AW403" s="125"/>
      <c r="AX403" s="125"/>
      <c r="AY403" s="125"/>
      <c r="AZ403" s="125"/>
      <c r="BA403" s="125"/>
      <c r="BB403" s="125"/>
      <c r="BC403" s="125"/>
      <c r="BD403" s="125"/>
      <c r="BE403" s="125"/>
      <c r="BF403" s="125"/>
      <c r="BG403" s="125"/>
      <c r="BH403" s="125"/>
    </row>
    <row r="404" spans="1:60" s="124" customFormat="1" ht="139.5">
      <c r="A404" s="233" t="s">
        <v>447</v>
      </c>
      <c r="B404" s="231">
        <v>2570</v>
      </c>
      <c r="C404" s="100" t="s">
        <v>555</v>
      </c>
      <c r="D404" s="100" t="s">
        <v>476</v>
      </c>
      <c r="E404" s="100" t="s">
        <v>475</v>
      </c>
      <c r="F404" s="100" t="s">
        <v>474</v>
      </c>
      <c r="G404" s="100" t="s">
        <v>576</v>
      </c>
      <c r="H404" s="100" t="s">
        <v>36</v>
      </c>
      <c r="I404" s="100"/>
      <c r="J404" s="100" t="s">
        <v>34</v>
      </c>
      <c r="K404" s="96" t="s">
        <v>13</v>
      </c>
      <c r="L404" s="99">
        <f t="shared" si="12"/>
        <v>134900</v>
      </c>
      <c r="M404" s="98">
        <f t="shared" si="11"/>
        <v>1</v>
      </c>
      <c r="N404" s="96" t="s">
        <v>558</v>
      </c>
      <c r="O404" s="96"/>
      <c r="P404" s="97" t="s">
        <v>472</v>
      </c>
      <c r="Q404" s="96">
        <v>1</v>
      </c>
      <c r="R404" s="96"/>
      <c r="S404" s="96" t="s">
        <v>575</v>
      </c>
      <c r="T404" s="95">
        <v>134900</v>
      </c>
      <c r="U404" s="94" t="s">
        <v>574</v>
      </c>
      <c r="V404" s="217"/>
      <c r="W404" s="217"/>
      <c r="X404" s="125"/>
      <c r="Y404" s="125"/>
      <c r="Z404" s="125"/>
      <c r="AA404" s="125"/>
      <c r="AB404" s="125"/>
      <c r="AC404" s="125"/>
      <c r="AD404" s="125"/>
      <c r="AE404" s="125"/>
      <c r="AF404" s="125"/>
      <c r="AG404" s="125"/>
      <c r="AH404" s="125"/>
      <c r="AI404" s="125"/>
      <c r="AJ404" s="125"/>
      <c r="AK404" s="125"/>
      <c r="AL404" s="125"/>
      <c r="AM404" s="125"/>
      <c r="AN404" s="125"/>
      <c r="AO404" s="125"/>
      <c r="AP404" s="125"/>
      <c r="AQ404" s="125"/>
      <c r="AR404" s="125"/>
      <c r="AS404" s="125"/>
      <c r="AT404" s="125"/>
      <c r="AU404" s="125"/>
      <c r="AV404" s="125"/>
      <c r="AW404" s="125"/>
      <c r="AX404" s="125"/>
      <c r="AY404" s="125"/>
      <c r="AZ404" s="125"/>
      <c r="BA404" s="125"/>
      <c r="BB404" s="125"/>
      <c r="BC404" s="125"/>
      <c r="BD404" s="125"/>
      <c r="BE404" s="125"/>
      <c r="BF404" s="125"/>
      <c r="BG404" s="125"/>
      <c r="BH404" s="125"/>
    </row>
    <row r="405" spans="1:60" s="124" customFormat="1" ht="139.5">
      <c r="A405" s="233" t="s">
        <v>447</v>
      </c>
      <c r="B405" s="231">
        <v>2570</v>
      </c>
      <c r="C405" s="100" t="s">
        <v>555</v>
      </c>
      <c r="D405" s="100" t="s">
        <v>476</v>
      </c>
      <c r="E405" s="100" t="s">
        <v>475</v>
      </c>
      <c r="F405" s="100" t="s">
        <v>474</v>
      </c>
      <c r="G405" s="100" t="s">
        <v>573</v>
      </c>
      <c r="H405" s="100" t="s">
        <v>36</v>
      </c>
      <c r="I405" s="100"/>
      <c r="J405" s="100" t="s">
        <v>34</v>
      </c>
      <c r="K405" s="96" t="s">
        <v>13</v>
      </c>
      <c r="L405" s="99">
        <f t="shared" si="12"/>
        <v>25950</v>
      </c>
      <c r="M405" s="98">
        <f t="shared" si="11"/>
        <v>5</v>
      </c>
      <c r="N405" s="96" t="s">
        <v>553</v>
      </c>
      <c r="O405" s="96"/>
      <c r="P405" s="97" t="s">
        <v>472</v>
      </c>
      <c r="Q405" s="96">
        <v>5</v>
      </c>
      <c r="R405" s="96"/>
      <c r="S405" s="96" t="s">
        <v>572</v>
      </c>
      <c r="T405" s="95">
        <v>5190</v>
      </c>
      <c r="U405" s="94" t="s">
        <v>571</v>
      </c>
      <c r="V405" s="217"/>
      <c r="W405" s="217"/>
      <c r="X405" s="125"/>
      <c r="Y405" s="125"/>
      <c r="Z405" s="125"/>
      <c r="AA405" s="125"/>
      <c r="AB405" s="125"/>
      <c r="AC405" s="125"/>
      <c r="AD405" s="125"/>
      <c r="AE405" s="125"/>
      <c r="AF405" s="125"/>
      <c r="AG405" s="125"/>
      <c r="AH405" s="125"/>
      <c r="AI405" s="125"/>
      <c r="AJ405" s="125"/>
      <c r="AK405" s="125"/>
      <c r="AL405" s="125"/>
      <c r="AM405" s="125"/>
      <c r="AN405" s="125"/>
      <c r="AO405" s="125"/>
      <c r="AP405" s="125"/>
      <c r="AQ405" s="125"/>
      <c r="AR405" s="125"/>
      <c r="AS405" s="125"/>
      <c r="AT405" s="125"/>
      <c r="AU405" s="125"/>
      <c r="AV405" s="125"/>
      <c r="AW405" s="125"/>
      <c r="AX405" s="125"/>
      <c r="AY405" s="125"/>
      <c r="AZ405" s="125"/>
      <c r="BA405" s="125"/>
      <c r="BB405" s="125"/>
      <c r="BC405" s="125"/>
      <c r="BD405" s="125"/>
      <c r="BE405" s="125"/>
      <c r="BF405" s="125"/>
      <c r="BG405" s="125"/>
      <c r="BH405" s="125"/>
    </row>
    <row r="406" spans="1:60" s="124" customFormat="1" ht="139.5">
      <c r="A406" s="233" t="s">
        <v>447</v>
      </c>
      <c r="B406" s="231">
        <v>2570</v>
      </c>
      <c r="C406" s="100" t="s">
        <v>555</v>
      </c>
      <c r="D406" s="100" t="s">
        <v>476</v>
      </c>
      <c r="E406" s="100" t="s">
        <v>475</v>
      </c>
      <c r="F406" s="100" t="s">
        <v>474</v>
      </c>
      <c r="G406" s="100" t="s">
        <v>570</v>
      </c>
      <c r="H406" s="100" t="s">
        <v>26</v>
      </c>
      <c r="I406" s="100"/>
      <c r="J406" s="96" t="s">
        <v>22</v>
      </c>
      <c r="K406" s="96" t="s">
        <v>13</v>
      </c>
      <c r="L406" s="99">
        <f t="shared" si="12"/>
        <v>3900</v>
      </c>
      <c r="M406" s="98">
        <f t="shared" si="11"/>
        <v>1</v>
      </c>
      <c r="N406" s="96" t="s">
        <v>553</v>
      </c>
      <c r="O406" s="130"/>
      <c r="P406" s="97" t="s">
        <v>472</v>
      </c>
      <c r="Q406" s="96"/>
      <c r="R406" s="96">
        <v>1</v>
      </c>
      <c r="S406" s="96"/>
      <c r="T406" s="95">
        <v>3900</v>
      </c>
      <c r="U406" s="203" t="s">
        <v>501</v>
      </c>
      <c r="V406" s="217"/>
      <c r="W406" s="217"/>
      <c r="X406" s="125"/>
      <c r="Y406" s="125"/>
      <c r="Z406" s="125"/>
      <c r="AA406" s="125"/>
      <c r="AB406" s="125"/>
      <c r="AC406" s="125"/>
      <c r="AD406" s="125"/>
      <c r="AE406" s="125"/>
      <c r="AF406" s="125"/>
      <c r="AG406" s="125"/>
      <c r="AH406" s="125"/>
      <c r="AI406" s="125"/>
      <c r="AJ406" s="125"/>
      <c r="AK406" s="125"/>
      <c r="AL406" s="125"/>
      <c r="AM406" s="125"/>
      <c r="AN406" s="125"/>
      <c r="AO406" s="125"/>
      <c r="AP406" s="125"/>
      <c r="AQ406" s="125"/>
      <c r="AR406" s="125"/>
      <c r="AS406" s="125"/>
      <c r="AT406" s="125"/>
      <c r="AU406" s="125"/>
      <c r="AV406" s="125"/>
      <c r="AW406" s="125"/>
      <c r="AX406" s="125"/>
      <c r="AY406" s="125"/>
      <c r="AZ406" s="125"/>
      <c r="BA406" s="125"/>
      <c r="BB406" s="125"/>
      <c r="BC406" s="125"/>
      <c r="BD406" s="125"/>
      <c r="BE406" s="125"/>
      <c r="BF406" s="125"/>
      <c r="BG406" s="125"/>
      <c r="BH406" s="125"/>
    </row>
    <row r="407" spans="1:60" s="124" customFormat="1" ht="139.5">
      <c r="A407" s="233" t="s">
        <v>447</v>
      </c>
      <c r="B407" s="231">
        <v>2570</v>
      </c>
      <c r="C407" s="100" t="s">
        <v>555</v>
      </c>
      <c r="D407" s="100" t="s">
        <v>476</v>
      </c>
      <c r="E407" s="100" t="s">
        <v>475</v>
      </c>
      <c r="F407" s="100" t="s">
        <v>474</v>
      </c>
      <c r="G407" s="100" t="s">
        <v>569</v>
      </c>
      <c r="H407" s="100" t="s">
        <v>26</v>
      </c>
      <c r="I407" s="100"/>
      <c r="J407" s="96" t="s">
        <v>22</v>
      </c>
      <c r="K407" s="96" t="s">
        <v>13</v>
      </c>
      <c r="L407" s="99">
        <f t="shared" si="12"/>
        <v>37000</v>
      </c>
      <c r="M407" s="98">
        <f t="shared" si="11"/>
        <v>10</v>
      </c>
      <c r="N407" s="96" t="s">
        <v>553</v>
      </c>
      <c r="O407" s="130"/>
      <c r="P407" s="97" t="s">
        <v>472</v>
      </c>
      <c r="Q407" s="96"/>
      <c r="R407" s="96">
        <v>10</v>
      </c>
      <c r="S407" s="96"/>
      <c r="T407" s="95">
        <v>3700</v>
      </c>
      <c r="U407" s="204"/>
      <c r="V407" s="217"/>
      <c r="W407" s="217"/>
      <c r="X407" s="125"/>
      <c r="Y407" s="125"/>
      <c r="Z407" s="125"/>
      <c r="AA407" s="125"/>
      <c r="AB407" s="125"/>
      <c r="AC407" s="125"/>
      <c r="AD407" s="125"/>
      <c r="AE407" s="125"/>
      <c r="AF407" s="125"/>
      <c r="AG407" s="125"/>
      <c r="AH407" s="125"/>
      <c r="AI407" s="125"/>
      <c r="AJ407" s="125"/>
      <c r="AK407" s="125"/>
      <c r="AL407" s="125"/>
      <c r="AM407" s="125"/>
      <c r="AN407" s="125"/>
      <c r="AO407" s="125"/>
      <c r="AP407" s="125"/>
      <c r="AQ407" s="125"/>
      <c r="AR407" s="125"/>
      <c r="AS407" s="125"/>
      <c r="AT407" s="125"/>
      <c r="AU407" s="125"/>
      <c r="AV407" s="125"/>
      <c r="AW407" s="125"/>
      <c r="AX407" s="125"/>
      <c r="AY407" s="125"/>
      <c r="AZ407" s="125"/>
      <c r="BA407" s="125"/>
      <c r="BB407" s="125"/>
      <c r="BC407" s="125"/>
      <c r="BD407" s="125"/>
      <c r="BE407" s="125"/>
      <c r="BF407" s="125"/>
      <c r="BG407" s="125"/>
      <c r="BH407" s="125"/>
    </row>
    <row r="408" spans="1:60" s="124" customFormat="1" ht="139.5">
      <c r="A408" s="233" t="s">
        <v>447</v>
      </c>
      <c r="B408" s="231">
        <v>2570</v>
      </c>
      <c r="C408" s="100" t="s">
        <v>555</v>
      </c>
      <c r="D408" s="100" t="s">
        <v>476</v>
      </c>
      <c r="E408" s="100" t="s">
        <v>475</v>
      </c>
      <c r="F408" s="100" t="s">
        <v>474</v>
      </c>
      <c r="G408" s="100" t="s">
        <v>568</v>
      </c>
      <c r="H408" s="100" t="s">
        <v>26</v>
      </c>
      <c r="I408" s="100"/>
      <c r="J408" s="96" t="s">
        <v>22</v>
      </c>
      <c r="K408" s="96" t="s">
        <v>13</v>
      </c>
      <c r="L408" s="99">
        <f t="shared" si="12"/>
        <v>5000</v>
      </c>
      <c r="M408" s="98">
        <f t="shared" si="11"/>
        <v>2</v>
      </c>
      <c r="N408" s="96" t="s">
        <v>553</v>
      </c>
      <c r="O408" s="130"/>
      <c r="P408" s="97" t="s">
        <v>472</v>
      </c>
      <c r="Q408" s="96"/>
      <c r="R408" s="96">
        <v>2</v>
      </c>
      <c r="S408" s="96"/>
      <c r="T408" s="95">
        <v>2500</v>
      </c>
      <c r="U408" s="204"/>
      <c r="V408" s="217"/>
      <c r="W408" s="217"/>
      <c r="X408" s="125"/>
      <c r="Y408" s="125"/>
      <c r="Z408" s="125"/>
      <c r="AA408" s="125"/>
      <c r="AB408" s="125"/>
      <c r="AC408" s="125"/>
      <c r="AD408" s="125"/>
      <c r="AE408" s="125"/>
      <c r="AF408" s="125"/>
      <c r="AG408" s="125"/>
      <c r="AH408" s="125"/>
      <c r="AI408" s="125"/>
      <c r="AJ408" s="125"/>
      <c r="AK408" s="125"/>
      <c r="AL408" s="125"/>
      <c r="AM408" s="125"/>
      <c r="AN408" s="125"/>
      <c r="AO408" s="125"/>
      <c r="AP408" s="125"/>
      <c r="AQ408" s="125"/>
      <c r="AR408" s="125"/>
      <c r="AS408" s="125"/>
      <c r="AT408" s="125"/>
      <c r="AU408" s="125"/>
      <c r="AV408" s="125"/>
      <c r="AW408" s="125"/>
      <c r="AX408" s="125"/>
      <c r="AY408" s="125"/>
      <c r="AZ408" s="125"/>
      <c r="BA408" s="125"/>
      <c r="BB408" s="125"/>
      <c r="BC408" s="125"/>
      <c r="BD408" s="125"/>
      <c r="BE408" s="125"/>
      <c r="BF408" s="125"/>
      <c r="BG408" s="125"/>
      <c r="BH408" s="125"/>
    </row>
    <row r="409" spans="1:60" s="124" customFormat="1" ht="139.5">
      <c r="A409" s="233" t="s">
        <v>447</v>
      </c>
      <c r="B409" s="231">
        <v>2570</v>
      </c>
      <c r="C409" s="100" t="s">
        <v>555</v>
      </c>
      <c r="D409" s="100" t="s">
        <v>476</v>
      </c>
      <c r="E409" s="100" t="s">
        <v>475</v>
      </c>
      <c r="F409" s="100" t="s">
        <v>474</v>
      </c>
      <c r="G409" s="100" t="s">
        <v>567</v>
      </c>
      <c r="H409" s="100" t="s">
        <v>26</v>
      </c>
      <c r="I409" s="100"/>
      <c r="J409" s="96" t="s">
        <v>22</v>
      </c>
      <c r="K409" s="96" t="s">
        <v>13</v>
      </c>
      <c r="L409" s="99">
        <f t="shared" si="12"/>
        <v>5900</v>
      </c>
      <c r="M409" s="98">
        <f t="shared" si="11"/>
        <v>1</v>
      </c>
      <c r="N409" s="96" t="s">
        <v>553</v>
      </c>
      <c r="O409" s="130"/>
      <c r="P409" s="97" t="s">
        <v>472</v>
      </c>
      <c r="Q409" s="96"/>
      <c r="R409" s="96">
        <v>1</v>
      </c>
      <c r="S409" s="96"/>
      <c r="T409" s="95">
        <v>5900</v>
      </c>
      <c r="U409" s="204"/>
      <c r="V409" s="217"/>
      <c r="W409" s="217"/>
      <c r="X409" s="125"/>
      <c r="Y409" s="125"/>
      <c r="Z409" s="125"/>
      <c r="AA409" s="125"/>
      <c r="AB409" s="125"/>
      <c r="AC409" s="125"/>
      <c r="AD409" s="125"/>
      <c r="AE409" s="125"/>
      <c r="AF409" s="125"/>
      <c r="AG409" s="125"/>
      <c r="AH409" s="125"/>
      <c r="AI409" s="125"/>
      <c r="AJ409" s="125"/>
      <c r="AK409" s="125"/>
      <c r="AL409" s="125"/>
      <c r="AM409" s="125"/>
      <c r="AN409" s="125"/>
      <c r="AO409" s="125"/>
      <c r="AP409" s="125"/>
      <c r="AQ409" s="125"/>
      <c r="AR409" s="125"/>
      <c r="AS409" s="125"/>
      <c r="AT409" s="125"/>
      <c r="AU409" s="125"/>
      <c r="AV409" s="125"/>
      <c r="AW409" s="125"/>
      <c r="AX409" s="125"/>
      <c r="AY409" s="125"/>
      <c r="AZ409" s="125"/>
      <c r="BA409" s="125"/>
      <c r="BB409" s="125"/>
      <c r="BC409" s="125"/>
      <c r="BD409" s="125"/>
      <c r="BE409" s="125"/>
      <c r="BF409" s="125"/>
      <c r="BG409" s="125"/>
      <c r="BH409" s="125"/>
    </row>
    <row r="410" spans="1:60" s="124" customFormat="1" ht="139.5">
      <c r="A410" s="233" t="s">
        <v>447</v>
      </c>
      <c r="B410" s="231">
        <v>2570</v>
      </c>
      <c r="C410" s="100" t="s">
        <v>555</v>
      </c>
      <c r="D410" s="100" t="s">
        <v>476</v>
      </c>
      <c r="E410" s="100" t="s">
        <v>475</v>
      </c>
      <c r="F410" s="100" t="s">
        <v>474</v>
      </c>
      <c r="G410" s="100" t="s">
        <v>566</v>
      </c>
      <c r="H410" s="100" t="s">
        <v>26</v>
      </c>
      <c r="I410" s="100"/>
      <c r="J410" s="96" t="s">
        <v>22</v>
      </c>
      <c r="K410" s="96" t="s">
        <v>13</v>
      </c>
      <c r="L410" s="99">
        <f t="shared" si="12"/>
        <v>45800</v>
      </c>
      <c r="M410" s="98">
        <f t="shared" si="11"/>
        <v>20</v>
      </c>
      <c r="N410" s="96" t="s">
        <v>553</v>
      </c>
      <c r="O410" s="130"/>
      <c r="P410" s="97" t="s">
        <v>472</v>
      </c>
      <c r="Q410" s="96"/>
      <c r="R410" s="96">
        <v>20</v>
      </c>
      <c r="S410" s="96"/>
      <c r="T410" s="95">
        <v>2290</v>
      </c>
      <c r="U410" s="204"/>
      <c r="V410" s="217"/>
      <c r="W410" s="217"/>
      <c r="X410" s="125"/>
      <c r="Y410" s="125"/>
      <c r="Z410" s="125"/>
      <c r="AA410" s="125"/>
      <c r="AB410" s="125"/>
      <c r="AC410" s="125"/>
      <c r="AD410" s="125"/>
      <c r="AE410" s="125"/>
      <c r="AF410" s="125"/>
      <c r="AG410" s="125"/>
      <c r="AH410" s="125"/>
      <c r="AI410" s="125"/>
      <c r="AJ410" s="125"/>
      <c r="AK410" s="125"/>
      <c r="AL410" s="125"/>
      <c r="AM410" s="125"/>
      <c r="AN410" s="125"/>
      <c r="AO410" s="125"/>
      <c r="AP410" s="125"/>
      <c r="AQ410" s="125"/>
      <c r="AR410" s="125"/>
      <c r="AS410" s="125"/>
      <c r="AT410" s="125"/>
      <c r="AU410" s="125"/>
      <c r="AV410" s="125"/>
      <c r="AW410" s="125"/>
      <c r="AX410" s="125"/>
      <c r="AY410" s="125"/>
      <c r="AZ410" s="125"/>
      <c r="BA410" s="125"/>
      <c r="BB410" s="125"/>
      <c r="BC410" s="125"/>
      <c r="BD410" s="125"/>
      <c r="BE410" s="125"/>
      <c r="BF410" s="125"/>
      <c r="BG410" s="125"/>
      <c r="BH410" s="125"/>
    </row>
    <row r="411" spans="1:60" s="124" customFormat="1" ht="139.5">
      <c r="A411" s="233" t="s">
        <v>447</v>
      </c>
      <c r="B411" s="231">
        <v>2570</v>
      </c>
      <c r="C411" s="100" t="s">
        <v>555</v>
      </c>
      <c r="D411" s="100" t="s">
        <v>476</v>
      </c>
      <c r="E411" s="100" t="s">
        <v>475</v>
      </c>
      <c r="F411" s="100" t="s">
        <v>474</v>
      </c>
      <c r="G411" s="100" t="s">
        <v>565</v>
      </c>
      <c r="H411" s="100" t="s">
        <v>26</v>
      </c>
      <c r="I411" s="100"/>
      <c r="J411" s="96" t="s">
        <v>22</v>
      </c>
      <c r="K411" s="96" t="s">
        <v>13</v>
      </c>
      <c r="L411" s="99">
        <f t="shared" si="12"/>
        <v>33800</v>
      </c>
      <c r="M411" s="98">
        <f t="shared" si="11"/>
        <v>20</v>
      </c>
      <c r="N411" s="96" t="s">
        <v>553</v>
      </c>
      <c r="O411" s="130"/>
      <c r="P411" s="97" t="s">
        <v>472</v>
      </c>
      <c r="Q411" s="96"/>
      <c r="R411" s="96">
        <v>20</v>
      </c>
      <c r="S411" s="96"/>
      <c r="T411" s="95">
        <v>1690</v>
      </c>
      <c r="U411" s="205"/>
      <c r="V411" s="217"/>
      <c r="W411" s="217"/>
      <c r="X411" s="125"/>
      <c r="Y411" s="125"/>
      <c r="Z411" s="125"/>
      <c r="AA411" s="125"/>
      <c r="AB411" s="125"/>
      <c r="AC411" s="125"/>
      <c r="AD411" s="125"/>
      <c r="AE411" s="125"/>
      <c r="AF411" s="125"/>
      <c r="AG411" s="125"/>
      <c r="AH411" s="125"/>
      <c r="AI411" s="125"/>
      <c r="AJ411" s="125"/>
      <c r="AK411" s="125"/>
      <c r="AL411" s="125"/>
      <c r="AM411" s="125"/>
      <c r="AN411" s="125"/>
      <c r="AO411" s="125"/>
      <c r="AP411" s="125"/>
      <c r="AQ411" s="125"/>
      <c r="AR411" s="125"/>
      <c r="AS411" s="125"/>
      <c r="AT411" s="125"/>
      <c r="AU411" s="125"/>
      <c r="AV411" s="125"/>
      <c r="AW411" s="125"/>
      <c r="AX411" s="125"/>
      <c r="AY411" s="125"/>
      <c r="AZ411" s="125"/>
      <c r="BA411" s="125"/>
      <c r="BB411" s="125"/>
      <c r="BC411" s="125"/>
      <c r="BD411" s="125"/>
      <c r="BE411" s="125"/>
      <c r="BF411" s="125"/>
      <c r="BG411" s="125"/>
      <c r="BH411" s="125"/>
    </row>
    <row r="412" spans="1:60" s="124" customFormat="1" ht="139.5">
      <c r="A412" s="233" t="s">
        <v>447</v>
      </c>
      <c r="B412" s="231">
        <v>2570</v>
      </c>
      <c r="C412" s="100" t="s">
        <v>555</v>
      </c>
      <c r="D412" s="100" t="s">
        <v>476</v>
      </c>
      <c r="E412" s="100" t="s">
        <v>475</v>
      </c>
      <c r="F412" s="100" t="s">
        <v>474</v>
      </c>
      <c r="G412" s="100" t="s">
        <v>564</v>
      </c>
      <c r="H412" s="100" t="s">
        <v>174</v>
      </c>
      <c r="I412" s="100"/>
      <c r="J412" s="96" t="s">
        <v>172</v>
      </c>
      <c r="K412" s="96" t="s">
        <v>149</v>
      </c>
      <c r="L412" s="99">
        <f t="shared" si="12"/>
        <v>236000</v>
      </c>
      <c r="M412" s="98">
        <f t="shared" si="11"/>
        <v>5</v>
      </c>
      <c r="N412" s="96" t="s">
        <v>558</v>
      </c>
      <c r="O412" s="97" t="s">
        <v>472</v>
      </c>
      <c r="P412" s="97"/>
      <c r="Q412" s="96"/>
      <c r="R412" s="96">
        <v>5</v>
      </c>
      <c r="S412" s="96"/>
      <c r="T412" s="95">
        <v>47200</v>
      </c>
      <c r="U412" s="94" t="s">
        <v>563</v>
      </c>
      <c r="V412" s="217"/>
      <c r="W412" s="217"/>
      <c r="X412" s="125"/>
      <c r="Y412" s="125"/>
      <c r="Z412" s="125"/>
      <c r="AA412" s="125"/>
      <c r="AB412" s="125"/>
      <c r="AC412" s="125"/>
      <c r="AD412" s="125"/>
      <c r="AE412" s="125"/>
      <c r="AF412" s="125"/>
      <c r="AG412" s="125"/>
      <c r="AH412" s="125"/>
      <c r="AI412" s="125"/>
      <c r="AJ412" s="125"/>
      <c r="AK412" s="125"/>
      <c r="AL412" s="125"/>
      <c r="AM412" s="125"/>
      <c r="AN412" s="125"/>
      <c r="AO412" s="125"/>
      <c r="AP412" s="125"/>
      <c r="AQ412" s="125"/>
      <c r="AR412" s="125"/>
      <c r="AS412" s="125"/>
      <c r="AT412" s="125"/>
      <c r="AU412" s="125"/>
      <c r="AV412" s="125"/>
      <c r="AW412" s="125"/>
      <c r="AX412" s="125"/>
      <c r="AY412" s="125"/>
      <c r="AZ412" s="125"/>
      <c r="BA412" s="125"/>
      <c r="BB412" s="125"/>
      <c r="BC412" s="125"/>
      <c r="BD412" s="125"/>
      <c r="BE412" s="125"/>
      <c r="BF412" s="125"/>
      <c r="BG412" s="125"/>
      <c r="BH412" s="125"/>
    </row>
    <row r="413" spans="1:60" s="124" customFormat="1" ht="139.5">
      <c r="A413" s="233" t="s">
        <v>447</v>
      </c>
      <c r="B413" s="231">
        <v>2570</v>
      </c>
      <c r="C413" s="100" t="s">
        <v>555</v>
      </c>
      <c r="D413" s="100" t="s">
        <v>476</v>
      </c>
      <c r="E413" s="100" t="s">
        <v>475</v>
      </c>
      <c r="F413" s="100" t="s">
        <v>474</v>
      </c>
      <c r="G413" s="100" t="s">
        <v>562</v>
      </c>
      <c r="H413" s="100" t="s">
        <v>174</v>
      </c>
      <c r="I413" s="100"/>
      <c r="J413" s="96" t="s">
        <v>172</v>
      </c>
      <c r="K413" s="96" t="s">
        <v>149</v>
      </c>
      <c r="L413" s="99">
        <f t="shared" si="12"/>
        <v>6500</v>
      </c>
      <c r="M413" s="98">
        <f t="shared" si="11"/>
        <v>1</v>
      </c>
      <c r="N413" s="96" t="s">
        <v>561</v>
      </c>
      <c r="O413" s="130"/>
      <c r="P413" s="97" t="s">
        <v>472</v>
      </c>
      <c r="Q413" s="96"/>
      <c r="R413" s="96">
        <v>1</v>
      </c>
      <c r="S413" s="96"/>
      <c r="T413" s="95">
        <v>6500</v>
      </c>
      <c r="U413" s="94" t="s">
        <v>560</v>
      </c>
      <c r="V413" s="217"/>
      <c r="W413" s="217"/>
      <c r="X413" s="125"/>
      <c r="Y413" s="125"/>
      <c r="Z413" s="125"/>
      <c r="AA413" s="125"/>
      <c r="AB413" s="125"/>
      <c r="AC413" s="125"/>
      <c r="AD413" s="125"/>
      <c r="AE413" s="125"/>
      <c r="AF413" s="125"/>
      <c r="AG413" s="125"/>
      <c r="AH413" s="125"/>
      <c r="AI413" s="125"/>
      <c r="AJ413" s="125"/>
      <c r="AK413" s="125"/>
      <c r="AL413" s="125"/>
      <c r="AM413" s="125"/>
      <c r="AN413" s="125"/>
      <c r="AO413" s="125"/>
      <c r="AP413" s="125"/>
      <c r="AQ413" s="125"/>
      <c r="AR413" s="125"/>
      <c r="AS413" s="125"/>
      <c r="AT413" s="125"/>
      <c r="AU413" s="125"/>
      <c r="AV413" s="125"/>
      <c r="AW413" s="125"/>
      <c r="AX413" s="125"/>
      <c r="AY413" s="125"/>
      <c r="AZ413" s="125"/>
      <c r="BA413" s="125"/>
      <c r="BB413" s="125"/>
      <c r="BC413" s="125"/>
      <c r="BD413" s="125"/>
      <c r="BE413" s="125"/>
      <c r="BF413" s="125"/>
      <c r="BG413" s="125"/>
      <c r="BH413" s="125"/>
    </row>
    <row r="414" spans="1:60" s="124" customFormat="1" ht="232.5">
      <c r="A414" s="233" t="s">
        <v>447</v>
      </c>
      <c r="B414" s="231">
        <v>2570</v>
      </c>
      <c r="C414" s="100" t="s">
        <v>555</v>
      </c>
      <c r="D414" s="100" t="s">
        <v>476</v>
      </c>
      <c r="E414" s="100" t="s">
        <v>475</v>
      </c>
      <c r="F414" s="100" t="s">
        <v>474</v>
      </c>
      <c r="G414" s="100" t="s">
        <v>559</v>
      </c>
      <c r="H414" s="100" t="s">
        <v>466</v>
      </c>
      <c r="I414" s="100"/>
      <c r="J414" s="96" t="s">
        <v>166</v>
      </c>
      <c r="K414" s="96" t="s">
        <v>149</v>
      </c>
      <c r="L414" s="99">
        <f t="shared" si="12"/>
        <v>336000</v>
      </c>
      <c r="M414" s="98">
        <f t="shared" si="11"/>
        <v>6</v>
      </c>
      <c r="N414" s="96" t="s">
        <v>558</v>
      </c>
      <c r="O414" s="97" t="s">
        <v>472</v>
      </c>
      <c r="P414" s="130"/>
      <c r="Q414" s="96">
        <v>5</v>
      </c>
      <c r="R414" s="96">
        <v>1</v>
      </c>
      <c r="S414" s="96" t="s">
        <v>557</v>
      </c>
      <c r="T414" s="95">
        <v>56000</v>
      </c>
      <c r="U414" s="94" t="s">
        <v>556</v>
      </c>
      <c r="V414" s="217"/>
      <c r="W414" s="217"/>
      <c r="X414" s="125"/>
      <c r="Y414" s="125"/>
      <c r="Z414" s="125"/>
      <c r="AA414" s="125"/>
      <c r="AB414" s="125"/>
      <c r="AC414" s="125"/>
      <c r="AD414" s="125"/>
      <c r="AE414" s="125"/>
      <c r="AF414" s="125"/>
      <c r="AG414" s="125"/>
      <c r="AH414" s="125"/>
      <c r="AI414" s="125"/>
      <c r="AJ414" s="125"/>
      <c r="AK414" s="125"/>
      <c r="AL414" s="125"/>
      <c r="AM414" s="125"/>
      <c r="AN414" s="125"/>
      <c r="AO414" s="125"/>
      <c r="AP414" s="125"/>
      <c r="AQ414" s="125"/>
      <c r="AR414" s="125"/>
      <c r="AS414" s="125"/>
      <c r="AT414" s="125"/>
      <c r="AU414" s="125"/>
      <c r="AV414" s="125"/>
      <c r="AW414" s="125"/>
      <c r="AX414" s="125"/>
      <c r="AY414" s="125"/>
      <c r="AZ414" s="125"/>
      <c r="BA414" s="125"/>
      <c r="BB414" s="125"/>
      <c r="BC414" s="125"/>
      <c r="BD414" s="125"/>
      <c r="BE414" s="125"/>
      <c r="BF414" s="125"/>
      <c r="BG414" s="125"/>
      <c r="BH414" s="125"/>
    </row>
    <row r="415" spans="1:60" s="124" customFormat="1" ht="139.5">
      <c r="A415" s="233" t="s">
        <v>447</v>
      </c>
      <c r="B415" s="231">
        <v>2570</v>
      </c>
      <c r="C415" s="100" t="s">
        <v>555</v>
      </c>
      <c r="D415" s="100" t="s">
        <v>476</v>
      </c>
      <c r="E415" s="100" t="s">
        <v>475</v>
      </c>
      <c r="F415" s="100" t="s">
        <v>474</v>
      </c>
      <c r="G415" s="100" t="s">
        <v>554</v>
      </c>
      <c r="H415" s="100" t="s">
        <v>466</v>
      </c>
      <c r="I415" s="100"/>
      <c r="J415" s="96" t="s">
        <v>166</v>
      </c>
      <c r="K415" s="96" t="s">
        <v>149</v>
      </c>
      <c r="L415" s="99">
        <f t="shared" si="12"/>
        <v>18420</v>
      </c>
      <c r="M415" s="98">
        <f t="shared" si="11"/>
        <v>1</v>
      </c>
      <c r="N415" s="96" t="s">
        <v>553</v>
      </c>
      <c r="O415" s="130"/>
      <c r="P415" s="97" t="s">
        <v>472</v>
      </c>
      <c r="Q415" s="96">
        <v>1</v>
      </c>
      <c r="R415" s="96"/>
      <c r="S415" s="96" t="s">
        <v>552</v>
      </c>
      <c r="T415" s="95">
        <v>18420</v>
      </c>
      <c r="U415" s="94" t="s">
        <v>551</v>
      </c>
      <c r="V415" s="217"/>
      <c r="W415" s="217"/>
      <c r="X415" s="125"/>
      <c r="Y415" s="125"/>
      <c r="Z415" s="125"/>
      <c r="AA415" s="125"/>
      <c r="AB415" s="125"/>
      <c r="AC415" s="125"/>
      <c r="AD415" s="125"/>
      <c r="AE415" s="125"/>
      <c r="AF415" s="125"/>
      <c r="AG415" s="125"/>
      <c r="AH415" s="125"/>
      <c r="AI415" s="125"/>
      <c r="AJ415" s="125"/>
      <c r="AK415" s="125"/>
      <c r="AL415" s="125"/>
      <c r="AM415" s="125"/>
      <c r="AN415" s="125"/>
      <c r="AO415" s="125"/>
      <c r="AP415" s="125"/>
      <c r="AQ415" s="125"/>
      <c r="AR415" s="125"/>
      <c r="AS415" s="125"/>
      <c r="AT415" s="125"/>
      <c r="AU415" s="125"/>
      <c r="AV415" s="125"/>
      <c r="AW415" s="125"/>
      <c r="AX415" s="125"/>
      <c r="AY415" s="125"/>
      <c r="AZ415" s="125"/>
      <c r="BA415" s="125"/>
      <c r="BB415" s="125"/>
      <c r="BC415" s="125"/>
      <c r="BD415" s="125"/>
      <c r="BE415" s="125"/>
      <c r="BF415" s="125"/>
      <c r="BG415" s="125"/>
      <c r="BH415" s="125"/>
    </row>
    <row r="416" spans="1:60" s="124" customFormat="1" ht="232.5">
      <c r="A416" s="233" t="s">
        <v>447</v>
      </c>
      <c r="B416" s="231">
        <v>2570</v>
      </c>
      <c r="C416" s="103" t="s">
        <v>538</v>
      </c>
      <c r="D416" s="100" t="s">
        <v>476</v>
      </c>
      <c r="E416" s="100" t="s">
        <v>475</v>
      </c>
      <c r="F416" s="100" t="s">
        <v>474</v>
      </c>
      <c r="G416" s="103" t="s">
        <v>545</v>
      </c>
      <c r="H416" s="100" t="s">
        <v>112</v>
      </c>
      <c r="I416" s="100"/>
      <c r="J416" s="96" t="s">
        <v>110</v>
      </c>
      <c r="K416" s="96" t="s">
        <v>63</v>
      </c>
      <c r="L416" s="99">
        <f t="shared" si="12"/>
        <v>47500</v>
      </c>
      <c r="M416" s="98">
        <f t="shared" si="11"/>
        <v>5</v>
      </c>
      <c r="N416" s="96"/>
      <c r="O416" s="97" t="s">
        <v>472</v>
      </c>
      <c r="P416" s="129"/>
      <c r="Q416" s="96">
        <v>5</v>
      </c>
      <c r="R416" s="96"/>
      <c r="S416" s="96" t="s">
        <v>550</v>
      </c>
      <c r="T416" s="95">
        <v>9500</v>
      </c>
      <c r="U416" s="94" t="s">
        <v>549</v>
      </c>
      <c r="V416" s="217"/>
      <c r="W416" s="217"/>
      <c r="X416" s="125"/>
      <c r="Y416" s="125"/>
      <c r="Z416" s="125"/>
      <c r="AA416" s="125"/>
      <c r="AB416" s="125"/>
      <c r="AC416" s="125"/>
      <c r="AD416" s="125"/>
      <c r="AE416" s="125"/>
      <c r="AF416" s="125"/>
      <c r="AG416" s="125"/>
      <c r="AH416" s="125"/>
      <c r="AI416" s="125"/>
      <c r="AJ416" s="125"/>
      <c r="AK416" s="125"/>
      <c r="AL416" s="125"/>
      <c r="AM416" s="125"/>
      <c r="AN416" s="125"/>
      <c r="AO416" s="125"/>
      <c r="AP416" s="125"/>
      <c r="AQ416" s="125"/>
      <c r="AR416" s="125"/>
      <c r="AS416" s="125"/>
      <c r="AT416" s="125"/>
      <c r="AU416" s="125"/>
      <c r="AV416" s="125"/>
      <c r="AW416" s="125"/>
      <c r="AX416" s="125"/>
      <c r="AY416" s="125"/>
      <c r="AZ416" s="125"/>
      <c r="BA416" s="125"/>
      <c r="BB416" s="125"/>
      <c r="BC416" s="125"/>
      <c r="BD416" s="125"/>
      <c r="BE416" s="125"/>
      <c r="BF416" s="125"/>
      <c r="BG416" s="125"/>
      <c r="BH416" s="125"/>
    </row>
    <row r="417" spans="1:60" s="124" customFormat="1" ht="139.5">
      <c r="A417" s="233" t="s">
        <v>447</v>
      </c>
      <c r="B417" s="231">
        <v>2570</v>
      </c>
      <c r="C417" s="100" t="s">
        <v>538</v>
      </c>
      <c r="D417" s="100" t="s">
        <v>476</v>
      </c>
      <c r="E417" s="100" t="s">
        <v>475</v>
      </c>
      <c r="F417" s="100" t="s">
        <v>474</v>
      </c>
      <c r="G417" s="100" t="s">
        <v>548</v>
      </c>
      <c r="H417" s="100" t="s">
        <v>48</v>
      </c>
      <c r="I417" s="100"/>
      <c r="J417" s="96" t="s">
        <v>46</v>
      </c>
      <c r="K417" s="96" t="s">
        <v>40</v>
      </c>
      <c r="L417" s="99">
        <f t="shared" si="12"/>
        <v>8990</v>
      </c>
      <c r="M417" s="98">
        <f t="shared" si="11"/>
        <v>1</v>
      </c>
      <c r="N417" s="96"/>
      <c r="O417" s="97"/>
      <c r="P417" s="108" t="s">
        <v>472</v>
      </c>
      <c r="Q417" s="96">
        <v>1</v>
      </c>
      <c r="R417" s="96"/>
      <c r="S417" s="96" t="s">
        <v>547</v>
      </c>
      <c r="T417" s="95">
        <v>8990</v>
      </c>
      <c r="U417" s="94" t="s">
        <v>546</v>
      </c>
      <c r="V417" s="217"/>
      <c r="W417" s="217"/>
      <c r="X417" s="125"/>
      <c r="Y417" s="125"/>
      <c r="Z417" s="125"/>
      <c r="AA417" s="125"/>
      <c r="AB417" s="125"/>
      <c r="AC417" s="125"/>
      <c r="AD417" s="125"/>
      <c r="AE417" s="125"/>
      <c r="AF417" s="125"/>
      <c r="AG417" s="125"/>
      <c r="AH417" s="125"/>
      <c r="AI417" s="125"/>
      <c r="AJ417" s="125"/>
      <c r="AK417" s="125"/>
      <c r="AL417" s="125"/>
      <c r="AM417" s="125"/>
      <c r="AN417" s="125"/>
      <c r="AO417" s="125"/>
      <c r="AP417" s="125"/>
      <c r="AQ417" s="125"/>
      <c r="AR417" s="125"/>
      <c r="AS417" s="125"/>
      <c r="AT417" s="125"/>
      <c r="AU417" s="125"/>
      <c r="AV417" s="125"/>
      <c r="AW417" s="125"/>
      <c r="AX417" s="125"/>
      <c r="AY417" s="125"/>
      <c r="AZ417" s="125"/>
      <c r="BA417" s="125"/>
      <c r="BB417" s="125"/>
      <c r="BC417" s="125"/>
      <c r="BD417" s="125"/>
      <c r="BE417" s="125"/>
      <c r="BF417" s="125"/>
      <c r="BG417" s="125"/>
      <c r="BH417" s="125"/>
    </row>
    <row r="418" spans="1:60" s="124" customFormat="1" ht="139.5">
      <c r="A418" s="233" t="s">
        <v>447</v>
      </c>
      <c r="B418" s="231">
        <v>2570</v>
      </c>
      <c r="C418" s="100" t="s">
        <v>538</v>
      </c>
      <c r="D418" s="100" t="s">
        <v>476</v>
      </c>
      <c r="E418" s="100" t="s">
        <v>475</v>
      </c>
      <c r="F418" s="100" t="s">
        <v>474</v>
      </c>
      <c r="G418" s="103" t="s">
        <v>545</v>
      </c>
      <c r="H418" s="100" t="s">
        <v>48</v>
      </c>
      <c r="I418" s="100"/>
      <c r="J418" s="96" t="s">
        <v>46</v>
      </c>
      <c r="K418" s="96" t="s">
        <v>40</v>
      </c>
      <c r="L418" s="99">
        <f t="shared" si="12"/>
        <v>9500</v>
      </c>
      <c r="M418" s="98">
        <f t="shared" si="11"/>
        <v>1</v>
      </c>
      <c r="N418" s="96"/>
      <c r="O418" s="97" t="s">
        <v>472</v>
      </c>
      <c r="P418" s="129"/>
      <c r="Q418" s="96">
        <v>1</v>
      </c>
      <c r="R418" s="96"/>
      <c r="S418" s="96" t="s">
        <v>544</v>
      </c>
      <c r="T418" s="95">
        <v>9500</v>
      </c>
      <c r="U418" s="94" t="s">
        <v>543</v>
      </c>
      <c r="V418" s="217"/>
      <c r="W418" s="217"/>
      <c r="X418" s="125"/>
      <c r="Y418" s="125"/>
      <c r="Z418" s="125"/>
      <c r="AA418" s="125"/>
      <c r="AB418" s="125"/>
      <c r="AC418" s="125"/>
      <c r="AD418" s="125"/>
      <c r="AE418" s="125"/>
      <c r="AF418" s="125"/>
      <c r="AG418" s="125"/>
      <c r="AH418" s="125"/>
      <c r="AI418" s="125"/>
      <c r="AJ418" s="125"/>
      <c r="AK418" s="125"/>
      <c r="AL418" s="125"/>
      <c r="AM418" s="125"/>
      <c r="AN418" s="125"/>
      <c r="AO418" s="125"/>
      <c r="AP418" s="125"/>
      <c r="AQ418" s="125"/>
      <c r="AR418" s="125"/>
      <c r="AS418" s="125"/>
      <c r="AT418" s="125"/>
      <c r="AU418" s="125"/>
      <c r="AV418" s="125"/>
      <c r="AW418" s="125"/>
      <c r="AX418" s="125"/>
      <c r="AY418" s="125"/>
      <c r="AZ418" s="125"/>
      <c r="BA418" s="125"/>
      <c r="BB418" s="125"/>
      <c r="BC418" s="125"/>
      <c r="BD418" s="125"/>
      <c r="BE418" s="125"/>
      <c r="BF418" s="125"/>
      <c r="BG418" s="125"/>
      <c r="BH418" s="125"/>
    </row>
    <row r="419" spans="1:60" s="124" customFormat="1" ht="139.5">
      <c r="A419" s="233" t="s">
        <v>447</v>
      </c>
      <c r="B419" s="231">
        <v>2570</v>
      </c>
      <c r="C419" s="103" t="s">
        <v>538</v>
      </c>
      <c r="D419" s="100" t="s">
        <v>476</v>
      </c>
      <c r="E419" s="100" t="s">
        <v>475</v>
      </c>
      <c r="F419" s="100" t="s">
        <v>474</v>
      </c>
      <c r="G419" s="103" t="s">
        <v>540</v>
      </c>
      <c r="H419" s="100" t="s">
        <v>411</v>
      </c>
      <c r="I419" s="100"/>
      <c r="J419" s="96" t="s">
        <v>317</v>
      </c>
      <c r="K419" s="96" t="s">
        <v>40</v>
      </c>
      <c r="L419" s="99">
        <f t="shared" si="12"/>
        <v>17400</v>
      </c>
      <c r="M419" s="98">
        <f t="shared" si="11"/>
        <v>1</v>
      </c>
      <c r="N419" s="96"/>
      <c r="O419" s="97" t="s">
        <v>472</v>
      </c>
      <c r="P419" s="129"/>
      <c r="Q419" s="96"/>
      <c r="R419" s="96">
        <v>1</v>
      </c>
      <c r="S419" s="96"/>
      <c r="T419" s="95">
        <v>17400</v>
      </c>
      <c r="U419" s="94" t="s">
        <v>542</v>
      </c>
      <c r="V419" s="217"/>
      <c r="W419" s="217"/>
      <c r="X419" s="125"/>
      <c r="Y419" s="125"/>
      <c r="Z419" s="125"/>
      <c r="AA419" s="125"/>
      <c r="AB419" s="125"/>
      <c r="AC419" s="125"/>
      <c r="AD419" s="125"/>
      <c r="AE419" s="125"/>
      <c r="AF419" s="125"/>
      <c r="AG419" s="125"/>
      <c r="AH419" s="125"/>
      <c r="AI419" s="125"/>
      <c r="AJ419" s="125"/>
      <c r="AK419" s="125"/>
      <c r="AL419" s="125"/>
      <c r="AM419" s="125"/>
      <c r="AN419" s="125"/>
      <c r="AO419" s="125"/>
      <c r="AP419" s="125"/>
      <c r="AQ419" s="125"/>
      <c r="AR419" s="125"/>
      <c r="AS419" s="125"/>
      <c r="AT419" s="125"/>
      <c r="AU419" s="125"/>
      <c r="AV419" s="125"/>
      <c r="AW419" s="125"/>
      <c r="AX419" s="125"/>
      <c r="AY419" s="125"/>
      <c r="AZ419" s="125"/>
      <c r="BA419" s="125"/>
      <c r="BB419" s="125"/>
      <c r="BC419" s="125"/>
      <c r="BD419" s="125"/>
      <c r="BE419" s="125"/>
      <c r="BF419" s="125"/>
      <c r="BG419" s="125"/>
      <c r="BH419" s="125"/>
    </row>
    <row r="420" spans="1:60" s="124" customFormat="1" ht="139.5">
      <c r="A420" s="233" t="s">
        <v>447</v>
      </c>
      <c r="B420" s="231">
        <v>2570</v>
      </c>
      <c r="C420" s="100" t="s">
        <v>538</v>
      </c>
      <c r="D420" s="100" t="s">
        <v>476</v>
      </c>
      <c r="E420" s="100" t="s">
        <v>475</v>
      </c>
      <c r="F420" s="100" t="s">
        <v>474</v>
      </c>
      <c r="G420" s="100" t="s">
        <v>540</v>
      </c>
      <c r="H420" s="100" t="s">
        <v>26</v>
      </c>
      <c r="I420" s="100"/>
      <c r="J420" s="96" t="s">
        <v>22</v>
      </c>
      <c r="K420" s="96" t="s">
        <v>13</v>
      </c>
      <c r="L420" s="99">
        <f t="shared" si="12"/>
        <v>17400</v>
      </c>
      <c r="M420" s="98">
        <f t="shared" si="11"/>
        <v>1</v>
      </c>
      <c r="N420" s="96"/>
      <c r="O420" s="97" t="s">
        <v>472</v>
      </c>
      <c r="P420" s="129"/>
      <c r="Q420" s="128"/>
      <c r="R420" s="107">
        <v>1</v>
      </c>
      <c r="S420" s="96"/>
      <c r="T420" s="95">
        <v>17400</v>
      </c>
      <c r="U420" s="94" t="s">
        <v>541</v>
      </c>
      <c r="V420" s="217"/>
      <c r="W420" s="217"/>
      <c r="X420" s="125"/>
      <c r="Y420" s="125"/>
      <c r="Z420" s="125"/>
      <c r="AA420" s="125"/>
      <c r="AB420" s="125"/>
      <c r="AC420" s="125"/>
      <c r="AD420" s="125"/>
      <c r="AE420" s="125"/>
      <c r="AF420" s="125"/>
      <c r="AG420" s="125"/>
      <c r="AH420" s="125"/>
      <c r="AI420" s="125"/>
      <c r="AJ420" s="125"/>
      <c r="AK420" s="125"/>
      <c r="AL420" s="125"/>
      <c r="AM420" s="125"/>
      <c r="AN420" s="125"/>
      <c r="AO420" s="125"/>
      <c r="AP420" s="125"/>
      <c r="AQ420" s="125"/>
      <c r="AR420" s="125"/>
      <c r="AS420" s="125"/>
      <c r="AT420" s="125"/>
      <c r="AU420" s="125"/>
      <c r="AV420" s="125"/>
      <c r="AW420" s="125"/>
      <c r="AX420" s="125"/>
      <c r="AY420" s="125"/>
      <c r="AZ420" s="125"/>
      <c r="BA420" s="125"/>
      <c r="BB420" s="125"/>
      <c r="BC420" s="125"/>
      <c r="BD420" s="125"/>
      <c r="BE420" s="125"/>
      <c r="BF420" s="125"/>
      <c r="BG420" s="125"/>
      <c r="BH420" s="125"/>
    </row>
    <row r="421" spans="1:60" s="92" customFormat="1" ht="139.5">
      <c r="A421" s="233" t="s">
        <v>447</v>
      </c>
      <c r="B421" s="231">
        <v>2570</v>
      </c>
      <c r="C421" s="100" t="s">
        <v>538</v>
      </c>
      <c r="D421" s="100" t="s">
        <v>476</v>
      </c>
      <c r="E421" s="100" t="s">
        <v>475</v>
      </c>
      <c r="F421" s="100" t="s">
        <v>474</v>
      </c>
      <c r="G421" s="126" t="s">
        <v>540</v>
      </c>
      <c r="H421" s="126" t="s">
        <v>174</v>
      </c>
      <c r="I421" s="126"/>
      <c r="J421" s="96" t="s">
        <v>172</v>
      </c>
      <c r="K421" s="96" t="s">
        <v>149</v>
      </c>
      <c r="L421" s="99">
        <f t="shared" si="12"/>
        <v>34800</v>
      </c>
      <c r="M421" s="98">
        <f t="shared" si="11"/>
        <v>2</v>
      </c>
      <c r="N421" s="96"/>
      <c r="O421" s="97" t="s">
        <v>472</v>
      </c>
      <c r="P421" s="97"/>
      <c r="Q421" s="96"/>
      <c r="R421" s="96">
        <v>2</v>
      </c>
      <c r="S421" s="96"/>
      <c r="T421" s="95">
        <v>17400</v>
      </c>
      <c r="U421" s="94" t="s">
        <v>539</v>
      </c>
      <c r="V421" s="218"/>
      <c r="W421" s="218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  <c r="AP421" s="93"/>
      <c r="AQ421" s="93"/>
      <c r="AR421" s="93"/>
      <c r="AS421" s="93"/>
      <c r="AT421" s="93"/>
      <c r="AU421" s="93"/>
      <c r="AV421" s="93"/>
      <c r="AW421" s="93"/>
      <c r="AX421" s="93"/>
      <c r="AY421" s="93"/>
      <c r="AZ421" s="93"/>
      <c r="BA421" s="93"/>
      <c r="BB421" s="93"/>
      <c r="BC421" s="93"/>
      <c r="BD421" s="93"/>
      <c r="BE421" s="93"/>
      <c r="BF421" s="93"/>
      <c r="BG421" s="93"/>
      <c r="BH421" s="93"/>
    </row>
    <row r="422" spans="1:60" s="110" customFormat="1" ht="162.75">
      <c r="A422" s="233" t="s">
        <v>447</v>
      </c>
      <c r="B422" s="231">
        <v>2570</v>
      </c>
      <c r="C422" s="103" t="s">
        <v>538</v>
      </c>
      <c r="D422" s="100" t="s">
        <v>476</v>
      </c>
      <c r="E422" s="100" t="s">
        <v>475</v>
      </c>
      <c r="F422" s="100" t="s">
        <v>474</v>
      </c>
      <c r="G422" s="100" t="s">
        <v>537</v>
      </c>
      <c r="H422" s="100" t="s">
        <v>466</v>
      </c>
      <c r="I422" s="100"/>
      <c r="J422" s="96" t="s">
        <v>166</v>
      </c>
      <c r="K422" s="96" t="s">
        <v>149</v>
      </c>
      <c r="L422" s="99">
        <f t="shared" si="12"/>
        <v>34000</v>
      </c>
      <c r="M422" s="98">
        <f t="shared" si="11"/>
        <v>2</v>
      </c>
      <c r="N422" s="96"/>
      <c r="O422" s="97" t="s">
        <v>472</v>
      </c>
      <c r="P422" s="97"/>
      <c r="Q422" s="96">
        <v>1</v>
      </c>
      <c r="R422" s="96">
        <v>1</v>
      </c>
      <c r="S422" s="96" t="s">
        <v>536</v>
      </c>
      <c r="T422" s="95">
        <v>17000</v>
      </c>
      <c r="U422" s="94" t="s">
        <v>535</v>
      </c>
      <c r="V422" s="219"/>
      <c r="W422" s="219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  <c r="AZ422" s="76"/>
      <c r="BA422" s="76"/>
      <c r="BB422" s="76"/>
      <c r="BC422" s="76"/>
      <c r="BD422" s="76"/>
      <c r="BE422" s="76"/>
      <c r="BF422" s="76"/>
      <c r="BG422" s="76"/>
      <c r="BH422" s="76"/>
    </row>
    <row r="423" spans="1:60" s="110" customFormat="1" ht="147">
      <c r="A423" s="235" t="s">
        <v>447</v>
      </c>
      <c r="B423" s="231">
        <v>2570</v>
      </c>
      <c r="C423" s="118" t="s">
        <v>527</v>
      </c>
      <c r="D423" s="118" t="s">
        <v>476</v>
      </c>
      <c r="E423" s="118" t="s">
        <v>475</v>
      </c>
      <c r="F423" s="118" t="s">
        <v>474</v>
      </c>
      <c r="G423" s="118" t="s">
        <v>534</v>
      </c>
      <c r="H423" s="118" t="s">
        <v>462</v>
      </c>
      <c r="I423" s="118"/>
      <c r="J423" s="113" t="s">
        <v>439</v>
      </c>
      <c r="K423" s="113" t="s">
        <v>63</v>
      </c>
      <c r="L423" s="121">
        <f t="shared" si="12"/>
        <v>1498000</v>
      </c>
      <c r="M423" s="116">
        <f t="shared" si="11"/>
        <v>1</v>
      </c>
      <c r="N423" s="113" t="s">
        <v>533</v>
      </c>
      <c r="O423" s="123"/>
      <c r="P423" s="122" t="s">
        <v>472</v>
      </c>
      <c r="Q423" s="113">
        <v>1</v>
      </c>
      <c r="R423" s="113"/>
      <c r="S423" s="113" t="s">
        <v>532</v>
      </c>
      <c r="T423" s="112">
        <v>1498000</v>
      </c>
      <c r="U423" s="111" t="s">
        <v>531</v>
      </c>
      <c r="V423" s="219"/>
      <c r="W423" s="219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  <c r="AZ423" s="76"/>
      <c r="BA423" s="76"/>
      <c r="BB423" s="76"/>
      <c r="BC423" s="76"/>
      <c r="BD423" s="76"/>
      <c r="BE423" s="76"/>
      <c r="BF423" s="76"/>
      <c r="BG423" s="76"/>
      <c r="BH423" s="76"/>
    </row>
    <row r="424" spans="1:60" s="110" customFormat="1" ht="147">
      <c r="A424" s="235" t="s">
        <v>447</v>
      </c>
      <c r="B424" s="231">
        <v>2570</v>
      </c>
      <c r="C424" s="118" t="s">
        <v>527</v>
      </c>
      <c r="D424" s="118" t="s">
        <v>476</v>
      </c>
      <c r="E424" s="118" t="s">
        <v>475</v>
      </c>
      <c r="F424" s="118" t="s">
        <v>474</v>
      </c>
      <c r="G424" s="118" t="s">
        <v>530</v>
      </c>
      <c r="H424" s="118" t="s">
        <v>174</v>
      </c>
      <c r="I424" s="118"/>
      <c r="J424" s="113" t="s">
        <v>172</v>
      </c>
      <c r="K424" s="113" t="s">
        <v>149</v>
      </c>
      <c r="L424" s="121">
        <f t="shared" si="12"/>
        <v>970900</v>
      </c>
      <c r="M424" s="116">
        <f t="shared" si="11"/>
        <v>1</v>
      </c>
      <c r="N424" s="113"/>
      <c r="O424" s="114" t="s">
        <v>472</v>
      </c>
      <c r="P424" s="115"/>
      <c r="Q424" s="113">
        <v>1</v>
      </c>
      <c r="R424" s="113"/>
      <c r="S424" s="113" t="s">
        <v>529</v>
      </c>
      <c r="T424" s="120">
        <v>970900</v>
      </c>
      <c r="U424" s="111" t="s">
        <v>528</v>
      </c>
      <c r="V424" s="219"/>
      <c r="W424" s="219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  <c r="AZ424" s="76"/>
      <c r="BA424" s="76"/>
      <c r="BB424" s="76"/>
      <c r="BC424" s="76"/>
      <c r="BD424" s="76"/>
      <c r="BE424" s="76"/>
      <c r="BF424" s="76"/>
      <c r="BG424" s="76"/>
      <c r="BH424" s="76"/>
    </row>
    <row r="425" spans="1:60" s="92" customFormat="1" ht="147">
      <c r="A425" s="235" t="s">
        <v>447</v>
      </c>
      <c r="B425" s="231">
        <v>2570</v>
      </c>
      <c r="C425" s="118" t="s">
        <v>527</v>
      </c>
      <c r="D425" s="118" t="s">
        <v>476</v>
      </c>
      <c r="E425" s="118" t="s">
        <v>475</v>
      </c>
      <c r="F425" s="118" t="s">
        <v>474</v>
      </c>
      <c r="G425" s="118" t="s">
        <v>526</v>
      </c>
      <c r="H425" s="118" t="s">
        <v>466</v>
      </c>
      <c r="I425" s="118"/>
      <c r="J425" s="113" t="s">
        <v>166</v>
      </c>
      <c r="K425" s="113" t="s">
        <v>149</v>
      </c>
      <c r="L425" s="117">
        <f t="shared" si="12"/>
        <v>1498000</v>
      </c>
      <c r="M425" s="116">
        <f t="shared" si="11"/>
        <v>1</v>
      </c>
      <c r="N425" s="113"/>
      <c r="O425" s="115"/>
      <c r="P425" s="114" t="s">
        <v>472</v>
      </c>
      <c r="Q425" s="113">
        <v>1</v>
      </c>
      <c r="R425" s="113"/>
      <c r="S425" s="113" t="s">
        <v>525</v>
      </c>
      <c r="T425" s="112">
        <v>1498000</v>
      </c>
      <c r="U425" s="111" t="s">
        <v>524</v>
      </c>
      <c r="V425" s="218"/>
      <c r="W425" s="218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  <c r="AP425" s="93"/>
      <c r="AQ425" s="93"/>
      <c r="AR425" s="93"/>
      <c r="AS425" s="93"/>
      <c r="AT425" s="93"/>
      <c r="AU425" s="93"/>
      <c r="AV425" s="93"/>
      <c r="AW425" s="93"/>
      <c r="AX425" s="93"/>
      <c r="AY425" s="93"/>
      <c r="AZ425" s="93"/>
      <c r="BA425" s="93"/>
      <c r="BB425" s="93"/>
      <c r="BC425" s="93"/>
      <c r="BD425" s="93"/>
      <c r="BE425" s="93"/>
      <c r="BF425" s="93"/>
      <c r="BG425" s="93"/>
      <c r="BH425" s="93"/>
    </row>
    <row r="426" spans="1:60" s="92" customFormat="1" ht="139.5">
      <c r="A426" s="233" t="s">
        <v>447</v>
      </c>
      <c r="B426" s="231">
        <v>2570</v>
      </c>
      <c r="C426" s="100" t="s">
        <v>477</v>
      </c>
      <c r="D426" s="100" t="s">
        <v>476</v>
      </c>
      <c r="E426" s="100" t="s">
        <v>475</v>
      </c>
      <c r="F426" s="100" t="s">
        <v>474</v>
      </c>
      <c r="G426" s="100" t="s">
        <v>523</v>
      </c>
      <c r="H426" s="100" t="s">
        <v>112</v>
      </c>
      <c r="I426" s="100"/>
      <c r="J426" s="96" t="s">
        <v>110</v>
      </c>
      <c r="K426" s="96" t="s">
        <v>63</v>
      </c>
      <c r="L426" s="106">
        <f t="shared" si="12"/>
        <v>50290</v>
      </c>
      <c r="M426" s="98">
        <f t="shared" si="11"/>
        <v>1</v>
      </c>
      <c r="N426" s="98"/>
      <c r="O426" s="102"/>
      <c r="P426" s="97" t="s">
        <v>472</v>
      </c>
      <c r="Q426" s="98"/>
      <c r="R426" s="98">
        <v>1</v>
      </c>
      <c r="S426" s="98"/>
      <c r="T426" s="95">
        <v>50290</v>
      </c>
      <c r="U426" s="109" t="s">
        <v>522</v>
      </c>
      <c r="V426" s="218"/>
      <c r="W426" s="218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  <c r="AP426" s="93"/>
      <c r="AQ426" s="93"/>
      <c r="AR426" s="93"/>
      <c r="AS426" s="93"/>
      <c r="AT426" s="93"/>
      <c r="AU426" s="93"/>
      <c r="AV426" s="93"/>
      <c r="AW426" s="93"/>
      <c r="AX426" s="93"/>
      <c r="AY426" s="93"/>
      <c r="AZ426" s="93"/>
      <c r="BA426" s="93"/>
      <c r="BB426" s="93"/>
      <c r="BC426" s="93"/>
      <c r="BD426" s="93"/>
      <c r="BE426" s="93"/>
      <c r="BF426" s="93"/>
      <c r="BG426" s="93"/>
      <c r="BH426" s="93"/>
    </row>
    <row r="427" spans="1:60" s="92" customFormat="1" ht="139.5">
      <c r="A427" s="233" t="s">
        <v>447</v>
      </c>
      <c r="B427" s="231">
        <v>2570</v>
      </c>
      <c r="C427" s="103" t="s">
        <v>488</v>
      </c>
      <c r="D427" s="100" t="s">
        <v>476</v>
      </c>
      <c r="E427" s="100" t="s">
        <v>475</v>
      </c>
      <c r="F427" s="100" t="s">
        <v>474</v>
      </c>
      <c r="G427" s="100" t="s">
        <v>521</v>
      </c>
      <c r="H427" s="100" t="s">
        <v>48</v>
      </c>
      <c r="I427" s="100"/>
      <c r="J427" s="96" t="s">
        <v>46</v>
      </c>
      <c r="K427" s="96" t="s">
        <v>40</v>
      </c>
      <c r="L427" s="99">
        <f t="shared" si="12"/>
        <v>40730</v>
      </c>
      <c r="M427" s="98">
        <f t="shared" si="11"/>
        <v>1</v>
      </c>
      <c r="N427" s="96"/>
      <c r="O427" s="102"/>
      <c r="P427" s="97" t="s">
        <v>472</v>
      </c>
      <c r="Q427" s="96">
        <v>1</v>
      </c>
      <c r="R427" s="96"/>
      <c r="S427" s="96" t="s">
        <v>520</v>
      </c>
      <c r="T427" s="95">
        <v>40730</v>
      </c>
      <c r="U427" s="94" t="s">
        <v>519</v>
      </c>
      <c r="V427" s="273"/>
      <c r="W427" s="220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  <c r="AP427" s="93"/>
      <c r="AQ427" s="93"/>
      <c r="AR427" s="93"/>
      <c r="AS427" s="93"/>
      <c r="AT427" s="93"/>
      <c r="AU427" s="93"/>
      <c r="AV427" s="93"/>
      <c r="AW427" s="93"/>
      <c r="AX427" s="93"/>
      <c r="AY427" s="93"/>
      <c r="AZ427" s="93"/>
      <c r="BA427" s="93"/>
      <c r="BB427" s="93"/>
      <c r="BC427" s="93"/>
      <c r="BD427" s="93"/>
      <c r="BE427" s="93"/>
      <c r="BF427" s="93"/>
      <c r="BG427" s="93"/>
      <c r="BH427" s="93"/>
    </row>
    <row r="428" spans="1:60" s="92" customFormat="1" ht="139.5">
      <c r="A428" s="233" t="s">
        <v>447</v>
      </c>
      <c r="B428" s="231">
        <v>2570</v>
      </c>
      <c r="C428" s="103" t="s">
        <v>488</v>
      </c>
      <c r="D428" s="100" t="s">
        <v>476</v>
      </c>
      <c r="E428" s="100" t="s">
        <v>475</v>
      </c>
      <c r="F428" s="100" t="s">
        <v>474</v>
      </c>
      <c r="G428" s="100" t="s">
        <v>518</v>
      </c>
      <c r="H428" s="100" t="s">
        <v>48</v>
      </c>
      <c r="I428" s="100"/>
      <c r="J428" s="96" t="s">
        <v>46</v>
      </c>
      <c r="K428" s="96" t="s">
        <v>40</v>
      </c>
      <c r="L428" s="99">
        <f t="shared" si="12"/>
        <v>47000</v>
      </c>
      <c r="M428" s="98">
        <f t="shared" si="11"/>
        <v>2</v>
      </c>
      <c r="N428" s="96"/>
      <c r="O428" s="102"/>
      <c r="P428" s="97" t="s">
        <v>472</v>
      </c>
      <c r="Q428" s="96">
        <v>2</v>
      </c>
      <c r="R428" s="96"/>
      <c r="S428" s="96" t="s">
        <v>517</v>
      </c>
      <c r="T428" s="95">
        <v>23500</v>
      </c>
      <c r="U428" s="94" t="s">
        <v>516</v>
      </c>
      <c r="V428" s="273"/>
      <c r="W428" s="218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  <c r="AP428" s="93"/>
      <c r="AQ428" s="93"/>
      <c r="AR428" s="93"/>
      <c r="AS428" s="93"/>
      <c r="AT428" s="93"/>
      <c r="AU428" s="93"/>
      <c r="AV428" s="93"/>
      <c r="AW428" s="93"/>
      <c r="AX428" s="93"/>
      <c r="AY428" s="93"/>
      <c r="AZ428" s="93"/>
      <c r="BA428" s="93"/>
      <c r="BB428" s="93"/>
      <c r="BC428" s="93"/>
      <c r="BD428" s="93"/>
      <c r="BE428" s="93"/>
      <c r="BF428" s="93"/>
      <c r="BG428" s="93"/>
      <c r="BH428" s="93"/>
    </row>
    <row r="429" spans="1:60" s="92" customFormat="1" ht="139.5">
      <c r="A429" s="233" t="s">
        <v>447</v>
      </c>
      <c r="B429" s="231">
        <v>2570</v>
      </c>
      <c r="C429" s="100" t="s">
        <v>477</v>
      </c>
      <c r="D429" s="100" t="s">
        <v>476</v>
      </c>
      <c r="E429" s="100" t="s">
        <v>475</v>
      </c>
      <c r="F429" s="100" t="s">
        <v>474</v>
      </c>
      <c r="G429" s="100" t="s">
        <v>515</v>
      </c>
      <c r="H429" s="100" t="s">
        <v>48</v>
      </c>
      <c r="I429" s="100"/>
      <c r="J429" s="96" t="s">
        <v>46</v>
      </c>
      <c r="K429" s="96" t="s">
        <v>40</v>
      </c>
      <c r="L429" s="99">
        <f t="shared" si="12"/>
        <v>35890</v>
      </c>
      <c r="M429" s="98">
        <f t="shared" si="11"/>
        <v>1</v>
      </c>
      <c r="N429" s="96"/>
      <c r="O429" s="102"/>
      <c r="P429" s="108" t="s">
        <v>472</v>
      </c>
      <c r="Q429" s="96"/>
      <c r="R429" s="96">
        <v>1</v>
      </c>
      <c r="S429" s="96"/>
      <c r="T429" s="95">
        <v>35890</v>
      </c>
      <c r="U429" s="94" t="s">
        <v>514</v>
      </c>
      <c r="V429" s="273"/>
      <c r="W429" s="218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  <c r="AP429" s="93"/>
      <c r="AQ429" s="93"/>
      <c r="AR429" s="93"/>
      <c r="AS429" s="93"/>
      <c r="AT429" s="93"/>
      <c r="AU429" s="93"/>
      <c r="AV429" s="93"/>
      <c r="AW429" s="93"/>
      <c r="AX429" s="93"/>
      <c r="AY429" s="93"/>
      <c r="AZ429" s="93"/>
      <c r="BA429" s="93"/>
      <c r="BB429" s="93"/>
      <c r="BC429" s="93"/>
      <c r="BD429" s="93"/>
      <c r="BE429" s="93"/>
      <c r="BF429" s="93"/>
      <c r="BG429" s="93"/>
      <c r="BH429" s="93"/>
    </row>
    <row r="430" spans="1:60" s="92" customFormat="1" ht="139.5">
      <c r="A430" s="233" t="s">
        <v>447</v>
      </c>
      <c r="B430" s="231">
        <v>2570</v>
      </c>
      <c r="C430" s="103" t="s">
        <v>477</v>
      </c>
      <c r="D430" s="100" t="s">
        <v>476</v>
      </c>
      <c r="E430" s="100" t="s">
        <v>475</v>
      </c>
      <c r="F430" s="100" t="s">
        <v>474</v>
      </c>
      <c r="G430" s="100" t="s">
        <v>513</v>
      </c>
      <c r="H430" s="100" t="s">
        <v>411</v>
      </c>
      <c r="I430" s="100"/>
      <c r="J430" s="96" t="s">
        <v>317</v>
      </c>
      <c r="K430" s="96" t="s">
        <v>40</v>
      </c>
      <c r="L430" s="99">
        <f t="shared" si="12"/>
        <v>38000</v>
      </c>
      <c r="M430" s="98">
        <f t="shared" si="11"/>
        <v>1</v>
      </c>
      <c r="N430" s="96"/>
      <c r="O430" s="102"/>
      <c r="P430" s="97" t="s">
        <v>472</v>
      </c>
      <c r="Q430" s="96">
        <v>1</v>
      </c>
      <c r="R430" s="96"/>
      <c r="S430" s="96" t="s">
        <v>512</v>
      </c>
      <c r="T430" s="95">
        <v>38000</v>
      </c>
      <c r="U430" s="94" t="s">
        <v>509</v>
      </c>
      <c r="V430" s="273"/>
      <c r="W430" s="218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  <c r="AP430" s="93"/>
      <c r="AQ430" s="93"/>
      <c r="AR430" s="93"/>
      <c r="AS430" s="93"/>
      <c r="AT430" s="93"/>
      <c r="AU430" s="93"/>
      <c r="AV430" s="93"/>
      <c r="AW430" s="93"/>
      <c r="AX430" s="93"/>
      <c r="AY430" s="93"/>
      <c r="AZ430" s="93"/>
      <c r="BA430" s="93"/>
      <c r="BB430" s="93"/>
      <c r="BC430" s="93"/>
      <c r="BD430" s="93"/>
      <c r="BE430" s="93"/>
      <c r="BF430" s="93"/>
      <c r="BG430" s="93"/>
      <c r="BH430" s="93"/>
    </row>
    <row r="431" spans="1:60" s="92" customFormat="1" ht="139.5">
      <c r="A431" s="233" t="s">
        <v>447</v>
      </c>
      <c r="B431" s="231">
        <v>2570</v>
      </c>
      <c r="C431" s="103" t="s">
        <v>477</v>
      </c>
      <c r="D431" s="100" t="s">
        <v>476</v>
      </c>
      <c r="E431" s="100" t="s">
        <v>475</v>
      </c>
      <c r="F431" s="100" t="s">
        <v>474</v>
      </c>
      <c r="G431" s="100" t="s">
        <v>511</v>
      </c>
      <c r="H431" s="100" t="s">
        <v>411</v>
      </c>
      <c r="I431" s="100"/>
      <c r="J431" s="96" t="s">
        <v>317</v>
      </c>
      <c r="K431" s="96" t="s">
        <v>40</v>
      </c>
      <c r="L431" s="99">
        <f t="shared" si="12"/>
        <v>62000</v>
      </c>
      <c r="M431" s="98">
        <f t="shared" si="11"/>
        <v>1</v>
      </c>
      <c r="N431" s="96"/>
      <c r="O431" s="102"/>
      <c r="P431" s="97" t="s">
        <v>472</v>
      </c>
      <c r="Q431" s="96">
        <v>1</v>
      </c>
      <c r="R431" s="96"/>
      <c r="S431" s="96" t="s">
        <v>510</v>
      </c>
      <c r="T431" s="95">
        <v>62000</v>
      </c>
      <c r="U431" s="94" t="s">
        <v>509</v>
      </c>
      <c r="V431" s="273"/>
      <c r="W431" s="218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  <c r="AP431" s="93"/>
      <c r="AQ431" s="93"/>
      <c r="AR431" s="93"/>
      <c r="AS431" s="93"/>
      <c r="AT431" s="93"/>
      <c r="AU431" s="93"/>
      <c r="AV431" s="93"/>
      <c r="AW431" s="93"/>
      <c r="AX431" s="93"/>
      <c r="AY431" s="93"/>
      <c r="AZ431" s="93"/>
      <c r="BA431" s="93"/>
      <c r="BB431" s="93"/>
      <c r="BC431" s="93"/>
      <c r="BD431" s="93"/>
      <c r="BE431" s="93"/>
      <c r="BF431" s="93"/>
      <c r="BG431" s="93"/>
      <c r="BH431" s="93"/>
    </row>
    <row r="432" spans="1:60" s="92" customFormat="1" ht="139.5">
      <c r="A432" s="233" t="s">
        <v>447</v>
      </c>
      <c r="B432" s="231">
        <v>2570</v>
      </c>
      <c r="C432" s="103" t="s">
        <v>477</v>
      </c>
      <c r="D432" s="100" t="s">
        <v>476</v>
      </c>
      <c r="E432" s="100" t="s">
        <v>475</v>
      </c>
      <c r="F432" s="100" t="s">
        <v>474</v>
      </c>
      <c r="G432" s="100" t="s">
        <v>508</v>
      </c>
      <c r="H432" s="100" t="s">
        <v>411</v>
      </c>
      <c r="I432" s="100"/>
      <c r="J432" s="96" t="s">
        <v>317</v>
      </c>
      <c r="K432" s="96" t="s">
        <v>40</v>
      </c>
      <c r="L432" s="99">
        <f t="shared" si="12"/>
        <v>43100</v>
      </c>
      <c r="M432" s="98">
        <f t="shared" si="11"/>
        <v>1</v>
      </c>
      <c r="N432" s="96"/>
      <c r="O432" s="97" t="s">
        <v>472</v>
      </c>
      <c r="P432" s="97"/>
      <c r="Q432" s="107">
        <v>1</v>
      </c>
      <c r="R432" s="96"/>
      <c r="S432" s="96" t="s">
        <v>507</v>
      </c>
      <c r="T432" s="95">
        <v>43100</v>
      </c>
      <c r="U432" s="94" t="s">
        <v>506</v>
      </c>
      <c r="V432" s="273"/>
      <c r="W432" s="218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  <c r="AP432" s="93"/>
      <c r="AQ432" s="93"/>
      <c r="AR432" s="93"/>
      <c r="AS432" s="93"/>
      <c r="AT432" s="93"/>
      <c r="AU432" s="93"/>
      <c r="AV432" s="93"/>
      <c r="AW432" s="93"/>
      <c r="AX432" s="93"/>
      <c r="AY432" s="93"/>
      <c r="AZ432" s="93"/>
      <c r="BA432" s="93"/>
      <c r="BB432" s="93"/>
      <c r="BC432" s="93"/>
      <c r="BD432" s="93"/>
      <c r="BE432" s="93"/>
      <c r="BF432" s="93"/>
      <c r="BG432" s="93"/>
      <c r="BH432" s="93"/>
    </row>
    <row r="433" spans="1:60" s="92" customFormat="1" ht="139.5">
      <c r="A433" s="233" t="s">
        <v>447</v>
      </c>
      <c r="B433" s="231">
        <v>2570</v>
      </c>
      <c r="C433" s="103" t="s">
        <v>488</v>
      </c>
      <c r="D433" s="100" t="s">
        <v>476</v>
      </c>
      <c r="E433" s="100" t="s">
        <v>475</v>
      </c>
      <c r="F433" s="100" t="s">
        <v>474</v>
      </c>
      <c r="G433" s="100" t="s">
        <v>505</v>
      </c>
      <c r="H433" s="100" t="s">
        <v>43</v>
      </c>
      <c r="I433" s="100"/>
      <c r="J433" s="96" t="s">
        <v>41</v>
      </c>
      <c r="K433" s="96" t="s">
        <v>40</v>
      </c>
      <c r="L433" s="106">
        <f t="shared" si="12"/>
        <v>247400</v>
      </c>
      <c r="M433" s="98">
        <f t="shared" si="11"/>
        <v>1</v>
      </c>
      <c r="N433" s="96"/>
      <c r="O433" s="102"/>
      <c r="P433" s="97" t="s">
        <v>472</v>
      </c>
      <c r="Q433" s="96">
        <v>1</v>
      </c>
      <c r="R433" s="96"/>
      <c r="S433" s="96" t="s">
        <v>504</v>
      </c>
      <c r="T433" s="104">
        <v>247400</v>
      </c>
      <c r="U433" s="94" t="s">
        <v>503</v>
      </c>
      <c r="V433" s="273"/>
      <c r="W433" s="218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  <c r="AP433" s="93"/>
      <c r="AQ433" s="93"/>
      <c r="AR433" s="93"/>
      <c r="AS433" s="93"/>
      <c r="AT433" s="93"/>
      <c r="AU433" s="93"/>
      <c r="AV433" s="93"/>
      <c r="AW433" s="93"/>
      <c r="AX433" s="93"/>
      <c r="AY433" s="93"/>
      <c r="AZ433" s="93"/>
      <c r="BA433" s="93"/>
      <c r="BB433" s="93"/>
      <c r="BC433" s="93"/>
      <c r="BD433" s="93"/>
      <c r="BE433" s="93"/>
      <c r="BF433" s="93"/>
      <c r="BG433" s="93"/>
      <c r="BH433" s="93"/>
    </row>
    <row r="434" spans="1:60" s="92" customFormat="1" ht="139.5">
      <c r="A434" s="233" t="s">
        <v>447</v>
      </c>
      <c r="B434" s="231">
        <v>2570</v>
      </c>
      <c r="C434" s="100" t="s">
        <v>488</v>
      </c>
      <c r="D434" s="100" t="s">
        <v>476</v>
      </c>
      <c r="E434" s="100" t="s">
        <v>475</v>
      </c>
      <c r="F434" s="100" t="s">
        <v>474</v>
      </c>
      <c r="G434" s="103" t="s">
        <v>502</v>
      </c>
      <c r="H434" s="103" t="s">
        <v>26</v>
      </c>
      <c r="I434" s="103"/>
      <c r="J434" s="96" t="s">
        <v>22</v>
      </c>
      <c r="K434" s="96" t="s">
        <v>13</v>
      </c>
      <c r="L434" s="99">
        <f t="shared" si="12"/>
        <v>35900</v>
      </c>
      <c r="M434" s="98">
        <f t="shared" ref="M434:M456" si="13">Q434+R434</f>
        <v>1</v>
      </c>
      <c r="N434" s="96"/>
      <c r="O434" s="102"/>
      <c r="P434" s="97" t="s">
        <v>472</v>
      </c>
      <c r="Q434" s="96"/>
      <c r="R434" s="96">
        <v>1</v>
      </c>
      <c r="S434" s="96"/>
      <c r="T434" s="95">
        <v>35900</v>
      </c>
      <c r="U434" s="203" t="s">
        <v>501</v>
      </c>
      <c r="V434" s="273"/>
      <c r="W434" s="218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  <c r="AR434" s="93"/>
      <c r="AS434" s="93"/>
      <c r="AT434" s="93"/>
      <c r="AU434" s="93"/>
      <c r="AV434" s="93"/>
      <c r="AW434" s="93"/>
      <c r="AX434" s="93"/>
      <c r="AY434" s="93"/>
      <c r="AZ434" s="93"/>
      <c r="BA434" s="93"/>
      <c r="BB434" s="93"/>
      <c r="BC434" s="93"/>
      <c r="BD434" s="93"/>
      <c r="BE434" s="93"/>
      <c r="BF434" s="93"/>
      <c r="BG434" s="93"/>
      <c r="BH434" s="93"/>
    </row>
    <row r="435" spans="1:60" s="92" customFormat="1" ht="139.5">
      <c r="A435" s="233" t="s">
        <v>447</v>
      </c>
      <c r="B435" s="231">
        <v>2570</v>
      </c>
      <c r="C435" s="100" t="s">
        <v>488</v>
      </c>
      <c r="D435" s="100" t="s">
        <v>476</v>
      </c>
      <c r="E435" s="100" t="s">
        <v>475</v>
      </c>
      <c r="F435" s="100" t="s">
        <v>474</v>
      </c>
      <c r="G435" s="103" t="s">
        <v>500</v>
      </c>
      <c r="H435" s="103" t="s">
        <v>26</v>
      </c>
      <c r="I435" s="103"/>
      <c r="J435" s="96" t="s">
        <v>22</v>
      </c>
      <c r="K435" s="96" t="s">
        <v>13</v>
      </c>
      <c r="L435" s="99">
        <f t="shared" si="12"/>
        <v>12900</v>
      </c>
      <c r="M435" s="98">
        <f t="shared" si="13"/>
        <v>1</v>
      </c>
      <c r="N435" s="96"/>
      <c r="O435" s="102"/>
      <c r="P435" s="97" t="s">
        <v>472</v>
      </c>
      <c r="Q435" s="96"/>
      <c r="R435" s="96">
        <v>1</v>
      </c>
      <c r="S435" s="96"/>
      <c r="T435" s="95">
        <v>12900</v>
      </c>
      <c r="U435" s="204"/>
      <c r="V435" s="273"/>
      <c r="W435" s="218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  <c r="AP435" s="93"/>
      <c r="AQ435" s="93"/>
      <c r="AR435" s="93"/>
      <c r="AS435" s="93"/>
      <c r="AT435" s="93"/>
      <c r="AU435" s="93"/>
      <c r="AV435" s="93"/>
      <c r="AW435" s="93"/>
      <c r="AX435" s="93"/>
      <c r="AY435" s="93"/>
      <c r="AZ435" s="93"/>
      <c r="BA435" s="93"/>
      <c r="BB435" s="93"/>
      <c r="BC435" s="93"/>
      <c r="BD435" s="93"/>
      <c r="BE435" s="93"/>
      <c r="BF435" s="93"/>
      <c r="BG435" s="93"/>
      <c r="BH435" s="93"/>
    </row>
    <row r="436" spans="1:60" s="92" customFormat="1" ht="139.5">
      <c r="A436" s="233" t="s">
        <v>447</v>
      </c>
      <c r="B436" s="231">
        <v>2570</v>
      </c>
      <c r="C436" s="100" t="s">
        <v>488</v>
      </c>
      <c r="D436" s="100" t="s">
        <v>476</v>
      </c>
      <c r="E436" s="100" t="s">
        <v>475</v>
      </c>
      <c r="F436" s="100" t="s">
        <v>474</v>
      </c>
      <c r="G436" s="103" t="s">
        <v>499</v>
      </c>
      <c r="H436" s="103" t="s">
        <v>26</v>
      </c>
      <c r="I436" s="103"/>
      <c r="J436" s="96" t="s">
        <v>22</v>
      </c>
      <c r="K436" s="96" t="s">
        <v>13</v>
      </c>
      <c r="L436" s="99">
        <f t="shared" si="12"/>
        <v>12800</v>
      </c>
      <c r="M436" s="98">
        <f t="shared" si="13"/>
        <v>4</v>
      </c>
      <c r="N436" s="96"/>
      <c r="O436" s="102"/>
      <c r="P436" s="97" t="s">
        <v>472</v>
      </c>
      <c r="Q436" s="96"/>
      <c r="R436" s="96">
        <v>4</v>
      </c>
      <c r="S436" s="96"/>
      <c r="T436" s="95">
        <v>3200</v>
      </c>
      <c r="U436" s="204"/>
      <c r="V436" s="273"/>
      <c r="W436" s="218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  <c r="AP436" s="93"/>
      <c r="AQ436" s="93"/>
      <c r="AR436" s="93"/>
      <c r="AS436" s="93"/>
      <c r="AT436" s="93"/>
      <c r="AU436" s="93"/>
      <c r="AV436" s="93"/>
      <c r="AW436" s="93"/>
      <c r="AX436" s="93"/>
      <c r="AY436" s="93"/>
      <c r="AZ436" s="93"/>
      <c r="BA436" s="93"/>
      <c r="BB436" s="93"/>
      <c r="BC436" s="93"/>
      <c r="BD436" s="93"/>
      <c r="BE436" s="93"/>
      <c r="BF436" s="93"/>
      <c r="BG436" s="93"/>
      <c r="BH436" s="93"/>
    </row>
    <row r="437" spans="1:60" s="92" customFormat="1" ht="139.5">
      <c r="A437" s="233" t="s">
        <v>447</v>
      </c>
      <c r="B437" s="231">
        <v>2570</v>
      </c>
      <c r="C437" s="100" t="s">
        <v>488</v>
      </c>
      <c r="D437" s="100" t="s">
        <v>476</v>
      </c>
      <c r="E437" s="100" t="s">
        <v>475</v>
      </c>
      <c r="F437" s="100" t="s">
        <v>474</v>
      </c>
      <c r="G437" s="103" t="s">
        <v>498</v>
      </c>
      <c r="H437" s="103" t="s">
        <v>26</v>
      </c>
      <c r="I437" s="103"/>
      <c r="J437" s="96" t="s">
        <v>22</v>
      </c>
      <c r="K437" s="96" t="s">
        <v>13</v>
      </c>
      <c r="L437" s="99">
        <f t="shared" si="12"/>
        <v>5980</v>
      </c>
      <c r="M437" s="98">
        <f t="shared" si="13"/>
        <v>2</v>
      </c>
      <c r="N437" s="98"/>
      <c r="O437" s="102"/>
      <c r="P437" s="97" t="s">
        <v>472</v>
      </c>
      <c r="Q437" s="98"/>
      <c r="R437" s="98">
        <v>2</v>
      </c>
      <c r="S437" s="98"/>
      <c r="T437" s="95">
        <v>2990</v>
      </c>
      <c r="U437" s="204"/>
      <c r="V437" s="273"/>
      <c r="W437" s="220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  <c r="AP437" s="93"/>
      <c r="AQ437" s="93"/>
      <c r="AR437" s="93"/>
      <c r="AS437" s="93"/>
      <c r="AT437" s="93"/>
      <c r="AU437" s="93"/>
      <c r="AV437" s="93"/>
      <c r="AW437" s="93"/>
      <c r="AX437" s="93"/>
      <c r="AY437" s="93"/>
      <c r="AZ437" s="93"/>
      <c r="BA437" s="93"/>
      <c r="BB437" s="93"/>
      <c r="BC437" s="93"/>
      <c r="BD437" s="93"/>
      <c r="BE437" s="93"/>
      <c r="BF437" s="93"/>
      <c r="BG437" s="93"/>
      <c r="BH437" s="93"/>
    </row>
    <row r="438" spans="1:60" s="92" customFormat="1" ht="139.5">
      <c r="A438" s="233" t="s">
        <v>447</v>
      </c>
      <c r="B438" s="231">
        <v>2570</v>
      </c>
      <c r="C438" s="100" t="s">
        <v>488</v>
      </c>
      <c r="D438" s="100" t="s">
        <v>476</v>
      </c>
      <c r="E438" s="100" t="s">
        <v>475</v>
      </c>
      <c r="F438" s="100" t="s">
        <v>474</v>
      </c>
      <c r="G438" s="103" t="s">
        <v>497</v>
      </c>
      <c r="H438" s="103" t="s">
        <v>26</v>
      </c>
      <c r="I438" s="103"/>
      <c r="J438" s="96" t="s">
        <v>22</v>
      </c>
      <c r="K438" s="96" t="s">
        <v>13</v>
      </c>
      <c r="L438" s="99">
        <f t="shared" si="12"/>
        <v>4700</v>
      </c>
      <c r="M438" s="98">
        <f t="shared" si="13"/>
        <v>1</v>
      </c>
      <c r="N438" s="96"/>
      <c r="O438" s="102"/>
      <c r="P438" s="97" t="s">
        <v>472</v>
      </c>
      <c r="Q438" s="96"/>
      <c r="R438" s="96">
        <v>1</v>
      </c>
      <c r="S438" s="96"/>
      <c r="T438" s="95">
        <v>4700</v>
      </c>
      <c r="U438" s="204"/>
      <c r="V438" s="273"/>
      <c r="W438" s="218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  <c r="AP438" s="93"/>
      <c r="AQ438" s="93"/>
      <c r="AR438" s="93"/>
      <c r="AS438" s="93"/>
      <c r="AT438" s="93"/>
      <c r="AU438" s="93"/>
      <c r="AV438" s="93"/>
      <c r="AW438" s="93"/>
      <c r="AX438" s="93"/>
      <c r="AY438" s="93"/>
      <c r="AZ438" s="93"/>
      <c r="BA438" s="93"/>
      <c r="BB438" s="93"/>
      <c r="BC438" s="93"/>
      <c r="BD438" s="93"/>
      <c r="BE438" s="93"/>
      <c r="BF438" s="93"/>
      <c r="BG438" s="93"/>
      <c r="BH438" s="93"/>
    </row>
    <row r="439" spans="1:60" s="92" customFormat="1" ht="139.5">
      <c r="A439" s="233" t="s">
        <v>447</v>
      </c>
      <c r="B439" s="231">
        <v>2570</v>
      </c>
      <c r="C439" s="100" t="s">
        <v>488</v>
      </c>
      <c r="D439" s="100" t="s">
        <v>476</v>
      </c>
      <c r="E439" s="100" t="s">
        <v>475</v>
      </c>
      <c r="F439" s="100" t="s">
        <v>474</v>
      </c>
      <c r="G439" s="103" t="s">
        <v>496</v>
      </c>
      <c r="H439" s="103" t="s">
        <v>26</v>
      </c>
      <c r="I439" s="103"/>
      <c r="J439" s="96" t="s">
        <v>22</v>
      </c>
      <c r="K439" s="96" t="s">
        <v>13</v>
      </c>
      <c r="L439" s="99">
        <f t="shared" si="12"/>
        <v>9900</v>
      </c>
      <c r="M439" s="98">
        <f t="shared" si="13"/>
        <v>1</v>
      </c>
      <c r="N439" s="98"/>
      <c r="O439" s="102"/>
      <c r="P439" s="97" t="s">
        <v>472</v>
      </c>
      <c r="Q439" s="98"/>
      <c r="R439" s="98">
        <v>1</v>
      </c>
      <c r="S439" s="98"/>
      <c r="T439" s="95">
        <v>9900</v>
      </c>
      <c r="U439" s="204"/>
      <c r="V439" s="273"/>
      <c r="W439" s="218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  <c r="AP439" s="93"/>
      <c r="AQ439" s="93"/>
      <c r="AR439" s="93"/>
      <c r="AS439" s="93"/>
      <c r="AT439" s="93"/>
      <c r="AU439" s="93"/>
      <c r="AV439" s="93"/>
      <c r="AW439" s="93"/>
      <c r="AX439" s="93"/>
      <c r="AY439" s="93"/>
      <c r="AZ439" s="93"/>
      <c r="BA439" s="93"/>
      <c r="BB439" s="93"/>
      <c r="BC439" s="93"/>
      <c r="BD439" s="93"/>
      <c r="BE439" s="93"/>
      <c r="BF439" s="93"/>
      <c r="BG439" s="93"/>
      <c r="BH439" s="93"/>
    </row>
    <row r="440" spans="1:60" s="92" customFormat="1" ht="139.5">
      <c r="A440" s="233" t="s">
        <v>447</v>
      </c>
      <c r="B440" s="231">
        <v>2570</v>
      </c>
      <c r="C440" s="100" t="s">
        <v>488</v>
      </c>
      <c r="D440" s="100" t="s">
        <v>476</v>
      </c>
      <c r="E440" s="100" t="s">
        <v>475</v>
      </c>
      <c r="F440" s="100" t="s">
        <v>474</v>
      </c>
      <c r="G440" s="103" t="s">
        <v>495</v>
      </c>
      <c r="H440" s="103" t="s">
        <v>26</v>
      </c>
      <c r="I440" s="103"/>
      <c r="J440" s="96" t="s">
        <v>22</v>
      </c>
      <c r="K440" s="96" t="s">
        <v>13</v>
      </c>
      <c r="L440" s="99">
        <f t="shared" si="12"/>
        <v>27900</v>
      </c>
      <c r="M440" s="98">
        <f t="shared" si="13"/>
        <v>1</v>
      </c>
      <c r="N440" s="96"/>
      <c r="O440" s="102"/>
      <c r="P440" s="97" t="s">
        <v>472</v>
      </c>
      <c r="Q440" s="96"/>
      <c r="R440" s="96">
        <v>1</v>
      </c>
      <c r="S440" s="96"/>
      <c r="T440" s="95">
        <v>27900</v>
      </c>
      <c r="U440" s="204"/>
      <c r="V440" s="273"/>
      <c r="W440" s="218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3"/>
      <c r="AR440" s="93"/>
      <c r="AS440" s="93"/>
      <c r="AT440" s="93"/>
      <c r="AU440" s="93"/>
      <c r="AV440" s="93"/>
      <c r="AW440" s="93"/>
      <c r="AX440" s="93"/>
      <c r="AY440" s="93"/>
      <c r="AZ440" s="93"/>
      <c r="BA440" s="93"/>
      <c r="BB440" s="93"/>
      <c r="BC440" s="93"/>
      <c r="BD440" s="93"/>
      <c r="BE440" s="93"/>
      <c r="BF440" s="93"/>
      <c r="BG440" s="93"/>
      <c r="BH440" s="93"/>
    </row>
    <row r="441" spans="1:60" s="92" customFormat="1" ht="139.5">
      <c r="A441" s="233" t="s">
        <v>447</v>
      </c>
      <c r="B441" s="231">
        <v>2570</v>
      </c>
      <c r="C441" s="100" t="s">
        <v>488</v>
      </c>
      <c r="D441" s="100" t="s">
        <v>476</v>
      </c>
      <c r="E441" s="100" t="s">
        <v>475</v>
      </c>
      <c r="F441" s="100" t="s">
        <v>474</v>
      </c>
      <c r="G441" s="103" t="s">
        <v>494</v>
      </c>
      <c r="H441" s="103" t="s">
        <v>26</v>
      </c>
      <c r="I441" s="103"/>
      <c r="J441" s="96" t="s">
        <v>22</v>
      </c>
      <c r="K441" s="96" t="s">
        <v>13</v>
      </c>
      <c r="L441" s="99">
        <f t="shared" si="12"/>
        <v>350</v>
      </c>
      <c r="M441" s="98">
        <f t="shared" si="13"/>
        <v>1</v>
      </c>
      <c r="N441" s="96"/>
      <c r="O441" s="102"/>
      <c r="P441" s="97" t="s">
        <v>472</v>
      </c>
      <c r="Q441" s="96"/>
      <c r="R441" s="96">
        <v>1</v>
      </c>
      <c r="S441" s="96"/>
      <c r="T441" s="95">
        <v>350</v>
      </c>
      <c r="U441" s="204"/>
      <c r="V441" s="273"/>
      <c r="W441" s="218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  <c r="AP441" s="93"/>
      <c r="AQ441" s="93"/>
      <c r="AR441" s="93"/>
      <c r="AS441" s="93"/>
      <c r="AT441" s="93"/>
      <c r="AU441" s="93"/>
      <c r="AV441" s="93"/>
      <c r="AW441" s="93"/>
      <c r="AX441" s="93"/>
      <c r="AY441" s="93"/>
      <c r="AZ441" s="93"/>
      <c r="BA441" s="93"/>
      <c r="BB441" s="93"/>
      <c r="BC441" s="93"/>
      <c r="BD441" s="93"/>
      <c r="BE441" s="93"/>
      <c r="BF441" s="93"/>
      <c r="BG441" s="93"/>
      <c r="BH441" s="93"/>
    </row>
    <row r="442" spans="1:60" s="92" customFormat="1" ht="139.5">
      <c r="A442" s="233" t="s">
        <v>447</v>
      </c>
      <c r="B442" s="231">
        <v>2570</v>
      </c>
      <c r="C442" s="100" t="s">
        <v>488</v>
      </c>
      <c r="D442" s="100" t="s">
        <v>476</v>
      </c>
      <c r="E442" s="100" t="s">
        <v>475</v>
      </c>
      <c r="F442" s="100" t="s">
        <v>474</v>
      </c>
      <c r="G442" s="103" t="s">
        <v>493</v>
      </c>
      <c r="H442" s="103" t="s">
        <v>26</v>
      </c>
      <c r="I442" s="103"/>
      <c r="J442" s="96" t="s">
        <v>22</v>
      </c>
      <c r="K442" s="96" t="s">
        <v>13</v>
      </c>
      <c r="L442" s="99">
        <f t="shared" si="12"/>
        <v>23900</v>
      </c>
      <c r="M442" s="98">
        <f t="shared" si="13"/>
        <v>1</v>
      </c>
      <c r="N442" s="96"/>
      <c r="O442" s="102"/>
      <c r="P442" s="97" t="s">
        <v>472</v>
      </c>
      <c r="Q442" s="96"/>
      <c r="R442" s="96">
        <v>1</v>
      </c>
      <c r="S442" s="96"/>
      <c r="T442" s="95">
        <v>23900</v>
      </c>
      <c r="U442" s="204"/>
      <c r="V442" s="218"/>
      <c r="W442" s="218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  <c r="AP442" s="93"/>
      <c r="AQ442" s="93"/>
      <c r="AR442" s="93"/>
      <c r="AS442" s="93"/>
      <c r="AT442" s="93"/>
      <c r="AU442" s="93"/>
      <c r="AV442" s="93"/>
      <c r="AW442" s="93"/>
      <c r="AX442" s="93"/>
      <c r="AY442" s="93"/>
      <c r="AZ442" s="93"/>
      <c r="BA442" s="93"/>
      <c r="BB442" s="93"/>
      <c r="BC442" s="93"/>
      <c r="BD442" s="93"/>
      <c r="BE442" s="93"/>
      <c r="BF442" s="93"/>
      <c r="BG442" s="93"/>
      <c r="BH442" s="93"/>
    </row>
    <row r="443" spans="1:60" s="92" customFormat="1" ht="139.5">
      <c r="A443" s="233" t="s">
        <v>447</v>
      </c>
      <c r="B443" s="231">
        <v>2570</v>
      </c>
      <c r="C443" s="100" t="s">
        <v>488</v>
      </c>
      <c r="D443" s="100" t="s">
        <v>476</v>
      </c>
      <c r="E443" s="100" t="s">
        <v>475</v>
      </c>
      <c r="F443" s="100" t="s">
        <v>474</v>
      </c>
      <c r="G443" s="103" t="s">
        <v>492</v>
      </c>
      <c r="H443" s="103" t="s">
        <v>26</v>
      </c>
      <c r="I443" s="103"/>
      <c r="J443" s="96" t="s">
        <v>22</v>
      </c>
      <c r="K443" s="96" t="s">
        <v>13</v>
      </c>
      <c r="L443" s="99">
        <f t="shared" si="12"/>
        <v>458000</v>
      </c>
      <c r="M443" s="98">
        <f t="shared" si="13"/>
        <v>20</v>
      </c>
      <c r="N443" s="96"/>
      <c r="O443" s="102"/>
      <c r="P443" s="97" t="s">
        <v>472</v>
      </c>
      <c r="Q443" s="96"/>
      <c r="R443" s="96">
        <v>20</v>
      </c>
      <c r="S443" s="96"/>
      <c r="T443" s="104">
        <v>22900</v>
      </c>
      <c r="U443" s="204"/>
      <c r="V443" s="218"/>
      <c r="W443" s="218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3"/>
      <c r="AR443" s="93"/>
      <c r="AS443" s="93"/>
      <c r="AT443" s="93"/>
      <c r="AU443" s="93"/>
      <c r="AV443" s="93"/>
      <c r="AW443" s="93"/>
      <c r="AX443" s="93"/>
      <c r="AY443" s="93"/>
      <c r="AZ443" s="93"/>
      <c r="BA443" s="93"/>
      <c r="BB443" s="93"/>
      <c r="BC443" s="93"/>
      <c r="BD443" s="93"/>
      <c r="BE443" s="93"/>
      <c r="BF443" s="93"/>
      <c r="BG443" s="93"/>
      <c r="BH443" s="93"/>
    </row>
    <row r="444" spans="1:60" s="92" customFormat="1" ht="139.5">
      <c r="A444" s="233" t="s">
        <v>447</v>
      </c>
      <c r="B444" s="231">
        <v>2570</v>
      </c>
      <c r="C444" s="100" t="s">
        <v>488</v>
      </c>
      <c r="D444" s="100" t="s">
        <v>476</v>
      </c>
      <c r="E444" s="100" t="s">
        <v>475</v>
      </c>
      <c r="F444" s="100" t="s">
        <v>474</v>
      </c>
      <c r="G444" s="103" t="s">
        <v>491</v>
      </c>
      <c r="H444" s="103" t="s">
        <v>26</v>
      </c>
      <c r="I444" s="103"/>
      <c r="J444" s="96" t="s">
        <v>22</v>
      </c>
      <c r="K444" s="96" t="s">
        <v>13</v>
      </c>
      <c r="L444" s="99">
        <f t="shared" si="12"/>
        <v>99900</v>
      </c>
      <c r="M444" s="98">
        <f t="shared" si="13"/>
        <v>1</v>
      </c>
      <c r="N444" s="98"/>
      <c r="O444" s="102"/>
      <c r="P444" s="97" t="s">
        <v>472</v>
      </c>
      <c r="Q444" s="98"/>
      <c r="R444" s="98">
        <v>1</v>
      </c>
      <c r="S444" s="98"/>
      <c r="T444" s="95">
        <v>99900</v>
      </c>
      <c r="U444" s="204"/>
      <c r="V444" s="218"/>
      <c r="W444" s="218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  <c r="AP444" s="93"/>
      <c r="AQ444" s="93"/>
      <c r="AR444" s="93"/>
      <c r="AS444" s="93"/>
      <c r="AT444" s="93"/>
      <c r="AU444" s="93"/>
      <c r="AV444" s="93"/>
      <c r="AW444" s="93"/>
      <c r="AX444" s="93"/>
      <c r="AY444" s="93"/>
      <c r="AZ444" s="93"/>
      <c r="BA444" s="93"/>
      <c r="BB444" s="93"/>
      <c r="BC444" s="93"/>
      <c r="BD444" s="93"/>
      <c r="BE444" s="93"/>
      <c r="BF444" s="93"/>
      <c r="BG444" s="93"/>
      <c r="BH444" s="93"/>
    </row>
    <row r="445" spans="1:60" s="92" customFormat="1" ht="139.5">
      <c r="A445" s="233" t="s">
        <v>447</v>
      </c>
      <c r="B445" s="231">
        <v>2570</v>
      </c>
      <c r="C445" s="100" t="s">
        <v>488</v>
      </c>
      <c r="D445" s="100" t="s">
        <v>476</v>
      </c>
      <c r="E445" s="100" t="s">
        <v>475</v>
      </c>
      <c r="F445" s="100" t="s">
        <v>474</v>
      </c>
      <c r="G445" s="103" t="s">
        <v>490</v>
      </c>
      <c r="H445" s="103" t="s">
        <v>26</v>
      </c>
      <c r="I445" s="103"/>
      <c r="J445" s="96" t="s">
        <v>22</v>
      </c>
      <c r="K445" s="96" t="s">
        <v>13</v>
      </c>
      <c r="L445" s="99">
        <f t="shared" si="12"/>
        <v>24000</v>
      </c>
      <c r="M445" s="98">
        <f t="shared" si="13"/>
        <v>1</v>
      </c>
      <c r="N445" s="98"/>
      <c r="O445" s="102"/>
      <c r="P445" s="97" t="s">
        <v>472</v>
      </c>
      <c r="Q445" s="98"/>
      <c r="R445" s="98">
        <v>1</v>
      </c>
      <c r="S445" s="98"/>
      <c r="T445" s="95">
        <v>24000</v>
      </c>
      <c r="U445" s="204"/>
      <c r="V445" s="218"/>
      <c r="W445" s="218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3"/>
      <c r="AR445" s="93"/>
      <c r="AS445" s="93"/>
      <c r="AT445" s="93"/>
      <c r="AU445" s="93"/>
      <c r="AV445" s="93"/>
      <c r="AW445" s="93"/>
      <c r="AX445" s="93"/>
      <c r="AY445" s="93"/>
      <c r="AZ445" s="93"/>
      <c r="BA445" s="93"/>
      <c r="BB445" s="93"/>
      <c r="BC445" s="93"/>
      <c r="BD445" s="93"/>
      <c r="BE445" s="93"/>
      <c r="BF445" s="93"/>
      <c r="BG445" s="93"/>
      <c r="BH445" s="93"/>
    </row>
    <row r="446" spans="1:60" s="92" customFormat="1" ht="139.5">
      <c r="A446" s="233" t="s">
        <v>447</v>
      </c>
      <c r="B446" s="231">
        <v>2570</v>
      </c>
      <c r="C446" s="100" t="s">
        <v>488</v>
      </c>
      <c r="D446" s="100" t="s">
        <v>476</v>
      </c>
      <c r="E446" s="100" t="s">
        <v>475</v>
      </c>
      <c r="F446" s="100" t="s">
        <v>474</v>
      </c>
      <c r="G446" s="103" t="s">
        <v>489</v>
      </c>
      <c r="H446" s="103" t="s">
        <v>26</v>
      </c>
      <c r="I446" s="103"/>
      <c r="J446" s="96" t="s">
        <v>22</v>
      </c>
      <c r="K446" s="96" t="s">
        <v>13</v>
      </c>
      <c r="L446" s="99">
        <f t="shared" si="12"/>
        <v>20930</v>
      </c>
      <c r="M446" s="98">
        <f t="shared" si="13"/>
        <v>7</v>
      </c>
      <c r="N446" s="98"/>
      <c r="O446" s="102"/>
      <c r="P446" s="97" t="s">
        <v>472</v>
      </c>
      <c r="Q446" s="98"/>
      <c r="R446" s="98">
        <v>7</v>
      </c>
      <c r="S446" s="98"/>
      <c r="T446" s="95">
        <v>2990</v>
      </c>
      <c r="U446" s="204"/>
      <c r="V446" s="218"/>
      <c r="W446" s="218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3"/>
      <c r="AR446" s="93"/>
      <c r="AS446" s="93"/>
      <c r="AT446" s="93"/>
      <c r="AU446" s="93"/>
      <c r="AV446" s="93"/>
      <c r="AW446" s="93"/>
      <c r="AX446" s="93"/>
      <c r="AY446" s="93"/>
      <c r="AZ446" s="93"/>
      <c r="BA446" s="93"/>
      <c r="BB446" s="93"/>
      <c r="BC446" s="93"/>
      <c r="BD446" s="93"/>
      <c r="BE446" s="93"/>
      <c r="BF446" s="93"/>
      <c r="BG446" s="93"/>
      <c r="BH446" s="93"/>
    </row>
    <row r="447" spans="1:60" s="92" customFormat="1" ht="139.5">
      <c r="A447" s="233" t="s">
        <v>447</v>
      </c>
      <c r="B447" s="231">
        <v>2570</v>
      </c>
      <c r="C447" s="100" t="s">
        <v>488</v>
      </c>
      <c r="D447" s="100" t="s">
        <v>476</v>
      </c>
      <c r="E447" s="100" t="s">
        <v>475</v>
      </c>
      <c r="F447" s="100" t="s">
        <v>474</v>
      </c>
      <c r="G447" s="103" t="s">
        <v>487</v>
      </c>
      <c r="H447" s="103" t="s">
        <v>26</v>
      </c>
      <c r="I447" s="103"/>
      <c r="J447" s="96" t="s">
        <v>22</v>
      </c>
      <c r="K447" s="96" t="s">
        <v>13</v>
      </c>
      <c r="L447" s="99">
        <f t="shared" si="12"/>
        <v>11340</v>
      </c>
      <c r="M447" s="98">
        <f t="shared" si="13"/>
        <v>6</v>
      </c>
      <c r="N447" s="98"/>
      <c r="O447" s="102"/>
      <c r="P447" s="97" t="s">
        <v>472</v>
      </c>
      <c r="Q447" s="98"/>
      <c r="R447" s="98">
        <v>6</v>
      </c>
      <c r="S447" s="98"/>
      <c r="T447" s="95">
        <v>1890</v>
      </c>
      <c r="U447" s="204"/>
      <c r="V447" s="218"/>
      <c r="W447" s="218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  <c r="AP447" s="93"/>
      <c r="AQ447" s="93"/>
      <c r="AR447" s="93"/>
      <c r="AS447" s="93"/>
      <c r="AT447" s="93"/>
      <c r="AU447" s="93"/>
      <c r="AV447" s="93"/>
      <c r="AW447" s="93"/>
      <c r="AX447" s="93"/>
      <c r="AY447" s="93"/>
      <c r="AZ447" s="93"/>
      <c r="BA447" s="93"/>
      <c r="BB447" s="93"/>
      <c r="BC447" s="93"/>
      <c r="BD447" s="93"/>
      <c r="BE447" s="93"/>
      <c r="BF447" s="93"/>
      <c r="BG447" s="93"/>
      <c r="BH447" s="93"/>
    </row>
    <row r="448" spans="1:60" s="92" customFormat="1" ht="139.5">
      <c r="A448" s="233" t="s">
        <v>447</v>
      </c>
      <c r="B448" s="231">
        <v>2570</v>
      </c>
      <c r="C448" s="100" t="s">
        <v>477</v>
      </c>
      <c r="D448" s="100" t="s">
        <v>476</v>
      </c>
      <c r="E448" s="100" t="s">
        <v>475</v>
      </c>
      <c r="F448" s="100" t="s">
        <v>474</v>
      </c>
      <c r="G448" s="103" t="s">
        <v>486</v>
      </c>
      <c r="H448" s="103" t="s">
        <v>26</v>
      </c>
      <c r="I448" s="103"/>
      <c r="J448" s="96" t="s">
        <v>22</v>
      </c>
      <c r="K448" s="96" t="s">
        <v>13</v>
      </c>
      <c r="L448" s="99">
        <f t="shared" si="12"/>
        <v>43800</v>
      </c>
      <c r="M448" s="98">
        <f t="shared" si="13"/>
        <v>2</v>
      </c>
      <c r="N448" s="96"/>
      <c r="O448" s="102"/>
      <c r="P448" s="97" t="s">
        <v>472</v>
      </c>
      <c r="Q448" s="96"/>
      <c r="R448" s="96">
        <v>2</v>
      </c>
      <c r="S448" s="96"/>
      <c r="T448" s="95">
        <v>21900</v>
      </c>
      <c r="U448" s="204"/>
      <c r="V448" s="218"/>
      <c r="W448" s="218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  <c r="AP448" s="93"/>
      <c r="AQ448" s="93"/>
      <c r="AR448" s="93"/>
      <c r="AS448" s="93"/>
      <c r="AT448" s="93"/>
      <c r="AU448" s="93"/>
      <c r="AV448" s="93"/>
      <c r="AW448" s="93"/>
      <c r="AX448" s="93"/>
      <c r="AY448" s="93"/>
      <c r="AZ448" s="93"/>
      <c r="BA448" s="93"/>
      <c r="BB448" s="93"/>
      <c r="BC448" s="93"/>
      <c r="BD448" s="93"/>
      <c r="BE448" s="93"/>
      <c r="BF448" s="93"/>
      <c r="BG448" s="93"/>
      <c r="BH448" s="93"/>
    </row>
    <row r="449" spans="1:60" s="92" customFormat="1" ht="139.5">
      <c r="A449" s="233" t="s">
        <v>447</v>
      </c>
      <c r="B449" s="231">
        <v>2570</v>
      </c>
      <c r="C449" s="100" t="s">
        <v>477</v>
      </c>
      <c r="D449" s="100" t="s">
        <v>476</v>
      </c>
      <c r="E449" s="100" t="s">
        <v>475</v>
      </c>
      <c r="F449" s="100" t="s">
        <v>474</v>
      </c>
      <c r="G449" s="103" t="s">
        <v>485</v>
      </c>
      <c r="H449" s="103" t="s">
        <v>26</v>
      </c>
      <c r="I449" s="103"/>
      <c r="J449" s="96" t="s">
        <v>22</v>
      </c>
      <c r="K449" s="96" t="s">
        <v>13</v>
      </c>
      <c r="L449" s="99">
        <f t="shared" si="12"/>
        <v>20000</v>
      </c>
      <c r="M449" s="98">
        <f t="shared" si="13"/>
        <v>2</v>
      </c>
      <c r="N449" s="98"/>
      <c r="O449" s="102"/>
      <c r="P449" s="97" t="s">
        <v>472</v>
      </c>
      <c r="Q449" s="98"/>
      <c r="R449" s="98">
        <v>2</v>
      </c>
      <c r="S449" s="98"/>
      <c r="T449" s="95">
        <v>10000</v>
      </c>
      <c r="U449" s="204"/>
      <c r="V449" s="218"/>
      <c r="W449" s="218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  <c r="AP449" s="93"/>
      <c r="AQ449" s="93"/>
      <c r="AR449" s="93"/>
      <c r="AS449" s="93"/>
      <c r="AT449" s="93"/>
      <c r="AU449" s="93"/>
      <c r="AV449" s="93"/>
      <c r="AW449" s="93"/>
      <c r="AX449" s="93"/>
      <c r="AY449" s="93"/>
      <c r="AZ449" s="93"/>
      <c r="BA449" s="93"/>
      <c r="BB449" s="93"/>
      <c r="BC449" s="93"/>
      <c r="BD449" s="93"/>
      <c r="BE449" s="93"/>
      <c r="BF449" s="93"/>
      <c r="BG449" s="93"/>
      <c r="BH449" s="93"/>
    </row>
    <row r="450" spans="1:60" s="92" customFormat="1" ht="139.5">
      <c r="A450" s="233" t="s">
        <v>447</v>
      </c>
      <c r="B450" s="231">
        <v>2570</v>
      </c>
      <c r="C450" s="100" t="s">
        <v>479</v>
      </c>
      <c r="D450" s="100" t="s">
        <v>476</v>
      </c>
      <c r="E450" s="100" t="s">
        <v>475</v>
      </c>
      <c r="F450" s="100" t="s">
        <v>474</v>
      </c>
      <c r="G450" s="103" t="s">
        <v>484</v>
      </c>
      <c r="H450" s="103" t="s">
        <v>26</v>
      </c>
      <c r="I450" s="103"/>
      <c r="J450" s="96" t="s">
        <v>22</v>
      </c>
      <c r="K450" s="96" t="s">
        <v>13</v>
      </c>
      <c r="L450" s="99">
        <f t="shared" si="12"/>
        <v>26900</v>
      </c>
      <c r="M450" s="98">
        <f t="shared" si="13"/>
        <v>1</v>
      </c>
      <c r="N450" s="96"/>
      <c r="O450" s="102"/>
      <c r="P450" s="97" t="s">
        <v>472</v>
      </c>
      <c r="Q450" s="96"/>
      <c r="R450" s="96">
        <v>1</v>
      </c>
      <c r="S450" s="96"/>
      <c r="T450" s="95">
        <v>26900</v>
      </c>
      <c r="U450" s="204"/>
      <c r="V450" s="218"/>
      <c r="W450" s="218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  <c r="AP450" s="93"/>
      <c r="AQ450" s="93"/>
      <c r="AR450" s="93"/>
      <c r="AS450" s="93"/>
      <c r="AT450" s="93"/>
      <c r="AU450" s="93"/>
      <c r="AV450" s="93"/>
      <c r="AW450" s="93"/>
      <c r="AX450" s="93"/>
      <c r="AY450" s="93"/>
      <c r="AZ450" s="93"/>
      <c r="BA450" s="93"/>
      <c r="BB450" s="93"/>
      <c r="BC450" s="93"/>
      <c r="BD450" s="93"/>
      <c r="BE450" s="93"/>
      <c r="BF450" s="93"/>
      <c r="BG450" s="93"/>
      <c r="BH450" s="93"/>
    </row>
    <row r="451" spans="1:60" s="92" customFormat="1" ht="139.5">
      <c r="A451" s="233" t="s">
        <v>447</v>
      </c>
      <c r="B451" s="231">
        <v>2570</v>
      </c>
      <c r="C451" s="100" t="s">
        <v>479</v>
      </c>
      <c r="D451" s="100" t="s">
        <v>476</v>
      </c>
      <c r="E451" s="100" t="s">
        <v>475</v>
      </c>
      <c r="F451" s="100" t="s">
        <v>474</v>
      </c>
      <c r="G451" s="103" t="s">
        <v>483</v>
      </c>
      <c r="H451" s="103" t="s">
        <v>26</v>
      </c>
      <c r="I451" s="103"/>
      <c r="J451" s="96" t="s">
        <v>22</v>
      </c>
      <c r="K451" s="96" t="s">
        <v>13</v>
      </c>
      <c r="L451" s="99">
        <f t="shared" si="12"/>
        <v>43890</v>
      </c>
      <c r="M451" s="98">
        <f t="shared" si="13"/>
        <v>11</v>
      </c>
      <c r="N451" s="98"/>
      <c r="O451" s="102"/>
      <c r="P451" s="97" t="s">
        <v>472</v>
      </c>
      <c r="Q451" s="98"/>
      <c r="R451" s="98">
        <v>11</v>
      </c>
      <c r="S451" s="98"/>
      <c r="T451" s="95">
        <v>3990</v>
      </c>
      <c r="U451" s="204"/>
      <c r="V451" s="218"/>
      <c r="W451" s="218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  <c r="AP451" s="93"/>
      <c r="AQ451" s="93"/>
      <c r="AR451" s="93"/>
      <c r="AS451" s="93"/>
      <c r="AT451" s="93"/>
      <c r="AU451" s="93"/>
      <c r="AV451" s="93"/>
      <c r="AW451" s="93"/>
      <c r="AX451" s="93"/>
      <c r="AY451" s="93"/>
      <c r="AZ451" s="93"/>
      <c r="BA451" s="93"/>
      <c r="BB451" s="93"/>
      <c r="BC451" s="93"/>
      <c r="BD451" s="93"/>
      <c r="BE451" s="93"/>
      <c r="BF451" s="93"/>
      <c r="BG451" s="93"/>
      <c r="BH451" s="93"/>
    </row>
    <row r="452" spans="1:60" s="92" customFormat="1" ht="139.5">
      <c r="A452" s="233" t="s">
        <v>447</v>
      </c>
      <c r="B452" s="231">
        <v>2570</v>
      </c>
      <c r="C452" s="100" t="s">
        <v>479</v>
      </c>
      <c r="D452" s="100" t="s">
        <v>476</v>
      </c>
      <c r="E452" s="100" t="s">
        <v>475</v>
      </c>
      <c r="F452" s="100" t="s">
        <v>474</v>
      </c>
      <c r="G452" s="103" t="s">
        <v>482</v>
      </c>
      <c r="H452" s="103" t="s">
        <v>26</v>
      </c>
      <c r="I452" s="103"/>
      <c r="J452" s="96" t="s">
        <v>22</v>
      </c>
      <c r="K452" s="96" t="s">
        <v>13</v>
      </c>
      <c r="L452" s="99">
        <f t="shared" si="12"/>
        <v>18590</v>
      </c>
      <c r="M452" s="98">
        <f t="shared" si="13"/>
        <v>11</v>
      </c>
      <c r="N452" s="96"/>
      <c r="O452" s="102"/>
      <c r="P452" s="97" t="s">
        <v>472</v>
      </c>
      <c r="Q452" s="96"/>
      <c r="R452" s="96">
        <v>11</v>
      </c>
      <c r="S452" s="96"/>
      <c r="T452" s="95">
        <v>1690</v>
      </c>
      <c r="U452" s="204"/>
      <c r="V452" s="218"/>
      <c r="W452" s="218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  <c r="AP452" s="93"/>
      <c r="AQ452" s="93"/>
      <c r="AR452" s="93"/>
      <c r="AS452" s="93"/>
      <c r="AT452" s="93"/>
      <c r="AU452" s="93"/>
      <c r="AV452" s="93"/>
      <c r="AW452" s="93"/>
      <c r="AX452" s="93"/>
      <c r="AY452" s="93"/>
      <c r="AZ452" s="93"/>
      <c r="BA452" s="93"/>
      <c r="BB452" s="93"/>
      <c r="BC452" s="93"/>
      <c r="BD452" s="93"/>
      <c r="BE452" s="93"/>
      <c r="BF452" s="93"/>
      <c r="BG452" s="93"/>
      <c r="BH452" s="93"/>
    </row>
    <row r="453" spans="1:60" s="92" customFormat="1" ht="139.5">
      <c r="A453" s="233" t="s">
        <v>447</v>
      </c>
      <c r="B453" s="231">
        <v>2570</v>
      </c>
      <c r="C453" s="100" t="s">
        <v>479</v>
      </c>
      <c r="D453" s="100" t="s">
        <v>476</v>
      </c>
      <c r="E453" s="100" t="s">
        <v>475</v>
      </c>
      <c r="F453" s="100" t="s">
        <v>474</v>
      </c>
      <c r="G453" s="103" t="s">
        <v>481</v>
      </c>
      <c r="H453" s="103" t="s">
        <v>26</v>
      </c>
      <c r="I453" s="103"/>
      <c r="J453" s="96" t="s">
        <v>22</v>
      </c>
      <c r="K453" s="96" t="s">
        <v>13</v>
      </c>
      <c r="L453" s="99">
        <f t="shared" si="12"/>
        <v>36000</v>
      </c>
      <c r="M453" s="98">
        <f t="shared" si="13"/>
        <v>1</v>
      </c>
      <c r="N453" s="96"/>
      <c r="O453" s="102"/>
      <c r="P453" s="97" t="s">
        <v>472</v>
      </c>
      <c r="Q453" s="96"/>
      <c r="R453" s="96">
        <v>1</v>
      </c>
      <c r="S453" s="96"/>
      <c r="T453" s="95">
        <v>36000</v>
      </c>
      <c r="U453" s="204"/>
      <c r="V453" s="218"/>
      <c r="W453" s="218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  <c r="AP453" s="93"/>
      <c r="AQ453" s="93"/>
      <c r="AR453" s="93"/>
      <c r="AS453" s="93"/>
      <c r="AT453" s="93"/>
      <c r="AU453" s="93"/>
      <c r="AV453" s="93"/>
      <c r="AW453" s="93"/>
      <c r="AX453" s="93"/>
      <c r="AY453" s="93"/>
      <c r="AZ453" s="93"/>
      <c r="BA453" s="93"/>
      <c r="BB453" s="93"/>
      <c r="BC453" s="93"/>
      <c r="BD453" s="93"/>
      <c r="BE453" s="93"/>
      <c r="BF453" s="93"/>
      <c r="BG453" s="93"/>
      <c r="BH453" s="93"/>
    </row>
    <row r="454" spans="1:60" s="92" customFormat="1" ht="139.5">
      <c r="A454" s="233" t="s">
        <v>447</v>
      </c>
      <c r="B454" s="231">
        <v>2570</v>
      </c>
      <c r="C454" s="100" t="s">
        <v>479</v>
      </c>
      <c r="D454" s="100" t="s">
        <v>476</v>
      </c>
      <c r="E454" s="100" t="s">
        <v>475</v>
      </c>
      <c r="F454" s="100" t="s">
        <v>474</v>
      </c>
      <c r="G454" s="103" t="s">
        <v>480</v>
      </c>
      <c r="H454" s="103" t="s">
        <v>26</v>
      </c>
      <c r="I454" s="103"/>
      <c r="J454" s="96" t="s">
        <v>22</v>
      </c>
      <c r="K454" s="96" t="s">
        <v>13</v>
      </c>
      <c r="L454" s="99">
        <f t="shared" ref="L454:L456" si="14">T454*M454</f>
        <v>35900</v>
      </c>
      <c r="M454" s="98">
        <f t="shared" si="13"/>
        <v>1</v>
      </c>
      <c r="N454" s="96"/>
      <c r="O454" s="102"/>
      <c r="P454" s="97" t="s">
        <v>472</v>
      </c>
      <c r="Q454" s="96"/>
      <c r="R454" s="96">
        <v>1</v>
      </c>
      <c r="S454" s="96"/>
      <c r="T454" s="95">
        <v>35900</v>
      </c>
      <c r="U454" s="204"/>
      <c r="V454" s="218"/>
      <c r="W454" s="218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  <c r="AP454" s="93"/>
      <c r="AQ454" s="93"/>
      <c r="AR454" s="93"/>
      <c r="AS454" s="93"/>
      <c r="AT454" s="93"/>
      <c r="AU454" s="93"/>
      <c r="AV454" s="93"/>
      <c r="AW454" s="93"/>
      <c r="AX454" s="93"/>
      <c r="AY454" s="93"/>
      <c r="AZ454" s="93"/>
      <c r="BA454" s="93"/>
      <c r="BB454" s="93"/>
      <c r="BC454" s="93"/>
      <c r="BD454" s="93"/>
      <c r="BE454" s="93"/>
      <c r="BF454" s="93"/>
      <c r="BG454" s="93"/>
      <c r="BH454" s="93"/>
    </row>
    <row r="455" spans="1:60" s="214" customFormat="1" ht="139.5">
      <c r="A455" s="233" t="s">
        <v>447</v>
      </c>
      <c r="B455" s="231">
        <v>2570</v>
      </c>
      <c r="C455" s="100" t="s">
        <v>479</v>
      </c>
      <c r="D455" s="100" t="s">
        <v>476</v>
      </c>
      <c r="E455" s="100" t="s">
        <v>475</v>
      </c>
      <c r="F455" s="100" t="s">
        <v>474</v>
      </c>
      <c r="G455" s="103" t="s">
        <v>478</v>
      </c>
      <c r="H455" s="103" t="s">
        <v>26</v>
      </c>
      <c r="I455" s="103"/>
      <c r="J455" s="96" t="s">
        <v>22</v>
      </c>
      <c r="K455" s="96" t="s">
        <v>13</v>
      </c>
      <c r="L455" s="99">
        <f t="shared" si="14"/>
        <v>2900</v>
      </c>
      <c r="M455" s="98">
        <f t="shared" si="13"/>
        <v>1</v>
      </c>
      <c r="N455" s="96"/>
      <c r="O455" s="102"/>
      <c r="P455" s="97" t="s">
        <v>472</v>
      </c>
      <c r="Q455" s="96"/>
      <c r="R455" s="96">
        <v>1</v>
      </c>
      <c r="S455" s="96"/>
      <c r="T455" s="95">
        <v>2900</v>
      </c>
      <c r="U455" s="205"/>
      <c r="V455" s="218"/>
      <c r="W455" s="218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  <c r="AP455" s="93"/>
      <c r="AQ455" s="93"/>
      <c r="AR455" s="93"/>
      <c r="AS455" s="93"/>
      <c r="AT455" s="93"/>
      <c r="AU455" s="93"/>
      <c r="AV455" s="93"/>
      <c r="AW455" s="93"/>
      <c r="AX455" s="93"/>
      <c r="AY455" s="93"/>
      <c r="AZ455" s="93"/>
      <c r="BA455" s="93"/>
      <c r="BB455" s="93"/>
      <c r="BC455" s="93"/>
      <c r="BD455" s="93"/>
      <c r="BE455" s="93"/>
      <c r="BF455" s="93"/>
      <c r="BG455" s="93"/>
      <c r="BH455" s="93"/>
    </row>
    <row r="456" spans="1:60" s="215" customFormat="1" ht="139.5">
      <c r="A456" s="236" t="s">
        <v>447</v>
      </c>
      <c r="B456" s="231">
        <v>2570</v>
      </c>
      <c r="C456" s="209" t="s">
        <v>477</v>
      </c>
      <c r="D456" s="209" t="s">
        <v>476</v>
      </c>
      <c r="E456" s="209" t="s">
        <v>475</v>
      </c>
      <c r="F456" s="209" t="s">
        <v>474</v>
      </c>
      <c r="G456" s="209" t="s">
        <v>473</v>
      </c>
      <c r="H456" s="209" t="s">
        <v>174</v>
      </c>
      <c r="I456" s="209"/>
      <c r="J456" s="206" t="s">
        <v>172</v>
      </c>
      <c r="K456" s="206" t="s">
        <v>149</v>
      </c>
      <c r="L456" s="210">
        <f t="shared" si="14"/>
        <v>48600</v>
      </c>
      <c r="M456" s="211">
        <f t="shared" si="13"/>
        <v>1</v>
      </c>
      <c r="N456" s="206"/>
      <c r="O456" s="212" t="s">
        <v>472</v>
      </c>
      <c r="P456" s="212"/>
      <c r="Q456" s="206">
        <v>1</v>
      </c>
      <c r="R456" s="206"/>
      <c r="S456" s="206" t="s">
        <v>471</v>
      </c>
      <c r="T456" s="213">
        <v>48600</v>
      </c>
      <c r="U456" s="203" t="s">
        <v>470</v>
      </c>
      <c r="V456" s="221"/>
      <c r="W456" s="221"/>
    </row>
    <row r="457" spans="1:60">
      <c r="A457" s="238"/>
      <c r="B457" s="231"/>
      <c r="C457" s="225"/>
      <c r="D457" s="225"/>
      <c r="E457" s="225"/>
      <c r="F457" s="225"/>
      <c r="G457" s="226"/>
      <c r="H457" s="226"/>
      <c r="I457" s="226"/>
      <c r="J457" s="227"/>
      <c r="K457" s="227" t="s">
        <v>469</v>
      </c>
      <c r="L457" s="228">
        <f t="shared" ref="L457:T457" si="15">SUBTOTAL(9,L3:L456)</f>
        <v>189919255</v>
      </c>
      <c r="M457" s="228">
        <f t="shared" si="15"/>
        <v>5457</v>
      </c>
      <c r="N457" s="228">
        <f t="shared" si="15"/>
        <v>0</v>
      </c>
      <c r="O457" s="228">
        <f t="shared" si="15"/>
        <v>0</v>
      </c>
      <c r="P457" s="228">
        <f t="shared" si="15"/>
        <v>0</v>
      </c>
      <c r="Q457" s="228">
        <f t="shared" si="15"/>
        <v>3353</v>
      </c>
      <c r="R457" s="228">
        <f t="shared" si="15"/>
        <v>2102</v>
      </c>
      <c r="S457" s="228">
        <f t="shared" si="15"/>
        <v>0</v>
      </c>
      <c r="T457" s="228">
        <f t="shared" si="15"/>
        <v>121869471</v>
      </c>
      <c r="U457" s="229"/>
    </row>
    <row r="458" spans="1:60" ht="23.25">
      <c r="A458" s="236"/>
      <c r="B458" s="236"/>
      <c r="C458" s="260"/>
      <c r="D458" s="260"/>
      <c r="E458" s="260"/>
      <c r="F458" s="260"/>
      <c r="G458" s="264"/>
      <c r="H458" s="264"/>
      <c r="I458" s="264"/>
      <c r="J458" s="261"/>
      <c r="K458" s="261"/>
      <c r="L458" s="210"/>
      <c r="M458" s="262"/>
      <c r="N458" s="261"/>
      <c r="O458" s="265"/>
      <c r="P458" s="263"/>
      <c r="Q458" s="267"/>
      <c r="R458" s="261"/>
      <c r="S458" s="261"/>
      <c r="T458" s="213"/>
      <c r="U458" s="266"/>
    </row>
    <row r="460" spans="1:60">
      <c r="Q460" s="257"/>
    </row>
  </sheetData>
  <dataConsolidate/>
  <mergeCells count="2">
    <mergeCell ref="V427:V436"/>
    <mergeCell ref="V437:V441"/>
  </mergeCells>
  <phoneticPr fontId="24" type="noConversion"/>
  <printOptions horizontalCentered="1"/>
  <pageMargins left="0" right="0" top="0.55118110236220474" bottom="0.35433070866141736" header="0.31496062992125984" footer="0.31496062992125984"/>
  <pageSetup paperSize="9" scale="40" orientation="landscape" r:id="rId1"/>
  <headerFooter>
    <oddHeader>&amp;Cหน้าที่ &amp;N</oddHeader>
  </headerFooter>
  <legacy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C0BDB-3BD0-45DD-968A-23C2C00F2B32}">
  <sheetPr filterMode="1"/>
  <dimension ref="A1:L631"/>
  <sheetViews>
    <sheetView zoomScale="130" zoomScaleNormal="130" workbookViewId="0">
      <pane ySplit="1" topLeftCell="A177" activePane="bottomLeft" state="frozen"/>
      <selection pane="bottomLeft" activeCell="H177" sqref="H177"/>
    </sheetView>
  </sheetViews>
  <sheetFormatPr defaultRowHeight="15"/>
  <cols>
    <col min="1" max="1" width="9.140625" style="240"/>
    <col min="2" max="2" width="5" style="240" bestFit="1" customWidth="1"/>
    <col min="3" max="3" width="8.28515625" style="240" bestFit="1" customWidth="1"/>
    <col min="4" max="4" width="12.28515625" style="240" customWidth="1"/>
    <col min="5" max="5" width="11.85546875" style="240" customWidth="1"/>
    <col min="6" max="6" width="14.7109375" style="240" customWidth="1"/>
    <col min="7" max="7" width="15.7109375" style="240" customWidth="1"/>
    <col min="8" max="10" width="11.140625" style="240" customWidth="1"/>
    <col min="11" max="11" width="15.28515625" style="240" customWidth="1"/>
    <col min="12" max="12" width="22.7109375" style="240" bestFit="1" customWidth="1"/>
    <col min="13" max="16384" width="9.140625" style="240"/>
  </cols>
  <sheetData>
    <row r="1" spans="1:12">
      <c r="A1" s="239" t="s">
        <v>1304</v>
      </c>
      <c r="B1" s="239" t="s">
        <v>1305</v>
      </c>
      <c r="C1" s="239" t="s">
        <v>1306</v>
      </c>
      <c r="D1" s="239" t="s">
        <v>1276</v>
      </c>
      <c r="E1" s="239" t="s">
        <v>4</v>
      </c>
      <c r="F1" s="239" t="s">
        <v>1307</v>
      </c>
      <c r="G1" s="239" t="s">
        <v>2</v>
      </c>
      <c r="H1" s="239" t="s">
        <v>1945</v>
      </c>
      <c r="I1" s="239" t="s">
        <v>1944</v>
      </c>
      <c r="J1" s="239" t="s">
        <v>1943</v>
      </c>
      <c r="K1" s="239" t="s">
        <v>7</v>
      </c>
      <c r="L1" s="239" t="s">
        <v>1532</v>
      </c>
    </row>
    <row r="2" spans="1:12" hidden="1">
      <c r="A2" s="241" t="s">
        <v>1308</v>
      </c>
      <c r="B2" s="241">
        <f>[1]!Table2[[#This Row],[ปีงบประมาณ]]</f>
        <v>2567</v>
      </c>
      <c r="C2" s="241" t="s">
        <v>447</v>
      </c>
      <c r="D2" s="241" t="str">
        <f>[1]!Table2[[#This Row],[หมวดครุภัณฑ์]]</f>
        <v>ยานพาหนะและขนส่ง</v>
      </c>
      <c r="E2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สำนักงานส่งเสริมและสนับสนุนวิชาการ 9  ตำบลช้างเผือก อำเภอเมืองเชียงใหม่ จังหวัดเชียงใหม่</v>
      </c>
      <c r="F2" s="241" t="str">
        <f>[1]!Table2[[#This Row],[หน่วยงานที่ขอ]]</f>
        <v>สสว.9</v>
      </c>
      <c r="G2" s="241" t="str">
        <f>[1]!Table2[[#This Row],[จังหวัด]]</f>
        <v>เชียงใหม่</v>
      </c>
      <c r="H2" s="242">
        <f>[1]!Table2[[#This Row],[จำนวน]]</f>
        <v>1</v>
      </c>
      <c r="I2" s="259" t="s">
        <v>468</v>
      </c>
      <c r="J2" s="259"/>
      <c r="K2" s="243">
        <f>[1]!Table2[[#This Row],[งบประมาณ]]</f>
        <v>1358000</v>
      </c>
      <c r="L2" s="243"/>
    </row>
    <row r="3" spans="1:12" hidden="1">
      <c r="A3" s="241" t="s">
        <v>1309</v>
      </c>
      <c r="B3" s="241">
        <f>[1]!Table2[[#This Row],[ปีงบประมาณ]]</f>
        <v>2567</v>
      </c>
      <c r="C3" s="241" t="s">
        <v>447</v>
      </c>
      <c r="D3" s="241" t="str">
        <f>[1]!Table2[[#This Row],[หมวดครุภัณฑ์]]</f>
        <v>ยานพาหนะและขนส่ง</v>
      </c>
      <c r="E3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สำนักงานส่งเสริมและสนับสนุนวิชาการ 9  ตำบลช้างเผือก อำเภอเมืองเชียงใหม่ จังหวัดเชียงใหม่</v>
      </c>
      <c r="F3" s="241" t="str">
        <f>[1]!Table2[[#This Row],[หน่วยงานที่ขอ]]</f>
        <v>สสว.9</v>
      </c>
      <c r="G3" s="241" t="str">
        <f>[1]!Table2[[#This Row],[จังหวัด]]</f>
        <v>เชียงใหม่</v>
      </c>
      <c r="H3" s="242">
        <f>[1]!Table2[[#This Row],[จำนวน]]</f>
        <v>1</v>
      </c>
      <c r="I3" s="259" t="s">
        <v>468</v>
      </c>
      <c r="J3" s="259"/>
      <c r="K3" s="243">
        <f>[1]!Table2[[#This Row],[งบประมาณ]]</f>
        <v>1090900</v>
      </c>
      <c r="L3" s="243"/>
    </row>
    <row r="4" spans="1:12" hidden="1">
      <c r="A4" s="241" t="s">
        <v>1311</v>
      </c>
      <c r="B4" s="241">
        <f>[1]!Table2[[#This Row],[ปีงบประมาณ]]</f>
        <v>2567</v>
      </c>
      <c r="C4" s="241" t="s">
        <v>447</v>
      </c>
      <c r="D4" s="241" t="str">
        <f>[1]!Table2[[#This Row],[หมวดครุภัณฑ์]]</f>
        <v>ยานพาหนะและขนส่ง</v>
      </c>
      <c r="E4" s="241" t="str">
        <f>[1]!Table2[[#This Row],[รายการ]]</f>
        <v xml:space="preserve"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สำนักงานพัฒนาสังคมและความมั่นคงของมนุษย์จังหวัดน่าน  ตำบลไชยสถาน อำเภอเมืองน่าน จังหวัดน่าน </v>
      </c>
      <c r="F4" s="241" t="str">
        <f>[1]!Table2[[#This Row],[หน่วยงานที่ขอ]]</f>
        <v>พมจ.น่าน</v>
      </c>
      <c r="G4" s="241" t="str">
        <f>[1]!Table2[[#This Row],[จังหวัด]]</f>
        <v>น่าน</v>
      </c>
      <c r="H4" s="242">
        <f>[1]!Table2[[#This Row],[จำนวน]]</f>
        <v>1</v>
      </c>
      <c r="I4" s="259" t="s">
        <v>468</v>
      </c>
      <c r="J4" s="259"/>
      <c r="K4" s="243">
        <f>[1]!Table2[[#This Row],[งบประมาณ]]</f>
        <v>1358000</v>
      </c>
      <c r="L4" s="243"/>
    </row>
    <row r="5" spans="1:12" hidden="1">
      <c r="A5" s="241" t="s">
        <v>1312</v>
      </c>
      <c r="B5" s="241">
        <f>[1]!Table2[[#This Row],[ปีงบประมาณ]]</f>
        <v>2567</v>
      </c>
      <c r="C5" s="241" t="s">
        <v>447</v>
      </c>
      <c r="D5" s="241" t="str">
        <f>[1]!Table2[[#This Row],[หมวดครุภัณฑ์]]</f>
        <v>สำนักงาน</v>
      </c>
      <c r="E5" s="241" t="str">
        <f>[1]!Table2[[#This Row],[รายการ]]</f>
        <v>เครื่องถ่ายเอกสาร ระบบดิจิตอล (ขาว-ดำ) ความเร็ว 40 แผ่นต่อนาที สำนักงานพัฒนาสังคมและความมั่นคงของมนุษย์จังหวัดน่าน  ตำบลไชยสถาน อำเภอเมืองน่าน จังหวัดน่าน</v>
      </c>
      <c r="F5" s="241" t="str">
        <f>[1]!Table2[[#This Row],[หน่วยงานที่ขอ]]</f>
        <v>พมจ.น่าน</v>
      </c>
      <c r="G5" s="241" t="str">
        <f>[1]!Table2[[#This Row],[จังหวัด]]</f>
        <v>น่าน</v>
      </c>
      <c r="H5" s="242">
        <f>[1]!Table2[[#This Row],[จำนวน]]</f>
        <v>1</v>
      </c>
      <c r="I5" s="259" t="s">
        <v>468</v>
      </c>
      <c r="J5" s="259"/>
      <c r="K5" s="243">
        <f>[1]!Table2[[#This Row],[งบประมาณ]]</f>
        <v>180000</v>
      </c>
      <c r="L5" s="243"/>
    </row>
    <row r="6" spans="1:12" hidden="1">
      <c r="A6" s="241" t="s">
        <v>1313</v>
      </c>
      <c r="B6" s="241">
        <f>[1]!Table2[[#This Row],[ปีงบประมาณ]]</f>
        <v>2567</v>
      </c>
      <c r="C6" s="241" t="s">
        <v>447</v>
      </c>
      <c r="D6" s="241" t="str">
        <f>[1]!Table2[[#This Row],[หมวดครุภัณฑ์]]</f>
        <v>สำนักงาน</v>
      </c>
      <c r="E6" s="241" t="str">
        <f>[1]!Table2[[#This Row],[รายการ]]</f>
        <v>เครื่องถ่ายเอกสาร ระบบดิจิตอล (ขาว-ดำ) ความเร็ว 50 แผ่นต่อนาที สำนักงานพัฒนาสังคมและความมั่นคงของมนุษย์จังหวัดแพร่  ตำบลในเวียง อำเภอเมืองแพร่ จังหวัดแพร่</v>
      </c>
      <c r="F6" s="241" t="str">
        <f>[1]!Table2[[#This Row],[หน่วยงานที่ขอ]]</f>
        <v>พมจ.แพร่</v>
      </c>
      <c r="G6" s="241" t="str">
        <f>[1]!Table2[[#This Row],[จังหวัด]]</f>
        <v>แพร่</v>
      </c>
      <c r="H6" s="242">
        <f>[1]!Table2[[#This Row],[จำนวน]]</f>
        <v>1</v>
      </c>
      <c r="I6" s="259" t="s">
        <v>468</v>
      </c>
      <c r="J6" s="259"/>
      <c r="K6" s="243">
        <f>[1]!Table2[[#This Row],[งบประมาณ]]</f>
        <v>200000</v>
      </c>
      <c r="L6" s="243"/>
    </row>
    <row r="7" spans="1:12" hidden="1">
      <c r="A7" s="241" t="s">
        <v>1314</v>
      </c>
      <c r="B7" s="241">
        <f>[1]!Table2[[#This Row],[ปีงบประมาณ]]</f>
        <v>2567</v>
      </c>
      <c r="C7" s="241" t="s">
        <v>447</v>
      </c>
      <c r="D7" s="241" t="str">
        <f>[1]!Table2[[#This Row],[หมวดครุภัณฑ์]]</f>
        <v>ยานพาหนะและขนส่ง</v>
      </c>
      <c r="E7" s="241" t="str">
        <f>[1]!Table2[[#This Row],[รายการ]]</f>
        <v xml:space="preserve">รถบรรทุก (ดีเซล) 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 สำนักงานส่งเสริมและสนับสนุนวิชาการ 8  ตำบลผาเลือด อำเภอท่าปลา จังหวัดอุตรดิตถ์ </v>
      </c>
      <c r="F7" s="241" t="str">
        <f>[1]!Table2[[#This Row],[หน่วยงานที่ขอ]]</f>
        <v>สสว.8</v>
      </c>
      <c r="G7" s="241" t="str">
        <f>[1]!Table2[[#This Row],[จังหวัด]]</f>
        <v>อุตรดิษถ์</v>
      </c>
      <c r="H7" s="242">
        <f>[1]!Table2[[#This Row],[จำนวน]]</f>
        <v>1</v>
      </c>
      <c r="I7" s="259" t="s">
        <v>468</v>
      </c>
      <c r="J7" s="259"/>
      <c r="K7" s="243">
        <f>[1]!Table2[[#This Row],[งบประมาณ]]</f>
        <v>885900</v>
      </c>
      <c r="L7" s="243"/>
    </row>
    <row r="8" spans="1:12" hidden="1">
      <c r="A8" s="241" t="s">
        <v>1315</v>
      </c>
      <c r="B8" s="241">
        <f>[1]!Table2[[#This Row],[ปีงบประมาณ]]</f>
        <v>2567</v>
      </c>
      <c r="C8" s="241" t="s">
        <v>447</v>
      </c>
      <c r="D8" s="241" t="str">
        <f>[1]!Table2[[#This Row],[หมวดครุภัณฑ์]]</f>
        <v>ยานพาหนะและขนส่ง</v>
      </c>
      <c r="E8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สำนักงานพัฒนาสังคมและความมั่นคงของมนุษย์จังหวัดกาฬสินธุ์  ตำบลกาฬสินธุ์ อำเภอเมืองกาฬสินธุ์ จังหวัดกาฬสินธุ์</v>
      </c>
      <c r="F8" s="241" t="str">
        <f>[1]!Table2[[#This Row],[หน่วยงานที่ขอ]]</f>
        <v>พมจ.กาฬสินธุ์</v>
      </c>
      <c r="G8" s="241" t="str">
        <f>[1]!Table2[[#This Row],[จังหวัด]]</f>
        <v>กาฬสินธุ์</v>
      </c>
      <c r="H8" s="242">
        <f>[1]!Table2[[#This Row],[จำนวน]]</f>
        <v>1</v>
      </c>
      <c r="I8" s="259" t="s">
        <v>468</v>
      </c>
      <c r="J8" s="259"/>
      <c r="K8" s="243">
        <f>[1]!Table2[[#This Row],[งบประมาณ]]</f>
        <v>885900</v>
      </c>
      <c r="L8" s="243"/>
    </row>
    <row r="9" spans="1:12" hidden="1">
      <c r="A9" s="241" t="s">
        <v>1316</v>
      </c>
      <c r="B9" s="241">
        <f>[1]!Table2[[#This Row],[ปีงบประมาณ]]</f>
        <v>2567</v>
      </c>
      <c r="C9" s="241" t="s">
        <v>447</v>
      </c>
      <c r="D9" s="241" t="str">
        <f>[1]!Table2[[#This Row],[หมวดครุภัณฑ์]]</f>
        <v>ยานพาหนะและขนส่ง</v>
      </c>
      <c r="E9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สำนักงานพัฒนาสังคมและความมั่นคงของมนุษย์จังหวัดกาฬสินธุ์  ตำบลกาฬสินธุ์ อำเภอเมืองกาฬสินธุ์ จังหวัดกาฬสินธุ์</v>
      </c>
      <c r="F9" s="241" t="str">
        <f>[1]!Table2[[#This Row],[หน่วยงานที่ขอ]]</f>
        <v>พมจ.กาฬสินธุ์</v>
      </c>
      <c r="G9" s="241" t="str">
        <f>[1]!Table2[[#This Row],[จังหวัด]]</f>
        <v>กาฬสินธุ์</v>
      </c>
      <c r="H9" s="242">
        <f>[1]!Table2[[#This Row],[จำนวน]]</f>
        <v>1</v>
      </c>
      <c r="I9" s="259" t="s">
        <v>468</v>
      </c>
      <c r="J9" s="259"/>
      <c r="K9" s="243">
        <f>[1]!Table2[[#This Row],[งบประมาณ]]</f>
        <v>1090900</v>
      </c>
      <c r="L9" s="243"/>
    </row>
    <row r="10" spans="1:12" hidden="1">
      <c r="A10" s="241" t="s">
        <v>1317</v>
      </c>
      <c r="B10" s="241">
        <f>[1]!Table2[[#This Row],[ปีงบประมาณ]]</f>
        <v>2567</v>
      </c>
      <c r="C10" s="241" t="s">
        <v>447</v>
      </c>
      <c r="D10" s="241" t="str">
        <f>[1]!Table2[[#This Row],[หมวดครุภัณฑ์]]</f>
        <v>สำนักงาน</v>
      </c>
      <c r="E10" s="241" t="str">
        <f>[1]!Table2[[#This Row],[รายการ]]</f>
        <v>เครื่องถ่ายเอกสาร ระบบดิจิตอล (ขาว-ดำ) ความเร็ว 50 แผ่นต่อนาที สำนักงานพัฒนาสังคมและความมั่นคงของมนุษย์จังหวัดขอนแก่น  ตำบลในเมือง อำเภอเมืองขอนแก่น จังหวัดขอนแก่น</v>
      </c>
      <c r="F10" s="241" t="str">
        <f>[1]!Table2[[#This Row],[หน่วยงานที่ขอ]]</f>
        <v>พมจ.ขอนแก่น</v>
      </c>
      <c r="G10" s="241" t="str">
        <f>[1]!Table2[[#This Row],[จังหวัด]]</f>
        <v>ขอนแก่น</v>
      </c>
      <c r="H10" s="242">
        <f>[1]!Table2[[#This Row],[จำนวน]]</f>
        <v>1</v>
      </c>
      <c r="I10" s="259" t="s">
        <v>468</v>
      </c>
      <c r="J10" s="259"/>
      <c r="K10" s="243">
        <f>[1]!Table2[[#This Row],[งบประมาณ]]</f>
        <v>200000</v>
      </c>
      <c r="L10" s="243"/>
    </row>
    <row r="11" spans="1:12" hidden="1">
      <c r="A11" s="241" t="s">
        <v>1318</v>
      </c>
      <c r="B11" s="241">
        <f>[1]!Table2[[#This Row],[ปีงบประมาณ]]</f>
        <v>2567</v>
      </c>
      <c r="C11" s="241" t="s">
        <v>447</v>
      </c>
      <c r="D11" s="241" t="str">
        <f>[1]!Table2[[#This Row],[หมวดครุภัณฑ์]]</f>
        <v>ยานพาหนะและขนส่ง</v>
      </c>
      <c r="E11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สำนักงานส่งเสริมและสนับสนุนวิชาการ 5 ตำบลโคกสูง อำเภออุบลรัตน์ จังหวัดขอนแก่น</v>
      </c>
      <c r="F11" s="241" t="str">
        <f>[1]!Table2[[#This Row],[หน่วยงานที่ขอ]]</f>
        <v>สสว.5</v>
      </c>
      <c r="G11" s="241" t="str">
        <f>[1]!Table2[[#This Row],[จังหวัด]]</f>
        <v>ขอนแก่น</v>
      </c>
      <c r="H11" s="242">
        <f>[1]!Table2[[#This Row],[จำนวน]]</f>
        <v>1</v>
      </c>
      <c r="I11" s="259" t="s">
        <v>468</v>
      </c>
      <c r="J11" s="259"/>
      <c r="K11" s="243">
        <f>[1]!Table2[[#This Row],[งบประมาณ]]</f>
        <v>1358000</v>
      </c>
      <c r="L11" s="243"/>
    </row>
    <row r="12" spans="1:12" hidden="1">
      <c r="A12" s="241" t="s">
        <v>1319</v>
      </c>
      <c r="B12" s="241">
        <f>[1]!Table2[[#This Row],[ปีงบประมาณ]]</f>
        <v>2567</v>
      </c>
      <c r="C12" s="241" t="s">
        <v>447</v>
      </c>
      <c r="D12" s="241" t="str">
        <f>[1]!Table2[[#This Row],[หมวดครุภัณฑ์]]</f>
        <v>ยานพาหนะและขนส่ง</v>
      </c>
      <c r="E12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สำนักงานพัฒนาสังคมและความมั่นคงของมนุษย์จังหวัดชัยภูมิ  ตำบลในเมือง อำเภอเมืองชัยภูมิ จังหวัดชัยภูมิ</v>
      </c>
      <c r="F12" s="241" t="str">
        <f>[1]!Table2[[#This Row],[หน่วยงานที่ขอ]]</f>
        <v>พมจ.ชัยภูมิ</v>
      </c>
      <c r="G12" s="241" t="str">
        <f>[1]!Table2[[#This Row],[จังหวัด]]</f>
        <v>ชัยภูมิ</v>
      </c>
      <c r="H12" s="242">
        <f>[1]!Table2[[#This Row],[จำนวน]]</f>
        <v>1</v>
      </c>
      <c r="I12" s="259" t="s">
        <v>468</v>
      </c>
      <c r="J12" s="259"/>
      <c r="K12" s="243">
        <f>[1]!Table2[[#This Row],[งบประมาณ]]</f>
        <v>1090900</v>
      </c>
      <c r="L12" s="243"/>
    </row>
    <row r="13" spans="1:12" hidden="1">
      <c r="A13" s="241" t="s">
        <v>1320</v>
      </c>
      <c r="B13" s="241">
        <f>[1]!Table2[[#This Row],[ปีงบประมาณ]]</f>
        <v>2567</v>
      </c>
      <c r="C13" s="241" t="s">
        <v>447</v>
      </c>
      <c r="D13" s="241" t="str">
        <f>[1]!Table2[[#This Row],[หมวดครุภัณฑ์]]</f>
        <v>ยานพาหนะและขนส่ง</v>
      </c>
      <c r="E13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สำนักงานพัฒนาสังคมและความมั่นคงของมนุษย์จังหวัดนครพนม  ตำบลในเมือง อำเภอเมืองนครพนม จังหวัดนครพนม</v>
      </c>
      <c r="F13" s="241" t="str">
        <f>[1]!Table2[[#This Row],[หน่วยงานที่ขอ]]</f>
        <v>พมจ.นครพนม</v>
      </c>
      <c r="G13" s="241" t="str">
        <f>[1]!Table2[[#This Row],[จังหวัด]]</f>
        <v>นครพนม</v>
      </c>
      <c r="H13" s="242">
        <f>[1]!Table2[[#This Row],[จำนวน]]</f>
        <v>1</v>
      </c>
      <c r="I13" s="259" t="s">
        <v>468</v>
      </c>
      <c r="J13" s="259"/>
      <c r="K13" s="243">
        <f>[1]!Table2[[#This Row],[งบประมาณ]]</f>
        <v>1358000</v>
      </c>
      <c r="L13" s="243"/>
    </row>
    <row r="14" spans="1:12" hidden="1">
      <c r="A14" s="241" t="s">
        <v>1321</v>
      </c>
      <c r="B14" s="241">
        <f>[1]!Table2[[#This Row],[ปีงบประมาณ]]</f>
        <v>2567</v>
      </c>
      <c r="C14" s="241" t="s">
        <v>447</v>
      </c>
      <c r="D14" s="241" t="str">
        <f>[1]!Table2[[#This Row],[หมวดครุภัณฑ์]]</f>
        <v>ยานพาหนะและขนส่ง</v>
      </c>
      <c r="E14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สำนักงานพัฒนาสังคมและความมั่นคงของมนุษย์จังหวัดนครราชสีมา  ตำบลในเมือง อำเภอเมืองนครราชสีมา จังหวัดนครราชสีมา</v>
      </c>
      <c r="F14" s="241" t="str">
        <f>[1]!Table2[[#This Row],[หน่วยงานที่ขอ]]</f>
        <v>พมจ.นครราชสีมา</v>
      </c>
      <c r="G14" s="241" t="str">
        <f>[1]!Table2[[#This Row],[จังหวัด]]</f>
        <v>นครราชสีมา</v>
      </c>
      <c r="H14" s="242">
        <f>[1]!Table2[[#This Row],[จำนวน]]</f>
        <v>1</v>
      </c>
      <c r="I14" s="259" t="s">
        <v>468</v>
      </c>
      <c r="J14" s="259"/>
      <c r="K14" s="243">
        <f>[1]!Table2[[#This Row],[งบประมาณ]]</f>
        <v>1090900</v>
      </c>
      <c r="L14" s="243"/>
    </row>
    <row r="15" spans="1:12" hidden="1">
      <c r="A15" s="241" t="s">
        <v>1322</v>
      </c>
      <c r="B15" s="241">
        <f>[1]!Table2[[#This Row],[ปีงบประมาณ]]</f>
        <v>2567</v>
      </c>
      <c r="C15" s="241" t="s">
        <v>447</v>
      </c>
      <c r="D15" s="241" t="str">
        <f>[1]!Table2[[#This Row],[หมวดครุภัณฑ์]]</f>
        <v>งานบ้านงานครัว</v>
      </c>
      <c r="E15" s="241" t="str">
        <f>[1]!Table2[[#This Row],[รายการ]]</f>
        <v>เครื่องตัดหญ้า แบบข้ออ่อน สำนักงานพัฒนาสังคมและความมั่นคงของมนุษย์จังหวัดนครราชสีมา ตำบลในเมือง อำเภอเมืองนครราชสีมา จังหวัดนครราชสีมา</v>
      </c>
      <c r="F15" s="241" t="str">
        <f>[1]!Table2[[#This Row],[หน่วยงานที่ขอ]]</f>
        <v>พมจ.นครราชสีมา</v>
      </c>
      <c r="G15" s="241" t="str">
        <f>[1]!Table2[[#This Row],[จังหวัด]]</f>
        <v>นครราชสีมา</v>
      </c>
      <c r="H15" s="242">
        <f>[1]!Table2[[#This Row],[จำนวน]]</f>
        <v>1</v>
      </c>
      <c r="I15" s="259" t="s">
        <v>468</v>
      </c>
      <c r="J15" s="259"/>
      <c r="K15" s="243">
        <f>[1]!Table2[[#This Row],[งบประมาณ]]</f>
        <v>10600</v>
      </c>
      <c r="L15" s="243"/>
    </row>
    <row r="16" spans="1:12" hidden="1">
      <c r="A16" s="241" t="s">
        <v>1323</v>
      </c>
      <c r="B16" s="241">
        <f>[1]!Table2[[#This Row],[ปีงบประมาณ]]</f>
        <v>2567</v>
      </c>
      <c r="C16" s="241" t="s">
        <v>447</v>
      </c>
      <c r="D16" s="241" t="str">
        <f>[1]!Table2[[#This Row],[หมวดครุภัณฑ์]]</f>
        <v>ยานพาหนะและขนส่ง</v>
      </c>
      <c r="E16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สำนักงานพัฒนาสังคมและความมั่นคงของมนุษย์จังหวัดบุรีรัมย์  ตำบลเสม็ด อำเภอเมืองบุรีรัมย์ จังหวัดบุรีรัมย์</v>
      </c>
      <c r="F16" s="241" t="str">
        <f>[1]!Table2[[#This Row],[หน่วยงานที่ขอ]]</f>
        <v>พมจ.บุรีรัมย์</v>
      </c>
      <c r="G16" s="241" t="str">
        <f>[1]!Table2[[#This Row],[จังหวัด]]</f>
        <v>บุรีรัมย์</v>
      </c>
      <c r="H16" s="242">
        <f>[1]!Table2[[#This Row],[จำนวน]]</f>
        <v>1</v>
      </c>
      <c r="I16" s="259" t="s">
        <v>468</v>
      </c>
      <c r="J16" s="259"/>
      <c r="K16" s="243">
        <f>[1]!Table2[[#This Row],[งบประมาณ]]</f>
        <v>1358000</v>
      </c>
      <c r="L16" s="243"/>
    </row>
    <row r="17" spans="1:12" hidden="1">
      <c r="A17" s="241" t="s">
        <v>1324</v>
      </c>
      <c r="B17" s="241">
        <f>[1]!Table2[[#This Row],[ปีงบประมาณ]]</f>
        <v>2567</v>
      </c>
      <c r="C17" s="241" t="s">
        <v>447</v>
      </c>
      <c r="D17" s="241" t="str">
        <f>[1]!Table2[[#This Row],[หมวดครุภัณฑ์]]</f>
        <v>ยานพาหนะและขนส่ง</v>
      </c>
      <c r="E17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สำนักงานพัฒนาสังคมและความมั่นคงของมนุษย์จังหวัดบุรีรัมย์  ตำบลเสม็ด อำเภอเมืองบุรีรัมย์ จังหวัดบุรีรัมย์</v>
      </c>
      <c r="F17" s="241" t="str">
        <f>[1]!Table2[[#This Row],[หน่วยงานที่ขอ]]</f>
        <v>พมจ.บุรีรัมย์</v>
      </c>
      <c r="G17" s="241" t="str">
        <f>[1]!Table2[[#This Row],[จังหวัด]]</f>
        <v>บุรีรัมย์</v>
      </c>
      <c r="H17" s="242">
        <f>[1]!Table2[[#This Row],[จำนวน]]</f>
        <v>1</v>
      </c>
      <c r="I17" s="259" t="s">
        <v>468</v>
      </c>
      <c r="J17" s="259"/>
      <c r="K17" s="243">
        <f>[1]!Table2[[#This Row],[งบประมาณ]]</f>
        <v>1090900</v>
      </c>
      <c r="L17" s="243"/>
    </row>
    <row r="18" spans="1:12" hidden="1">
      <c r="A18" s="241" t="s">
        <v>1325</v>
      </c>
      <c r="B18" s="241">
        <f>[1]!Table2[[#This Row],[ปีงบประมาณ]]</f>
        <v>2567</v>
      </c>
      <c r="C18" s="241" t="s">
        <v>447</v>
      </c>
      <c r="D18" s="241" t="str">
        <f>[1]!Table2[[#This Row],[หมวดครุภัณฑ์]]</f>
        <v>ยานพาหนะและขนส่ง</v>
      </c>
      <c r="E18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สำนักงานพัฒนาสังคมและความมั่นคงของมนุษย์จังหวัดบุรีรัมย์  ตำบลเสม็ด อำเภอเมืองบุรีรัมย์ จังหวัดบุรีรัมย์</v>
      </c>
      <c r="F18" s="241" t="str">
        <f>[1]!Table2[[#This Row],[หน่วยงานที่ขอ]]</f>
        <v>พมจ.บุรีรัมย์</v>
      </c>
      <c r="G18" s="241" t="str">
        <f>[1]!Table2[[#This Row],[จังหวัด]]</f>
        <v>บุรีรัมย์</v>
      </c>
      <c r="H18" s="242">
        <f>[1]!Table2[[#This Row],[จำนวน]]</f>
        <v>1</v>
      </c>
      <c r="I18" s="259" t="s">
        <v>468</v>
      </c>
      <c r="J18" s="259"/>
      <c r="K18" s="243">
        <f>[1]!Table2[[#This Row],[งบประมาณ]]</f>
        <v>1090900</v>
      </c>
      <c r="L18" s="243"/>
    </row>
    <row r="19" spans="1:12" hidden="1">
      <c r="A19" s="241" t="s">
        <v>1326</v>
      </c>
      <c r="B19" s="241">
        <f>[1]!Table2[[#This Row],[ปีงบประมาณ]]</f>
        <v>2567</v>
      </c>
      <c r="C19" s="241" t="s">
        <v>447</v>
      </c>
      <c r="D19" s="241" t="str">
        <f>[1]!Table2[[#This Row],[หมวดครุภัณฑ์]]</f>
        <v>ยานพาหนะและขนส่ง</v>
      </c>
      <c r="E19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สำนักงานพัฒนาสังคมและความมั่นคงของมนุษย์จังหวัดร้อยเอ็ด  ตำบลในเมือง อำเภอเมืองร้อยเอ็ด จังหวัดร้อยเอ็ด</v>
      </c>
      <c r="F19" s="241" t="str">
        <f>[1]!Table2[[#This Row],[หน่วยงานที่ขอ]]</f>
        <v>พมจ.ร้อยเอ็ด</v>
      </c>
      <c r="G19" s="241" t="str">
        <f>[1]!Table2[[#This Row],[จังหวัด]]</f>
        <v>ร้อยเอ็ด</v>
      </c>
      <c r="H19" s="242">
        <f>[1]!Table2[[#This Row],[จำนวน]]</f>
        <v>1</v>
      </c>
      <c r="I19" s="259" t="s">
        <v>468</v>
      </c>
      <c r="J19" s="259"/>
      <c r="K19" s="243">
        <f>[1]!Table2[[#This Row],[งบประมาณ]]</f>
        <v>1090900</v>
      </c>
      <c r="L19" s="243"/>
    </row>
    <row r="20" spans="1:12" hidden="1">
      <c r="A20" s="241" t="s">
        <v>1327</v>
      </c>
      <c r="B20" s="241">
        <f>[1]!Table2[[#This Row],[ปีงบประมาณ]]</f>
        <v>2567</v>
      </c>
      <c r="C20" s="241" t="s">
        <v>447</v>
      </c>
      <c r="D20" s="241" t="str">
        <f>[1]!Table2[[#This Row],[หมวดครุภัณฑ์]]</f>
        <v>ยานพาหนะและขนส่ง</v>
      </c>
      <c r="E20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สำนักงานพัฒนาสังคมและความมั่นคงของมนุษย์จังหวัดศรีสะเกษ  ตำบลโพธิ์ อำเภอเมืองศรีสะเกษ จังหวัดศรีสะเกษ</v>
      </c>
      <c r="F20" s="241" t="str">
        <f>[1]!Table2[[#This Row],[หน่วยงานที่ขอ]]</f>
        <v>พมจ.ศรีสะเกษ</v>
      </c>
      <c r="G20" s="241" t="str">
        <f>[1]!Table2[[#This Row],[จังหวัด]]</f>
        <v>ศรีสะเกษ</v>
      </c>
      <c r="H20" s="242">
        <f>[1]!Table2[[#This Row],[จำนวน]]</f>
        <v>1</v>
      </c>
      <c r="I20" s="259" t="s">
        <v>468</v>
      </c>
      <c r="J20" s="259"/>
      <c r="K20" s="243">
        <f>[1]!Table2[[#This Row],[งบประมาณ]]</f>
        <v>1090900</v>
      </c>
      <c r="L20" s="243"/>
    </row>
    <row r="21" spans="1:12" hidden="1">
      <c r="A21" s="241" t="s">
        <v>1328</v>
      </c>
      <c r="B21" s="241">
        <f>[1]!Table2[[#This Row],[ปีงบประมาณ]]</f>
        <v>2567</v>
      </c>
      <c r="C21" s="241" t="s">
        <v>447</v>
      </c>
      <c r="D21" s="241" t="str">
        <f>[1]!Table2[[#This Row],[หมวดครุภัณฑ์]]</f>
        <v>สำนักงาน</v>
      </c>
      <c r="E21" s="241" t="str">
        <f>[1]!Table2[[#This Row],[รายการ]]</f>
        <v>เครื่องถ่ายเอกสาร ระบบดิจิตอล (ขาว-ดำ) ความเร็ว 40 แผ่นต่อนาที สำนักงานพัฒนาสังคมและความมั่นคงของมนุษย์จังหวัดอำนาจเจริญ  ตำบลโนนหนามแท่ง อำเภอเมืองอำนาจเจริญ จังหวัดอำนาจเจริญ</v>
      </c>
      <c r="F21" s="241" t="str">
        <f>[1]!Table2[[#This Row],[หน่วยงานที่ขอ]]</f>
        <v>พมจ.อำนาจเจริญ</v>
      </c>
      <c r="G21" s="241" t="str">
        <f>[1]!Table2[[#This Row],[จังหวัด]]</f>
        <v>อำนาจเจริญ</v>
      </c>
      <c r="H21" s="242">
        <f>[1]!Table2[[#This Row],[จำนวน]]</f>
        <v>1</v>
      </c>
      <c r="I21" s="259" t="s">
        <v>468</v>
      </c>
      <c r="J21" s="259"/>
      <c r="K21" s="243">
        <f>[1]!Table2[[#This Row],[งบประมาณ]]</f>
        <v>180000</v>
      </c>
      <c r="L21" s="243"/>
    </row>
    <row r="22" spans="1:12" hidden="1">
      <c r="A22" s="241" t="s">
        <v>1329</v>
      </c>
      <c r="B22" s="241">
        <f>[1]!Table2[[#This Row],[ปีงบประมาณ]]</f>
        <v>2567</v>
      </c>
      <c r="C22" s="241" t="s">
        <v>447</v>
      </c>
      <c r="D22" s="241" t="str">
        <f>[1]!Table2[[#This Row],[หมวดครุภัณฑ์]]</f>
        <v>ยานพาหนะและขนส่ง</v>
      </c>
      <c r="E22" s="241" t="str">
        <f>[1]!Table2[[#This Row],[รายการ]]</f>
        <v>รถนั่งประจำตำแหน่ง ระดับปลัดกระทรวง หรือผู้ดํารงตำแหน่งอื่นที่มีฐานะเทียบเท่า ปริมาตรกระบอกสูบไม่เกิน 2,500 ซีซี หรือกำลังเครื่องยนต์สูงสุดไมเกิน 160 กิโลวัตต์ หรอกำลังมอเตอร์ไฟฟ้าสูงสุดไมเกิน 150 กิโลวัตต์ สํานักงานปลัดกระทรวงการพัฒนาสังคมและความมั่นคงของมนุษย์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22" s="241" t="str">
        <f>[1]!Table2[[#This Row],[หน่วยงานที่ขอ]]</f>
        <v>กก.</v>
      </c>
      <c r="G22" s="241" t="str">
        <f>[1]!Table2[[#This Row],[จังหวัด]]</f>
        <v>กรุงเทพมหานคร</v>
      </c>
      <c r="H22" s="242">
        <f>[1]!Table2[[#This Row],[จำนวน]]</f>
        <v>1</v>
      </c>
      <c r="I22" s="259" t="s">
        <v>468</v>
      </c>
      <c r="J22" s="259"/>
      <c r="K22" s="243">
        <f>[1]!Table2[[#This Row],[งบประมาณ]]</f>
        <v>2749000</v>
      </c>
      <c r="L22" s="243"/>
    </row>
    <row r="23" spans="1:12" hidden="1">
      <c r="A23" s="241" t="s">
        <v>1330</v>
      </c>
      <c r="B23" s="241">
        <f>[1]!Table2[[#This Row],[ปีงบประมาณ]]</f>
        <v>2567</v>
      </c>
      <c r="C23" s="241" t="s">
        <v>447</v>
      </c>
      <c r="D23" s="241" t="str">
        <f>[1]!Table2[[#This Row],[หมวดครุภัณฑ์]]</f>
        <v>ยานพาหนะและขนส่ง</v>
      </c>
      <c r="E23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สำนักงานปลัดกระทรวงการพัฒนาสังคมและความมั่นคงของมนุษย์  แขวงคลองมหานาค เขตป้อมปราบศัตรูพ่าย กรุงเทพมหานคร</v>
      </c>
      <c r="F23" s="241" t="str">
        <f>[1]!Table2[[#This Row],[หน่วยงานที่ขอ]]</f>
        <v>กตร.</v>
      </c>
      <c r="G23" s="241" t="str">
        <f>[1]!Table2[[#This Row],[จังหวัด]]</f>
        <v>กรุงเทพมหานคร</v>
      </c>
      <c r="H23" s="242">
        <f>[1]!Table2[[#This Row],[จำนวน]]</f>
        <v>1</v>
      </c>
      <c r="I23" s="259" t="s">
        <v>468</v>
      </c>
      <c r="J23" s="259"/>
      <c r="K23" s="243">
        <f>[1]!Table2[[#This Row],[งบประมาณ]]</f>
        <v>1358000</v>
      </c>
      <c r="L23" s="243"/>
    </row>
    <row r="24" spans="1:12" hidden="1">
      <c r="A24" s="241" t="s">
        <v>1331</v>
      </c>
      <c r="B24" s="241">
        <f>[1]!Table2[[#This Row],[ปีงบประมาณ]]</f>
        <v>2567</v>
      </c>
      <c r="C24" s="241" t="s">
        <v>447</v>
      </c>
      <c r="D24" s="241" t="str">
        <f>[1]!Table2[[#This Row],[หมวดครุภัณฑ์]]</f>
        <v>ยานพาหนะและขนส่ง</v>
      </c>
      <c r="E24" s="241" t="str">
        <f>[1]!Table2[[#This Row],[รายการ]]</f>
        <v>รถบรรทุก (ดีเซล) 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สำนักงานปลัดกระทรวงการพัฒนาสังคมและความมั่นคงของมนุษย์  แขวงคลองมหานาค เขตป้อมปราบศัตรูพ่าย กรุงเทพมหานคร</v>
      </c>
      <c r="F24" s="241" t="str">
        <f>[1]!Table2[[#This Row],[หน่วยงานที่ขอ]]</f>
        <v>ศชส.</v>
      </c>
      <c r="G24" s="241" t="str">
        <f>[1]!Table2[[#This Row],[จังหวัด]]</f>
        <v>กรุงเทพมหานคร</v>
      </c>
      <c r="H24" s="242">
        <f>[1]!Table2[[#This Row],[จำนวน]]</f>
        <v>1</v>
      </c>
      <c r="I24" s="259" t="s">
        <v>468</v>
      </c>
      <c r="J24" s="259"/>
      <c r="K24" s="243">
        <f>[1]!Table2[[#This Row],[งบประมาณ]]</f>
        <v>1090900</v>
      </c>
      <c r="L24" s="243"/>
    </row>
    <row r="25" spans="1:12" hidden="1">
      <c r="A25" s="241" t="s">
        <v>1332</v>
      </c>
      <c r="B25" s="241">
        <f>[1]!Table2[[#This Row],[ปีงบประมาณ]]</f>
        <v>2567</v>
      </c>
      <c r="C25" s="241" t="s">
        <v>447</v>
      </c>
      <c r="D25" s="241" t="str">
        <f>[1]!Table2[[#This Row],[หมวดครุภัณฑ์]]</f>
        <v>ยานพาหนะและขนส่ง</v>
      </c>
      <c r="E25" s="241" t="str">
        <f>[1]!Table2[[#This Row],[รายการ]]</f>
        <v>รถยนต์ตรวจการณ์ ปริมาตรกระบอกสูบไม่ต่ำกว่า 2,000 ซีซี หรือกำลังเครื่องยนต์สูงสุดไม่ต่ำกว่า 110 กิโลวัตต์ เครื่องยนต์ดีเซล แบบขับเคลื่อน 4 ล้อ สำนักงานปลัดกระทรวงการพัฒนาสังคมและความมั่นคงของมนุษย์  แขวงคลองมหานาค เขตป้อมปราบศัตรูพ่าย กรุงเทพมหานคร</v>
      </c>
      <c r="F25" s="241" t="str">
        <f>[1]!Table2[[#This Row],[หน่วยงานที่ขอ]]</f>
        <v>กตร.</v>
      </c>
      <c r="G25" s="241" t="str">
        <f>[1]!Table2[[#This Row],[จังหวัด]]</f>
        <v>กรุงเทพมหานคร</v>
      </c>
      <c r="H25" s="242">
        <f>[1]!Table2[[#This Row],[จำนวน]]</f>
        <v>12</v>
      </c>
      <c r="I25" s="259" t="s">
        <v>468</v>
      </c>
      <c r="J25" s="259"/>
      <c r="K25" s="243">
        <f>[1]!Table2[[#This Row],[งบประมาณ]]</f>
        <v>19968000</v>
      </c>
      <c r="L25" s="243"/>
    </row>
    <row r="26" spans="1:12" hidden="1">
      <c r="A26" s="241" t="s">
        <v>1333</v>
      </c>
      <c r="B26" s="241">
        <f>[1]!Table2[[#This Row],[ปีงบประมาณ]]</f>
        <v>2567</v>
      </c>
      <c r="C26" s="241" t="s">
        <v>447</v>
      </c>
      <c r="D26" s="241" t="str">
        <f>[1]!Table2[[#This Row],[หมวดครุภัณฑ์]]</f>
        <v>คอมพิวเตอร์</v>
      </c>
      <c r="E26" s="241" t="str">
        <f>[1]!Table2[[#This Row],[รายการ]]</f>
        <v>โครงการพัฒนาส่วนเชื่อมโยงข้อมูลการคัดแยกผู้เสียหายจากการค้ามนุษย์ และข้อมูลการคุ้มครองพยานในคดีค้ามนุษย์ เพื่อเพิ่มประสิทธิภาพการคุ้มครองผู้เสียหายจากการค้ามนุษย์ สํานักงานปลัดกระทรวงการพัฒนาสังคมและความมั่นคงของมนุษย์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26" s="241" t="str">
        <f>[1]!Table2[[#This Row],[หน่วยงานที่ขอ]]</f>
        <v>กคม.</v>
      </c>
      <c r="G26" s="241" t="str">
        <f>[1]!Table2[[#This Row],[จังหวัด]]</f>
        <v>กรุงเทพมหานคร</v>
      </c>
      <c r="H26" s="242">
        <f>[1]!Table2[[#This Row],[จำนวน]]</f>
        <v>1</v>
      </c>
      <c r="I26" s="259" t="s">
        <v>468</v>
      </c>
      <c r="J26" s="259"/>
      <c r="K26" s="243">
        <f>[1]!Table2[[#This Row],[งบประมาณ]]</f>
        <v>2531800</v>
      </c>
      <c r="L26" s="243"/>
    </row>
    <row r="27" spans="1:12" hidden="1">
      <c r="A27" s="241" t="s">
        <v>1334</v>
      </c>
      <c r="B27" s="241">
        <f>[1]!Table2[[#This Row],[ปีงบประมาณ]]</f>
        <v>2567</v>
      </c>
      <c r="C27" s="241" t="s">
        <v>447</v>
      </c>
      <c r="D27" s="241" t="str">
        <f>[1]!Table2[[#This Row],[หมวดครุภัณฑ์]]</f>
        <v>คอมพิวเตอร์</v>
      </c>
      <c r="E27" s="241" t="str">
        <f>[1]!Table2[[#This Row],[รายการ]]</f>
        <v>โครงการบูรณาการฐานข้อมูลขนาดใหญ่ (Big Data) เพื่อบริหารสวัสดิการสังคม สำนักงานปลัดกระทรวงการพัฒนาสังคมและความมั่นคงของมนุษย์แขวงคลองมหานาค เขตป้อมปราบศัตรูพ่าย กรุงเทพมหานคร</v>
      </c>
      <c r="F27" s="241" t="str">
        <f>[1]!Table2[[#This Row],[หน่วยงานที่ขอ]]</f>
        <v>ศทส.</v>
      </c>
      <c r="G27" s="241" t="str">
        <f>[1]!Table2[[#This Row],[จังหวัด]]</f>
        <v>กรุงเทพมหานคร</v>
      </c>
      <c r="H27" s="242">
        <f>[1]!Table2[[#This Row],[จำนวน]]</f>
        <v>1</v>
      </c>
      <c r="I27" s="259" t="s">
        <v>468</v>
      </c>
      <c r="J27" s="259"/>
      <c r="K27" s="243">
        <f>[1]!Table2[[#This Row],[งบประมาณ]]</f>
        <v>28309400</v>
      </c>
      <c r="L27" s="243"/>
    </row>
    <row r="28" spans="1:12" hidden="1">
      <c r="A28" s="241" t="s">
        <v>1335</v>
      </c>
      <c r="B28" s="241">
        <f>[1]!Table2[[#This Row],[ปีงบประมาณ]]</f>
        <v>2567</v>
      </c>
      <c r="C28" s="241" t="s">
        <v>447</v>
      </c>
      <c r="D28" s="241" t="str">
        <f>[1]!Table2[[#This Row],[หมวดครุภัณฑ์]]</f>
        <v>คอมพิวเตอร์</v>
      </c>
      <c r="E28" s="241" t="str">
        <f>[1]!Table2[[#This Row],[รายการ]]</f>
        <v>โครงการปรับปรุงโครงสร้างพื้นฐานด้านเครือข่ายสำนักงานพัฒนาสังคมและความมั่นคงของมนุษย์จังหวัดและสถาบันพระประชาบดี เพื่อทดแทนเครื่องคอมพิวเตอร์แม่ข่าย อุปกรณ์เครือข่ายที่มีอายุการใช้งานเกิน 7 ปี สำนักงานปลัดกระทรวงการพัฒนาสังคมและความมั่นคงของมนุษย์  แขวงคลองมหานาค เขตป้อมปราบศัตรูพ่าย กรุงเทพมหานคร</v>
      </c>
      <c r="F28" s="241" t="str">
        <f>[1]!Table2[[#This Row],[หน่วยงานที่ขอ]]</f>
        <v>ศทส.</v>
      </c>
      <c r="G28" s="241" t="str">
        <f>[1]!Table2[[#This Row],[จังหวัด]]</f>
        <v>กรุงเทพมหานคร</v>
      </c>
      <c r="H28" s="242">
        <f>[1]!Table2[[#This Row],[จำนวน]]</f>
        <v>1</v>
      </c>
      <c r="I28" s="259" t="s">
        <v>468</v>
      </c>
      <c r="J28" s="259"/>
      <c r="K28" s="243">
        <f>[1]!Table2[[#This Row],[งบประมาณ]]</f>
        <v>10724000</v>
      </c>
      <c r="L28" s="243"/>
    </row>
    <row r="29" spans="1:12" hidden="1">
      <c r="A29" s="241" t="s">
        <v>1336</v>
      </c>
      <c r="B29" s="241">
        <f>[1]!Table2[[#This Row],[ปีงบประมาณ]]</f>
        <v>2567</v>
      </c>
      <c r="C29" s="241" t="s">
        <v>447</v>
      </c>
      <c r="D29" s="241" t="str">
        <f>[1]!Table2[[#This Row],[หมวดครุภัณฑ์]]</f>
        <v>ยานพาหนะและขนส่ง</v>
      </c>
      <c r="E29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สำนักงานพัฒนาสังคมและความมั่นคงของมนุษย์จังหวัดกาญจนบุรี  ตำบลปากแพรก อำเภอเมืองกาญจนบุรี จังหวัดกาญจนบุรี</v>
      </c>
      <c r="F29" s="241" t="str">
        <f>[1]!Table2[[#This Row],[หน่วยงานที่ขอ]]</f>
        <v>พมจ.กาญจนบุรี</v>
      </c>
      <c r="G29" s="241" t="str">
        <f>[1]!Table2[[#This Row],[จังหวัด]]</f>
        <v>กาญจนบุรี</v>
      </c>
      <c r="H29" s="242">
        <f>[1]!Table2[[#This Row],[จำนวน]]</f>
        <v>1</v>
      </c>
      <c r="I29" s="259" t="s">
        <v>468</v>
      </c>
      <c r="J29" s="259"/>
      <c r="K29" s="243">
        <f>[1]!Table2[[#This Row],[งบประมาณ]]</f>
        <v>885900</v>
      </c>
      <c r="L29" s="243"/>
    </row>
    <row r="30" spans="1:12" hidden="1">
      <c r="A30" s="241" t="s">
        <v>1337</v>
      </c>
      <c r="B30" s="241">
        <f>[1]!Table2[[#This Row],[ปีงบประมาณ]]</f>
        <v>2567</v>
      </c>
      <c r="C30" s="241" t="s">
        <v>447</v>
      </c>
      <c r="D30" s="241" t="str">
        <f>[1]!Table2[[#This Row],[หมวดครุภัณฑ์]]</f>
        <v>ยานพาหนะและขนส่ง</v>
      </c>
      <c r="E30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สำนักงานพัฒนาสังคมและความมั่นคงของมนุษย์จังหวัดกาญจนบุรี  ตำบลปากแพรก อำเภอเมืองกาญจนบุรี จังหวัดกาญจนบุรี</v>
      </c>
      <c r="F30" s="241" t="str">
        <f>[1]!Table2[[#This Row],[หน่วยงานที่ขอ]]</f>
        <v>พมจ.กาญจนบุรี</v>
      </c>
      <c r="G30" s="241" t="str">
        <f>[1]!Table2[[#This Row],[จังหวัด]]</f>
        <v>กาญจนบุรี</v>
      </c>
      <c r="H30" s="242">
        <f>[1]!Table2[[#This Row],[จำนวน]]</f>
        <v>1</v>
      </c>
      <c r="I30" s="259" t="s">
        <v>468</v>
      </c>
      <c r="J30" s="259"/>
      <c r="K30" s="243">
        <f>[1]!Table2[[#This Row],[งบประมาณ]]</f>
        <v>1090900</v>
      </c>
      <c r="L30" s="243"/>
    </row>
    <row r="31" spans="1:12" hidden="1">
      <c r="A31" s="241" t="s">
        <v>1338</v>
      </c>
      <c r="B31" s="241">
        <f>[1]!Table2[[#This Row],[ปีงบประมาณ]]</f>
        <v>2567</v>
      </c>
      <c r="C31" s="241" t="s">
        <v>447</v>
      </c>
      <c r="D31" s="241" t="str">
        <f>[1]!Table2[[#This Row],[หมวดครุภัณฑ์]]</f>
        <v>งานบ้านงานครัว</v>
      </c>
      <c r="E31" s="241" t="str">
        <f>[1]!Table2[[#This Row],[รายการ]]</f>
        <v>เครื่องตัดหญ้า แบบข้ออ่อน สำนักงานพัฒนาสังคมและความมั่นคงของมนุษย์จังหวัดกำแพงเพชร ตำบลหนองปลิง อำเภอเมืองกำแพงเพชร จังหวัดกำแพงเพชร</v>
      </c>
      <c r="F31" s="241" t="str">
        <f>[1]!Table2[[#This Row],[หน่วยงานที่ขอ]]</f>
        <v>พมจ.กำแพงเพชร</v>
      </c>
      <c r="G31" s="241" t="str">
        <f>[1]!Table2[[#This Row],[จังหวัด]]</f>
        <v>กำแพงเพชร</v>
      </c>
      <c r="H31" s="242">
        <f>[1]!Table2[[#This Row],[จำนวน]]</f>
        <v>1</v>
      </c>
      <c r="I31" s="259" t="s">
        <v>468</v>
      </c>
      <c r="J31" s="259"/>
      <c r="K31" s="243">
        <f>[1]!Table2[[#This Row],[งบประมาณ]]</f>
        <v>10600</v>
      </c>
      <c r="L31" s="243"/>
    </row>
    <row r="32" spans="1:12" hidden="1">
      <c r="A32" s="241" t="s">
        <v>1339</v>
      </c>
      <c r="B32" s="241">
        <f>[1]!Table2[[#This Row],[ปีงบประมาณ]]</f>
        <v>2567</v>
      </c>
      <c r="C32" s="241" t="s">
        <v>447</v>
      </c>
      <c r="D32" s="241" t="str">
        <f>[1]!Table2[[#This Row],[หมวดครุภัณฑ์]]</f>
        <v>สำนักงาน</v>
      </c>
      <c r="E32" s="241" t="str">
        <f>[1]!Table2[[#This Row],[รายการ]]</f>
        <v>เครื่องถ่ายเอกสาร ระบบดิจิตอล (ขาว-ดำ) ความเร็ว 40 แผ่นต่อนาที สำนักงานพัฒนาสังคมและความมั่นคงของมนุษย์จังหวัดจันทบุรี  ตำบลตลาด อำเภอเมืองจันทบุรี จังหวัดจันทบุรี</v>
      </c>
      <c r="F32" s="241" t="str">
        <f>[1]!Table2[[#This Row],[หน่วยงานที่ขอ]]</f>
        <v>พมจ.จันทบุรี</v>
      </c>
      <c r="G32" s="241" t="str">
        <f>[1]!Table2[[#This Row],[จังหวัด]]</f>
        <v>จันทบุรี</v>
      </c>
      <c r="H32" s="242">
        <f>[1]!Table2[[#This Row],[จำนวน]]</f>
        <v>1</v>
      </c>
      <c r="I32" s="259" t="s">
        <v>468</v>
      </c>
      <c r="J32" s="259"/>
      <c r="K32" s="243">
        <f>[1]!Table2[[#This Row],[งบประมาณ]]</f>
        <v>180000</v>
      </c>
      <c r="L32" s="243"/>
    </row>
    <row r="33" spans="1:12" hidden="1">
      <c r="A33" s="241" t="s">
        <v>1340</v>
      </c>
      <c r="B33" s="241">
        <f>[1]!Table2[[#This Row],[ปีงบประมาณ]]</f>
        <v>2567</v>
      </c>
      <c r="C33" s="241" t="s">
        <v>447</v>
      </c>
      <c r="D33" s="241" t="str">
        <f>[1]!Table2[[#This Row],[หมวดครุภัณฑ์]]</f>
        <v>ยานพาหนะและขนส่ง</v>
      </c>
      <c r="E33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สำนักงานพัฒนาสังคมและความมั่นคงของมนุษย์จังหวัดฉะเชิงเทรา  ตำบลหน้าเมือง อำเภอเมืองฉะเชิงเทรา จังหวัดฉะเชิงเทรา</v>
      </c>
      <c r="F33" s="241" t="str">
        <f>[1]!Table2[[#This Row],[หน่วยงานที่ขอ]]</f>
        <v>พมจ.ฉะเชิงเทรา</v>
      </c>
      <c r="G33" s="241" t="str">
        <f>[1]!Table2[[#This Row],[จังหวัด]]</f>
        <v>ฉะเชิงเทรา</v>
      </c>
      <c r="H33" s="242">
        <f>[1]!Table2[[#This Row],[จำนวน]]</f>
        <v>1</v>
      </c>
      <c r="I33" s="259" t="s">
        <v>468</v>
      </c>
      <c r="J33" s="259"/>
      <c r="K33" s="243">
        <f>[1]!Table2[[#This Row],[งบประมาณ]]</f>
        <v>885900</v>
      </c>
      <c r="L33" s="243"/>
    </row>
    <row r="34" spans="1:12" hidden="1">
      <c r="A34" s="241" t="s">
        <v>1341</v>
      </c>
      <c r="B34" s="241">
        <f>[1]!Table2[[#This Row],[ปีงบประมาณ]]</f>
        <v>2567</v>
      </c>
      <c r="C34" s="241" t="s">
        <v>447</v>
      </c>
      <c r="D34" s="241" t="str">
        <f>[1]!Table2[[#This Row],[หมวดครุภัณฑ์]]</f>
        <v>ยานพาหนะและขนส่ง</v>
      </c>
      <c r="E34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สำนักงานพัฒนาสังคมและความมั่นคงของมนุษย์จังหวัดชลบุรี  ตำบลบางปลาสร้อย อำเภอเมืองชลบุรี จังหวัดชลบุรี</v>
      </c>
      <c r="F34" s="241" t="str">
        <f>[1]!Table2[[#This Row],[หน่วยงานที่ขอ]]</f>
        <v>พมจ.ชลบุรี</v>
      </c>
      <c r="G34" s="241" t="str">
        <f>[1]!Table2[[#This Row],[จังหวัด]]</f>
        <v>ชลบุรี</v>
      </c>
      <c r="H34" s="242">
        <f>[1]!Table2[[#This Row],[จำนวน]]</f>
        <v>1</v>
      </c>
      <c r="I34" s="259" t="s">
        <v>468</v>
      </c>
      <c r="J34" s="259"/>
      <c r="K34" s="243">
        <f>[1]!Table2[[#This Row],[งบประมาณ]]</f>
        <v>10600</v>
      </c>
      <c r="L34" s="243"/>
    </row>
    <row r="35" spans="1:12" hidden="1">
      <c r="A35" s="241" t="s">
        <v>1342</v>
      </c>
      <c r="B35" s="241">
        <f>[1]!Table2[[#This Row],[ปีงบประมาณ]]</f>
        <v>2567</v>
      </c>
      <c r="C35" s="241" t="s">
        <v>447</v>
      </c>
      <c r="D35" s="241" t="str">
        <f>[1]!Table2[[#This Row],[หมวดครุภัณฑ์]]</f>
        <v>งานบ้านงานครัว</v>
      </c>
      <c r="E35" s="241" t="str">
        <f>[1]!Table2[[#This Row],[รายการ]]</f>
        <v>เครื่องตัดหญ้า แบบข้ออ่อน สำนักงานพัฒนาสังคมและความมั่นคงของมนุษย์จังหวัดชลบุรี ตำบลบางปลาสร้อย อำเภอเมืองชลบุรี จังหวัดชลบุรี</v>
      </c>
      <c r="F35" s="241" t="str">
        <f>[1]!Table2[[#This Row],[หน่วยงานที่ขอ]]</f>
        <v>พมจ.ชลบุรี</v>
      </c>
      <c r="G35" s="241" t="str">
        <f>[1]!Table2[[#This Row],[จังหวัด]]</f>
        <v>ชลบุรี</v>
      </c>
      <c r="H35" s="242">
        <f>[1]!Table2[[#This Row],[จำนวน]]</f>
        <v>1</v>
      </c>
      <c r="I35" s="259" t="s">
        <v>468</v>
      </c>
      <c r="J35" s="259"/>
      <c r="K35" s="243">
        <f>[1]!Table2[[#This Row],[งบประมาณ]]</f>
        <v>885900</v>
      </c>
      <c r="L35" s="243"/>
    </row>
    <row r="36" spans="1:12" hidden="1">
      <c r="A36" s="241" t="s">
        <v>1343</v>
      </c>
      <c r="B36" s="241">
        <f>[1]!Table2[[#This Row],[ปีงบประมาณ]]</f>
        <v>2567</v>
      </c>
      <c r="C36" s="241" t="s">
        <v>447</v>
      </c>
      <c r="D36" s="241" t="str">
        <f>[1]!Table2[[#This Row],[หมวดครุภัณฑ์]]</f>
        <v>ยานพาหนะและขนส่ง</v>
      </c>
      <c r="E36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สำนักงานพัฒนาสังคมและความมั่นคงของมนุษย์จังหวัดชัยนาท  ตำบลในเมือง อำเภอเมืองชัยนาท จังหวัดชัยนาท</v>
      </c>
      <c r="F36" s="241" t="str">
        <f>[1]!Table2[[#This Row],[หน่วยงานที่ขอ]]</f>
        <v>พมจ.ชัยนาท</v>
      </c>
      <c r="G36" s="241" t="str">
        <f>[1]!Table2[[#This Row],[จังหวัด]]</f>
        <v>ชัยนาท</v>
      </c>
      <c r="H36" s="242">
        <f>[1]!Table2[[#This Row],[จำนวน]]</f>
        <v>1</v>
      </c>
      <c r="I36" s="259" t="s">
        <v>468</v>
      </c>
      <c r="J36" s="259"/>
      <c r="K36" s="243">
        <f>[1]!Table2[[#This Row],[งบประมาณ]]</f>
        <v>885900</v>
      </c>
      <c r="L36" s="243"/>
    </row>
    <row r="37" spans="1:12" hidden="1">
      <c r="A37" s="241" t="s">
        <v>1344</v>
      </c>
      <c r="B37" s="241">
        <f>[1]!Table2[[#This Row],[ปีงบประมาณ]]</f>
        <v>2567</v>
      </c>
      <c r="C37" s="241" t="s">
        <v>447</v>
      </c>
      <c r="D37" s="241" t="str">
        <f>[1]!Table2[[#This Row],[หมวดครุภัณฑ์]]</f>
        <v>งานบ้านงานครัว</v>
      </c>
      <c r="E37" s="241" t="str">
        <f>[1]!Table2[[#This Row],[รายการ]]</f>
        <v>เครื่องตัดหญ้า แบบข้ออ่อน สำนักงานพัฒนาสังคมและความมั่นคงของมนุษย์จังหวัดตาก ตำบลน้ำรึม อำเภอเมืองตาก จังหวัดตาก</v>
      </c>
      <c r="F37" s="241" t="str">
        <f>[1]!Table2[[#This Row],[หน่วยงานที่ขอ]]</f>
        <v>พมจ.ตาก</v>
      </c>
      <c r="G37" s="241" t="str">
        <f>[1]!Table2[[#This Row],[จังหวัด]]</f>
        <v>ตาก</v>
      </c>
      <c r="H37" s="242">
        <f>[1]!Table2[[#This Row],[จำนวน]]</f>
        <v>1</v>
      </c>
      <c r="I37" s="259" t="s">
        <v>468</v>
      </c>
      <c r="J37" s="259"/>
      <c r="K37" s="243">
        <f>[1]!Table2[[#This Row],[งบประมาณ]]</f>
        <v>10600</v>
      </c>
      <c r="L37" s="243"/>
    </row>
    <row r="38" spans="1:12" hidden="1">
      <c r="A38" s="241" t="s">
        <v>1345</v>
      </c>
      <c r="B38" s="241">
        <f>[1]!Table2[[#This Row],[ปีงบประมาณ]]</f>
        <v>2567</v>
      </c>
      <c r="C38" s="241" t="s">
        <v>447</v>
      </c>
      <c r="D38" s="241" t="str">
        <f>[1]!Table2[[#This Row],[หมวดครุภัณฑ์]]</f>
        <v>ยานพาหนะและขนส่ง</v>
      </c>
      <c r="E38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สำนักงานพัฒนาสังคมและความมั่นคงของมนุษย์จังหวัดนครนายก  ตำบลท่าช้าง อำเภอเมืองนครนายก จังหวัดนครนายก</v>
      </c>
      <c r="F38" s="241" t="str">
        <f>[1]!Table2[[#This Row],[หน่วยงานที่ขอ]]</f>
        <v>พมจ.นครนายก</v>
      </c>
      <c r="G38" s="241" t="str">
        <f>[1]!Table2[[#This Row],[จังหวัด]]</f>
        <v>นครนายก</v>
      </c>
      <c r="H38" s="242">
        <f>[1]!Table2[[#This Row],[จำนวน]]</f>
        <v>1</v>
      </c>
      <c r="I38" s="259" t="s">
        <v>468</v>
      </c>
      <c r="J38" s="259"/>
      <c r="K38" s="243">
        <f>[1]!Table2[[#This Row],[งบประมาณ]]</f>
        <v>1090900</v>
      </c>
      <c r="L38" s="243"/>
    </row>
    <row r="39" spans="1:12" hidden="1">
      <c r="A39" s="241" t="s">
        <v>1346</v>
      </c>
      <c r="B39" s="241">
        <f>[1]!Table2[[#This Row],[ปีงบประมาณ]]</f>
        <v>2567</v>
      </c>
      <c r="C39" s="241" t="s">
        <v>447</v>
      </c>
      <c r="D39" s="241" t="str">
        <f>[1]!Table2[[#This Row],[หมวดครุภัณฑ์]]</f>
        <v>ยานพาหนะและขนส่ง</v>
      </c>
      <c r="E39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สำนักงานพัฒนาสังคมและความมั่นคงของมนุษย์จังหวัดนครสวรรค์  ตำบลนครสวรรค์ตก อำเภอเมืองนครสวรรค์ จังหวัดนครสวรรค์</v>
      </c>
      <c r="F39" s="241" t="str">
        <f>[1]!Table2[[#This Row],[หน่วยงานที่ขอ]]</f>
        <v>พมจ.นครสวรรค์</v>
      </c>
      <c r="G39" s="241" t="str">
        <f>[1]!Table2[[#This Row],[จังหวัด]]</f>
        <v>นครสวรรค์</v>
      </c>
      <c r="H39" s="242">
        <f>[1]!Table2[[#This Row],[จำนวน]]</f>
        <v>1</v>
      </c>
      <c r="I39" s="259" t="s">
        <v>468</v>
      </c>
      <c r="J39" s="259"/>
      <c r="K39" s="243">
        <f>[1]!Table2[[#This Row],[งบประมาณ]]</f>
        <v>885900</v>
      </c>
      <c r="L39" s="243"/>
    </row>
    <row r="40" spans="1:12" hidden="1">
      <c r="A40" s="241" t="s">
        <v>1347</v>
      </c>
      <c r="B40" s="241">
        <f>[1]!Table2[[#This Row],[ปีงบประมาณ]]</f>
        <v>2567</v>
      </c>
      <c r="C40" s="241" t="s">
        <v>447</v>
      </c>
      <c r="D40" s="241" t="str">
        <f>[1]!Table2[[#This Row],[หมวดครุภัณฑ์]]</f>
        <v>ยานพาหนะและขนส่ง</v>
      </c>
      <c r="E40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สำนักงานพัฒนาสังคมและความมั่นคงของมนุษย์จังหวัดนครสวรรค์  ตำบลนครสวรรค์ตก อำเภอเมืองนครสวรรค์ จังหวัดนครสวรรค์</v>
      </c>
      <c r="F40" s="241" t="str">
        <f>[1]!Table2[[#This Row],[หน่วยงานที่ขอ]]</f>
        <v>พมจ.นครสวรรค์</v>
      </c>
      <c r="G40" s="241" t="str">
        <f>[1]!Table2[[#This Row],[จังหวัด]]</f>
        <v>นครสวรรค์</v>
      </c>
      <c r="H40" s="242">
        <f>[1]!Table2[[#This Row],[จำนวน]]</f>
        <v>1</v>
      </c>
      <c r="I40" s="259" t="s">
        <v>468</v>
      </c>
      <c r="J40" s="259"/>
      <c r="K40" s="243">
        <f>[1]!Table2[[#This Row],[งบประมาณ]]</f>
        <v>1090900</v>
      </c>
      <c r="L40" s="243"/>
    </row>
    <row r="41" spans="1:12" hidden="1">
      <c r="A41" s="241" t="s">
        <v>1348</v>
      </c>
      <c r="B41" s="241">
        <f>[1]!Table2[[#This Row],[ปีงบประมาณ]]</f>
        <v>2567</v>
      </c>
      <c r="C41" s="241" t="s">
        <v>447</v>
      </c>
      <c r="D41" s="241" t="str">
        <f>[1]!Table2[[#This Row],[หมวดครุภัณฑ์]]</f>
        <v>ยานพาหนะและขนส่ง</v>
      </c>
      <c r="E41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สำนักงานพัฒนาสังคมและความมั่นคงของมนุษย์จังหวัดนนทบุรี  ตำบลบางกระสอ อำเภอเมืองนนทบุรี จังหวัดนนทบุรี</v>
      </c>
      <c r="F41" s="241" t="str">
        <f>[1]!Table2[[#This Row],[หน่วยงานที่ขอ]]</f>
        <v>พมจ.นนทบุรี</v>
      </c>
      <c r="G41" s="241" t="str">
        <f>[1]!Table2[[#This Row],[จังหวัด]]</f>
        <v>นนทบุรี</v>
      </c>
      <c r="H41" s="242">
        <f>[1]!Table2[[#This Row],[จำนวน]]</f>
        <v>1</v>
      </c>
      <c r="I41" s="259" t="s">
        <v>468</v>
      </c>
      <c r="J41" s="259"/>
      <c r="K41" s="243">
        <f>[1]!Table2[[#This Row],[งบประมาณ]]</f>
        <v>1358000</v>
      </c>
      <c r="L41" s="243"/>
    </row>
    <row r="42" spans="1:12" hidden="1">
      <c r="A42" s="241" t="s">
        <v>1349</v>
      </c>
      <c r="B42" s="241">
        <f>[1]!Table2[[#This Row],[ปีงบประมาณ]]</f>
        <v>2567</v>
      </c>
      <c r="C42" s="241" t="s">
        <v>447</v>
      </c>
      <c r="D42" s="241" t="str">
        <f>[1]!Table2[[#This Row],[หมวดครุภัณฑ์]]</f>
        <v>สำนักงาน</v>
      </c>
      <c r="E42" s="241" t="str">
        <f>[1]!Table2[[#This Row],[รายการ]]</f>
        <v>เครื่องถ่ายเอกสาร ระบบดิจิตอล (ขาว-ดำ) ความเร็ว 40 แผ่นต่อนาที สำนักงานพัฒนาสังคมและความมั่นคงของมนุษย์จังหวัดนนทบุรี  ตำบลบางกระสอ อำเภอเมืองนนทบุรี จังหวัดนนทบุรี</v>
      </c>
      <c r="F42" s="241" t="str">
        <f>[1]!Table2[[#This Row],[หน่วยงานที่ขอ]]</f>
        <v>พมจ.นนทบุรี</v>
      </c>
      <c r="G42" s="241" t="str">
        <f>[1]!Table2[[#This Row],[จังหวัด]]</f>
        <v>นนทบุรี</v>
      </c>
      <c r="H42" s="242">
        <f>[1]!Table2[[#This Row],[จำนวน]]</f>
        <v>1</v>
      </c>
      <c r="I42" s="259" t="s">
        <v>468</v>
      </c>
      <c r="J42" s="259"/>
      <c r="K42" s="243">
        <f>[1]!Table2[[#This Row],[งบประมาณ]]</f>
        <v>180000</v>
      </c>
      <c r="L42" s="243"/>
    </row>
    <row r="43" spans="1:12" hidden="1">
      <c r="A43" s="241" t="s">
        <v>1350</v>
      </c>
      <c r="B43" s="241">
        <f>[1]!Table2[[#This Row],[ปีงบประมาณ]]</f>
        <v>2567</v>
      </c>
      <c r="C43" s="241" t="s">
        <v>447</v>
      </c>
      <c r="D43" s="241" t="str">
        <f>[1]!Table2[[#This Row],[หมวดครุภัณฑ์]]</f>
        <v>ยานพาหนะและขนส่ง</v>
      </c>
      <c r="E43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สำนักงานพัฒนาสังคมและความมั่นคงของมนุษย์จังหวัดปทุมธานี  ตำบลบางปรอก อำเภอเมืองปทุมธานี จังหวัดปทุมธานี</v>
      </c>
      <c r="F43" s="241" t="str">
        <f>[1]!Table2[[#This Row],[หน่วยงานที่ขอ]]</f>
        <v>พมจ.ปทุมธานี</v>
      </c>
      <c r="G43" s="241" t="str">
        <f>[1]!Table2[[#This Row],[จังหวัด]]</f>
        <v>ปทุมธานี</v>
      </c>
      <c r="H43" s="242">
        <f>[1]!Table2[[#This Row],[จำนวน]]</f>
        <v>1</v>
      </c>
      <c r="I43" s="259" t="s">
        <v>468</v>
      </c>
      <c r="J43" s="259"/>
      <c r="K43" s="243">
        <f>[1]!Table2[[#This Row],[งบประมาณ]]</f>
        <v>885900</v>
      </c>
      <c r="L43" s="243"/>
    </row>
    <row r="44" spans="1:12" hidden="1">
      <c r="A44" s="241" t="s">
        <v>1351</v>
      </c>
      <c r="B44" s="241">
        <f>[1]!Table2[[#This Row],[ปีงบประมาณ]]</f>
        <v>2567</v>
      </c>
      <c r="C44" s="241" t="s">
        <v>447</v>
      </c>
      <c r="D44" s="241" t="str">
        <f>[1]!Table2[[#This Row],[หมวดครุภัณฑ์]]</f>
        <v>สำนักงาน</v>
      </c>
      <c r="E44" s="241" t="str">
        <f>[1]!Table2[[#This Row],[รายการ]]</f>
        <v>เครื่องถ่ายเอกสาร ระบบดิจิตอล (ขาว-ดำ) ความเร็ว 50 แผ่นต่อนาที สำนักงานพัฒนาสังคมและความมั่นคงของมนุษย์จังหวัดปทุมธานี  ตำบลบางปรอก อำเภอเมืองปทุมธานี จังหวัดปทุมธานี</v>
      </c>
      <c r="F44" s="241" t="str">
        <f>[1]!Table2[[#This Row],[หน่วยงานที่ขอ]]</f>
        <v>พมจ.ปทุมธานี</v>
      </c>
      <c r="G44" s="241" t="str">
        <f>[1]!Table2[[#This Row],[จังหวัด]]</f>
        <v>ปทุมธานี</v>
      </c>
      <c r="H44" s="242">
        <f>[1]!Table2[[#This Row],[จำนวน]]</f>
        <v>1</v>
      </c>
      <c r="I44" s="259" t="s">
        <v>468</v>
      </c>
      <c r="J44" s="259"/>
      <c r="K44" s="243">
        <f>[1]!Table2[[#This Row],[งบประมาณ]]</f>
        <v>200000</v>
      </c>
      <c r="L44" s="243"/>
    </row>
    <row r="45" spans="1:12" hidden="1">
      <c r="A45" s="241" t="s">
        <v>1352</v>
      </c>
      <c r="B45" s="241">
        <f>[1]!Table2[[#This Row],[ปีงบประมาณ]]</f>
        <v>2567</v>
      </c>
      <c r="C45" s="241" t="s">
        <v>447</v>
      </c>
      <c r="D45" s="241" t="str">
        <f>[1]!Table2[[#This Row],[หมวดครุภัณฑ์]]</f>
        <v>งานบ้านงานครัว</v>
      </c>
      <c r="E45" s="241" t="str">
        <f>[1]!Table2[[#This Row],[รายการ]]</f>
        <v>เครื่องตัดหญ้า แบบข้อแข็ง สถานคุ้มครองสวัสดิภาพผู้เสียหายจากการค้ามนุษย์จังหวัดปทุมธานี ตำบลรังสิต อำเภอธัญบุรี จังหวัดปทุมธานี</v>
      </c>
      <c r="F45" s="241" t="str">
        <f>[1]!Table2[[#This Row],[หน่วยงานที่ขอ]]</f>
        <v>สคม.ปทุมธานี</v>
      </c>
      <c r="G45" s="241" t="str">
        <f>[1]!Table2[[#This Row],[จังหวัด]]</f>
        <v>ปทุมธานี</v>
      </c>
      <c r="H45" s="242">
        <f>[1]!Table2[[#This Row],[จำนวน]]</f>
        <v>1</v>
      </c>
      <c r="I45" s="259" t="s">
        <v>468</v>
      </c>
      <c r="J45" s="259"/>
      <c r="K45" s="243">
        <f>[1]!Table2[[#This Row],[งบประมาณ]]</f>
        <v>9500</v>
      </c>
      <c r="L45" s="243"/>
    </row>
    <row r="46" spans="1:12" hidden="1">
      <c r="A46" s="241" t="s">
        <v>1353</v>
      </c>
      <c r="B46" s="241">
        <f>[1]!Table2[[#This Row],[ปีงบประมาณ]]</f>
        <v>2567</v>
      </c>
      <c r="C46" s="241" t="s">
        <v>447</v>
      </c>
      <c r="D46" s="241" t="str">
        <f>[1]!Table2[[#This Row],[หมวดครุภัณฑ์]]</f>
        <v>งานบ้านงานครัว</v>
      </c>
      <c r="E46" s="241" t="str">
        <f>[1]!Table2[[#This Row],[รายการ]]</f>
        <v>เครื่องตัดหญ้า แบบเข็น สถานคุ้มครองสวัสดิภาพผู้เสียหายจากการค้ามนุษย์จังหวัดปทุมธานี ตำบลรังสิต อำเภอธัญบุรี จังหวัดปทุมธานี</v>
      </c>
      <c r="F46" s="241" t="str">
        <f>[1]!Table2[[#This Row],[หน่วยงานที่ขอ]]</f>
        <v>สคม.ปทุมธานี</v>
      </c>
      <c r="G46" s="241" t="str">
        <f>[1]!Table2[[#This Row],[จังหวัด]]</f>
        <v>ปทุมธานี</v>
      </c>
      <c r="H46" s="242">
        <f>[1]!Table2[[#This Row],[จำนวน]]</f>
        <v>1</v>
      </c>
      <c r="I46" s="259" t="s">
        <v>468</v>
      </c>
      <c r="J46" s="259"/>
      <c r="K46" s="243">
        <f>[1]!Table2[[#This Row],[งบประมาณ]]</f>
        <v>13800</v>
      </c>
      <c r="L46" s="243"/>
    </row>
    <row r="47" spans="1:12" hidden="1">
      <c r="A47" s="241" t="s">
        <v>1354</v>
      </c>
      <c r="B47" s="241">
        <f>[1]!Table2[[#This Row],[ปีงบประมาณ]]</f>
        <v>2567</v>
      </c>
      <c r="C47" s="241" t="s">
        <v>447</v>
      </c>
      <c r="D47" s="241" t="str">
        <f>[1]!Table2[[#This Row],[หมวดครุภัณฑ์]]</f>
        <v>สำนักงาน</v>
      </c>
      <c r="E47" s="241" t="str">
        <f>[1]!Table2[[#This Row],[รายการ]]</f>
        <v>เครื่องถ่ายเอกสาร ระบบดิจิตอล (ขาว-ดำ) ความเร็ว 50 แผ่นต่อนาที สำนักงานพัฒนาสังคมและความมั่นคงของมนุษย์จังหวัดปราจีนบุรี ตำบลไม้เค็ด อำเภอเมืองปราจีนบุรี จังหวัดปราจีนบุรี</v>
      </c>
      <c r="F47" s="241" t="str">
        <f>[1]!Table2[[#This Row],[หน่วยงานที่ขอ]]</f>
        <v>พมจ.ปราจีนบุรี</v>
      </c>
      <c r="G47" s="241" t="str">
        <f>[1]!Table2[[#This Row],[จังหวัด]]</f>
        <v>ปราจีนบุรี</v>
      </c>
      <c r="H47" s="242">
        <f>[1]!Table2[[#This Row],[จำนวน]]</f>
        <v>1</v>
      </c>
      <c r="I47" s="259" t="s">
        <v>468</v>
      </c>
      <c r="J47" s="259"/>
      <c r="K47" s="243">
        <f>[1]!Table2[[#This Row],[งบประมาณ]]</f>
        <v>200000</v>
      </c>
      <c r="L47" s="243"/>
    </row>
    <row r="48" spans="1:12" hidden="1">
      <c r="A48" s="241" t="s">
        <v>1355</v>
      </c>
      <c r="B48" s="241">
        <f>[1]!Table2[[#This Row],[ปีงบประมาณ]]</f>
        <v>2567</v>
      </c>
      <c r="C48" s="241" t="s">
        <v>447</v>
      </c>
      <c r="D48" s="241" t="str">
        <f>[1]!Table2[[#This Row],[หมวดครุภัณฑ์]]</f>
        <v>งานบ้านงานครัว</v>
      </c>
      <c r="E48" s="241" t="str">
        <f>[1]!Table2[[#This Row],[รายการ]]</f>
        <v>เครื่องตัดหญ้า แบบเข็น สำนักงานพัฒนาสังคมและความมั่นคงของมนุษย์จังหวัดปราจีนบุรี ตำบลไม้เค็ด อำเภอเมืองปราจีนบุรี จังหวัดปราจีนบุรี</v>
      </c>
      <c r="F48" s="241" t="str">
        <f>[1]!Table2[[#This Row],[หน่วยงานที่ขอ]]</f>
        <v>พมจ.ปราจีนบุรี</v>
      </c>
      <c r="G48" s="241" t="str">
        <f>[1]!Table2[[#This Row],[จังหวัด]]</f>
        <v>ปราจีนบุรี</v>
      </c>
      <c r="H48" s="242">
        <f>[1]!Table2[[#This Row],[จำนวน]]</f>
        <v>1</v>
      </c>
      <c r="I48" s="259" t="s">
        <v>468</v>
      </c>
      <c r="J48" s="259"/>
      <c r="K48" s="243">
        <f>[1]!Table2[[#This Row],[งบประมาณ]]</f>
        <v>13800</v>
      </c>
      <c r="L48" s="243"/>
    </row>
    <row r="49" spans="1:12" hidden="1">
      <c r="A49" s="241" t="s">
        <v>1356</v>
      </c>
      <c r="B49" s="241">
        <f>[1]!Table2[[#This Row],[ปีงบประมาณ]]</f>
        <v>2567</v>
      </c>
      <c r="C49" s="241" t="s">
        <v>447</v>
      </c>
      <c r="D49" s="241" t="str">
        <f>[1]!Table2[[#This Row],[หมวดครุภัณฑ์]]</f>
        <v>ยานพาหนะและขนส่ง</v>
      </c>
      <c r="E49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สำนักงานพัฒนาสังคมและความมั่นคงของมนุษย์จังหวัดพระนครศรีอยุธยา  ตำบลคลองสวนพลู อำเภอพระนครศรีอยุธยา จังหวัดพระนครศรีอยุธยา</v>
      </c>
      <c r="F49" s="241" t="str">
        <f>[1]!Table2[[#This Row],[หน่วยงานที่ขอ]]</f>
        <v>พมจ.พระนครศรีอยุธยา</v>
      </c>
      <c r="G49" s="241" t="str">
        <f>[1]!Table2[[#This Row],[จังหวัด]]</f>
        <v>พระนครศรีอยุธยา</v>
      </c>
      <c r="H49" s="242">
        <f>[1]!Table2[[#This Row],[จำนวน]]</f>
        <v>1</v>
      </c>
      <c r="I49" s="259" t="s">
        <v>468</v>
      </c>
      <c r="J49" s="259"/>
      <c r="K49" s="243">
        <f>[1]!Table2[[#This Row],[งบประมาณ]]</f>
        <v>885900</v>
      </c>
      <c r="L49" s="243"/>
    </row>
    <row r="50" spans="1:12" hidden="1">
      <c r="A50" s="241" t="s">
        <v>1357</v>
      </c>
      <c r="B50" s="241">
        <f>[1]!Table2[[#This Row],[ปีงบประมาณ]]</f>
        <v>2567</v>
      </c>
      <c r="C50" s="241" t="s">
        <v>447</v>
      </c>
      <c r="D50" s="241" t="str">
        <f>[1]!Table2[[#This Row],[หมวดครุภัณฑ์]]</f>
        <v>ยานพาหนะและขนส่ง</v>
      </c>
      <c r="E50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สำนักงานพัฒนาสังคมและความมั่นคงของมนุษย์จังหวัดพิจิตร ตำบลท่าหลวง อำเภอเมืองพิจิตร จังหวัดพิจิตร</v>
      </c>
      <c r="F50" s="241" t="str">
        <f>[1]!Table2[[#This Row],[หน่วยงานที่ขอ]]</f>
        <v>พมจ.พิจิตร</v>
      </c>
      <c r="G50" s="241" t="str">
        <f>[1]!Table2[[#This Row],[จังหวัด]]</f>
        <v>พิจิตร</v>
      </c>
      <c r="H50" s="242">
        <f>[1]!Table2[[#This Row],[จำนวน]]</f>
        <v>1</v>
      </c>
      <c r="I50" s="259" t="s">
        <v>468</v>
      </c>
      <c r="J50" s="259"/>
      <c r="K50" s="243">
        <f>[1]!Table2[[#This Row],[งบประมาณ]]</f>
        <v>1358000</v>
      </c>
      <c r="L50" s="243"/>
    </row>
    <row r="51" spans="1:12" hidden="1">
      <c r="A51" s="241" t="s">
        <v>1358</v>
      </c>
      <c r="B51" s="241">
        <f>[1]!Table2[[#This Row],[ปีงบประมาณ]]</f>
        <v>2567</v>
      </c>
      <c r="C51" s="241" t="s">
        <v>447</v>
      </c>
      <c r="D51" s="241" t="str">
        <f>[1]!Table2[[#This Row],[หมวดครุภัณฑ์]]</f>
        <v>ยานพาหนะและขนส่ง</v>
      </c>
      <c r="E51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สำนักงานพัฒนาสังคมและความมั่นคงของมนุษย์จังหวัดพิษณุโลก  ตำบลในเมือง อำเภอเมืองพิษณุโลก จังหวัดพิษณุโลก</v>
      </c>
      <c r="F51" s="241" t="str">
        <f>[1]!Table2[[#This Row],[หน่วยงานที่ขอ]]</f>
        <v>พมจ.พิษณุโลก</v>
      </c>
      <c r="G51" s="241" t="str">
        <f>[1]!Table2[[#This Row],[จังหวัด]]</f>
        <v>พิษณุโลก</v>
      </c>
      <c r="H51" s="242">
        <f>[1]!Table2[[#This Row],[จำนวน]]</f>
        <v>1</v>
      </c>
      <c r="I51" s="259" t="s">
        <v>468</v>
      </c>
      <c r="J51" s="259"/>
      <c r="K51" s="243">
        <f>[1]!Table2[[#This Row],[งบประมาณ]]</f>
        <v>1090900</v>
      </c>
      <c r="L51" s="243"/>
    </row>
    <row r="52" spans="1:12" hidden="1">
      <c r="A52" s="241" t="s">
        <v>1359</v>
      </c>
      <c r="B52" s="241">
        <f>[1]!Table2[[#This Row],[ปีงบประมาณ]]</f>
        <v>2567</v>
      </c>
      <c r="C52" s="241" t="s">
        <v>447</v>
      </c>
      <c r="D52" s="241" t="str">
        <f>[1]!Table2[[#This Row],[หมวดครุภัณฑ์]]</f>
        <v>ยานพาหนะและขนส่ง</v>
      </c>
      <c r="E52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สำนักงานพัฒนาสังคมและความมั่นคงของมนุษย์จังหวัดพิษณุโลก  ตำบลในเมือง อำเภอเมืองพิษณุโลก จังหวัดพิษณุโลก</v>
      </c>
      <c r="F52" s="241" t="str">
        <f>[1]!Table2[[#This Row],[หน่วยงานที่ขอ]]</f>
        <v>พมจ.พิษณุโลก</v>
      </c>
      <c r="G52" s="241" t="str">
        <f>[1]!Table2[[#This Row],[จังหวัด]]</f>
        <v>พิษณุโลก</v>
      </c>
      <c r="H52" s="242">
        <f>[1]!Table2[[#This Row],[จำนวน]]</f>
        <v>1</v>
      </c>
      <c r="I52" s="259" t="s">
        <v>468</v>
      </c>
      <c r="J52" s="259"/>
      <c r="K52" s="243">
        <f>[1]!Table2[[#This Row],[งบประมาณ]]</f>
        <v>1358000</v>
      </c>
      <c r="L52" s="243"/>
    </row>
    <row r="53" spans="1:12" hidden="1">
      <c r="A53" s="241" t="s">
        <v>1360</v>
      </c>
      <c r="B53" s="241">
        <f>[1]!Table2[[#This Row],[ปีงบประมาณ]]</f>
        <v>2567</v>
      </c>
      <c r="C53" s="241" t="s">
        <v>447</v>
      </c>
      <c r="D53" s="241" t="str">
        <f>[1]!Table2[[#This Row],[หมวดครุภัณฑ์]]</f>
        <v>งานบ้านงานครัว</v>
      </c>
      <c r="E53" s="241" t="str">
        <f>[1]!Table2[[#This Row],[รายการ]]</f>
        <v>เครื่องตัดแต่งพุ่มไม้ ขนาด 22 นิ้ว สถานคุ้มครองสวัสดิภาพผู้เสียหายจากการค้ามนุษย์ (บ้านสองแคว)  ตำบลหนองกุลา อำเภอบางระกำ จังหวัดพิษณุโลก</v>
      </c>
      <c r="F53" s="241" t="str">
        <f>[1]!Table2[[#This Row],[หน่วยงานที่ขอ]]</f>
        <v>สคม.บ้านสองแคว</v>
      </c>
      <c r="G53" s="241" t="str">
        <f>[1]!Table2[[#This Row],[จังหวัด]]</f>
        <v>พิษณุโลก</v>
      </c>
      <c r="H53" s="242">
        <f>[1]!Table2[[#This Row],[จำนวน]]</f>
        <v>2</v>
      </c>
      <c r="I53" s="259" t="s">
        <v>468</v>
      </c>
      <c r="J53" s="259"/>
      <c r="K53" s="243">
        <f>[1]!Table2[[#This Row],[งบประมาณ]]</f>
        <v>22000</v>
      </c>
      <c r="L53" s="243"/>
    </row>
    <row r="54" spans="1:12" hidden="1">
      <c r="A54" s="241" t="s">
        <v>1361</v>
      </c>
      <c r="B54" s="241">
        <f>[1]!Table2[[#This Row],[ปีงบประมาณ]]</f>
        <v>2567</v>
      </c>
      <c r="C54" s="241" t="s">
        <v>447</v>
      </c>
      <c r="D54" s="241" t="str">
        <f>[1]!Table2[[#This Row],[หมวดครุภัณฑ์]]</f>
        <v>ยานพาหนะและขนส่ง</v>
      </c>
      <c r="E54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สำนักงานพัฒนาสังคมและความมั่นคงของมนุษย์จังหวัดระยอง  ตำบลเนินพระ อำเภอเมืองระยอง จังหวัดระยอง</v>
      </c>
      <c r="F54" s="241" t="str">
        <f>[1]!Table2[[#This Row],[หน่วยงานที่ขอ]]</f>
        <v>พมจ.ระยอง</v>
      </c>
      <c r="G54" s="241" t="str">
        <f>[1]!Table2[[#This Row],[จังหวัด]]</f>
        <v>ระยอง</v>
      </c>
      <c r="H54" s="242">
        <f>[1]!Table2[[#This Row],[จำนวน]]</f>
        <v>1</v>
      </c>
      <c r="I54" s="259" t="s">
        <v>468</v>
      </c>
      <c r="J54" s="259"/>
      <c r="K54" s="243">
        <f>[1]!Table2[[#This Row],[งบประมาณ]]</f>
        <v>1358000</v>
      </c>
      <c r="L54" s="243"/>
    </row>
    <row r="55" spans="1:12" hidden="1">
      <c r="A55" s="241" t="s">
        <v>1362</v>
      </c>
      <c r="B55" s="241">
        <f>[1]!Table2[[#This Row],[ปีงบประมาณ]]</f>
        <v>2567</v>
      </c>
      <c r="C55" s="241" t="s">
        <v>447</v>
      </c>
      <c r="D55" s="241" t="str">
        <f>[1]!Table2[[#This Row],[หมวดครุภัณฑ์]]</f>
        <v>ยานพาหนะและขนส่ง</v>
      </c>
      <c r="E55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สำนักงานพัฒนาสังคมและความมั่นคงของมนุษย์จังหวัดราชบุรี  ตำบลหน้าเมือง อำเภอเมืองราชบุรี จังหวัดราชบุรี</v>
      </c>
      <c r="F55" s="241" t="str">
        <f>[1]!Table2[[#This Row],[หน่วยงานที่ขอ]]</f>
        <v>พมจ.ราชบุรี</v>
      </c>
      <c r="G55" s="241" t="str">
        <f>[1]!Table2[[#This Row],[จังหวัด]]</f>
        <v>ราชบุรี</v>
      </c>
      <c r="H55" s="242">
        <f>[1]!Table2[[#This Row],[จำนวน]]</f>
        <v>1</v>
      </c>
      <c r="I55" s="259" t="s">
        <v>468</v>
      </c>
      <c r="J55" s="259"/>
      <c r="K55" s="243">
        <f>[1]!Table2[[#This Row],[งบประมาณ]]</f>
        <v>885900</v>
      </c>
      <c r="L55" s="243"/>
    </row>
    <row r="56" spans="1:12" hidden="1">
      <c r="A56" s="241" t="s">
        <v>1363</v>
      </c>
      <c r="B56" s="241">
        <f>[1]!Table2[[#This Row],[ปีงบประมาณ]]</f>
        <v>2567</v>
      </c>
      <c r="C56" s="241" t="s">
        <v>447</v>
      </c>
      <c r="D56" s="241" t="str">
        <f>[1]!Table2[[#This Row],[หมวดครุภัณฑ์]]</f>
        <v>ยานพาหนะและขนส่ง</v>
      </c>
      <c r="E56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สำนักงานพัฒนาสังคมและความมั่นคงของมนุษย์จังหวัดลพบุรี  ตำบลทะเลชุบศร อำเภอเมืองลพบุรี จังหวัดลพบุรี</v>
      </c>
      <c r="F56" s="241" t="str">
        <f>[1]!Table2[[#This Row],[หน่วยงานที่ขอ]]</f>
        <v>พมจ.ลพบุรี</v>
      </c>
      <c r="G56" s="241" t="str">
        <f>[1]!Table2[[#This Row],[จังหวัด]]</f>
        <v>ลพบุรี</v>
      </c>
      <c r="H56" s="242">
        <f>[1]!Table2[[#This Row],[จำนวน]]</f>
        <v>1</v>
      </c>
      <c r="I56" s="259" t="s">
        <v>468</v>
      </c>
      <c r="J56" s="259"/>
      <c r="K56" s="243">
        <f>[1]!Table2[[#This Row],[งบประมาณ]]</f>
        <v>1090900</v>
      </c>
      <c r="L56" s="243"/>
    </row>
    <row r="57" spans="1:12" hidden="1">
      <c r="A57" s="241" t="s">
        <v>1364</v>
      </c>
      <c r="B57" s="241">
        <f>[1]!Table2[[#This Row],[ปีงบประมาณ]]</f>
        <v>2567</v>
      </c>
      <c r="C57" s="241" t="s">
        <v>447</v>
      </c>
      <c r="D57" s="241" t="str">
        <f>[1]!Table2[[#This Row],[หมวดครุภัณฑ์]]</f>
        <v>ยานพาหนะและขนส่ง</v>
      </c>
      <c r="E57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สำนักงานพัฒนาสังคมและความมั่นคงของมนุษย์จังหวัดชุมพร  ตำบลนาชะอัง อำเภอเมืองชุมพร จังหวัดชุมพร</v>
      </c>
      <c r="F57" s="241" t="str">
        <f>[1]!Table2[[#This Row],[หน่วยงานที่ขอ]]</f>
        <v>พมจ.ชุมพร</v>
      </c>
      <c r="G57" s="241" t="str">
        <f>[1]!Table2[[#This Row],[จังหวัด]]</f>
        <v>ชุมพร</v>
      </c>
      <c r="H57" s="242">
        <f>[1]!Table2[[#This Row],[จำนวน]]</f>
        <v>1</v>
      </c>
      <c r="I57" s="259" t="s">
        <v>468</v>
      </c>
      <c r="J57" s="259"/>
      <c r="K57" s="243">
        <f>[1]!Table2[[#This Row],[งบประมาณ]]</f>
        <v>1090900</v>
      </c>
      <c r="L57" s="243"/>
    </row>
    <row r="58" spans="1:12" hidden="1">
      <c r="A58" s="241" t="s">
        <v>1365</v>
      </c>
      <c r="B58" s="241">
        <f>[1]!Table2[[#This Row],[ปีงบประมาณ]]</f>
        <v>2567</v>
      </c>
      <c r="C58" s="241" t="s">
        <v>447</v>
      </c>
      <c r="D58" s="241" t="str">
        <f>[1]!Table2[[#This Row],[หมวดครุภัณฑ์]]</f>
        <v>ยานพาหนะและขนส่ง</v>
      </c>
      <c r="E58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สำนักงานพัฒนาสังคมและความมั่นคงของมนุษย์จังหวัดตรัง  ตำบลทับเที่ยง อำเภอเมืองตรัง จังหวัดตรัง</v>
      </c>
      <c r="F58" s="241" t="str">
        <f>[1]!Table2[[#This Row],[หน่วยงานที่ขอ]]</f>
        <v>พมจ.ตรัง</v>
      </c>
      <c r="G58" s="241" t="str">
        <f>[1]!Table2[[#This Row],[จังหวัด]]</f>
        <v>ตรัง</v>
      </c>
      <c r="H58" s="242">
        <f>[1]!Table2[[#This Row],[จำนวน]]</f>
        <v>1</v>
      </c>
      <c r="I58" s="259" t="s">
        <v>468</v>
      </c>
      <c r="J58" s="259"/>
      <c r="K58" s="243">
        <f>[1]!Table2[[#This Row],[งบประมาณ]]</f>
        <v>1090900</v>
      </c>
      <c r="L58" s="243"/>
    </row>
    <row r="59" spans="1:12" hidden="1">
      <c r="A59" s="241" t="s">
        <v>1366</v>
      </c>
      <c r="B59" s="241">
        <f>[1]!Table2[[#This Row],[ปีงบประมาณ]]</f>
        <v>2567</v>
      </c>
      <c r="C59" s="241" t="s">
        <v>447</v>
      </c>
      <c r="D59" s="241" t="str">
        <f>[1]!Table2[[#This Row],[หมวดครุภัณฑ์]]</f>
        <v>สำนักงาน</v>
      </c>
      <c r="E59" s="241" t="str">
        <f>[1]!Table2[[#This Row],[รายการ]]</f>
        <v>เครื่องถ่ายเอกสาร ระบบดิจิตอล (ขาว-ดำ) ความเร็ว 40 แผ่นต่อนาที สำนักงานพัฒนาสังคมและความมั่นคงของมนุษย์จังหวัดตรัง  ตำบลทับเที่ยง อำเภอเมืองตรัง จังหวัดตรัง</v>
      </c>
      <c r="F59" s="241" t="str">
        <f>[1]!Table2[[#This Row],[หน่วยงานที่ขอ]]</f>
        <v>พมจ.ตรัง</v>
      </c>
      <c r="G59" s="241" t="str">
        <f>[1]!Table2[[#This Row],[จังหวัด]]</f>
        <v>ตรัง</v>
      </c>
      <c r="H59" s="242">
        <f>[1]!Table2[[#This Row],[จำนวน]]</f>
        <v>1</v>
      </c>
      <c r="I59" s="259" t="s">
        <v>468</v>
      </c>
      <c r="J59" s="259"/>
      <c r="K59" s="243">
        <f>[1]!Table2[[#This Row],[งบประมาณ]]</f>
        <v>180000</v>
      </c>
      <c r="L59" s="243"/>
    </row>
    <row r="60" spans="1:12" hidden="1">
      <c r="A60" s="241" t="s">
        <v>1367</v>
      </c>
      <c r="B60" s="241">
        <f>[1]!Table2[[#This Row],[ปีงบประมาณ]]</f>
        <v>2567</v>
      </c>
      <c r="C60" s="241" t="s">
        <v>447</v>
      </c>
      <c r="D60" s="241" t="str">
        <f>[1]!Table2[[#This Row],[หมวดครุภัณฑ์]]</f>
        <v>ยานพาหนะและขนส่ง</v>
      </c>
      <c r="E60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สำนักงานพัฒนาสังคมและความมั่นคงของมนุษย์จังหวัดนครศรีธรรมราช  ตำบลในเมือง อำเภอเมืองนครศรีธรรมราช จังหวัดนครศรีธรรมราช</v>
      </c>
      <c r="F60" s="241" t="str">
        <f>[1]!Table2[[#This Row],[หน่วยงานที่ขอ]]</f>
        <v>พมจ.นครศรีธรรมราช</v>
      </c>
      <c r="G60" s="241" t="str">
        <f>[1]!Table2[[#This Row],[จังหวัด]]</f>
        <v>นครศรีธรรมราช</v>
      </c>
      <c r="H60" s="242">
        <f>[1]!Table2[[#This Row],[จำนวน]]</f>
        <v>1</v>
      </c>
      <c r="I60" s="259" t="s">
        <v>468</v>
      </c>
      <c r="J60" s="259"/>
      <c r="K60" s="243">
        <f>[1]!Table2[[#This Row],[งบประมาณ]]</f>
        <v>1090900</v>
      </c>
      <c r="L60" s="243"/>
    </row>
    <row r="61" spans="1:12" hidden="1">
      <c r="A61" s="241" t="s">
        <v>1368</v>
      </c>
      <c r="B61" s="241">
        <f>[1]!Table2[[#This Row],[ปีงบประมาณ]]</f>
        <v>2567</v>
      </c>
      <c r="C61" s="241" t="s">
        <v>447</v>
      </c>
      <c r="D61" s="241" t="str">
        <f>[1]!Table2[[#This Row],[หมวดครุภัณฑ์]]</f>
        <v>ยานพาหนะและขนส่ง</v>
      </c>
      <c r="E61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สำนักงานพัฒนาสังคมและความมั่นคงของมนุษย์จังหวัดปัตตานี  ตำบลสะบารัง อำเภอเมืองปัตตานี จังหวัดปัตตานี</v>
      </c>
      <c r="F61" s="241" t="str">
        <f>[1]!Table2[[#This Row],[หน่วยงานที่ขอ]]</f>
        <v>พมจ.ปัตตานี</v>
      </c>
      <c r="G61" s="241" t="str">
        <f>[1]!Table2[[#This Row],[จังหวัด]]</f>
        <v>ปัตตานี</v>
      </c>
      <c r="H61" s="242">
        <f>[1]!Table2[[#This Row],[จำนวน]]</f>
        <v>1</v>
      </c>
      <c r="I61" s="259" t="s">
        <v>468</v>
      </c>
      <c r="J61" s="259"/>
      <c r="K61" s="243">
        <f>[1]!Table2[[#This Row],[งบประมาณ]]</f>
        <v>1090900</v>
      </c>
      <c r="L61" s="243"/>
    </row>
    <row r="62" spans="1:12" hidden="1">
      <c r="A62" s="241" t="s">
        <v>1369</v>
      </c>
      <c r="B62" s="241">
        <f>[1]!Table2[[#This Row],[ปีงบประมาณ]]</f>
        <v>2567</v>
      </c>
      <c r="C62" s="241" t="s">
        <v>447</v>
      </c>
      <c r="D62" s="241" t="str">
        <f>[1]!Table2[[#This Row],[หมวดครุภัณฑ์]]</f>
        <v>สำนักงาน</v>
      </c>
      <c r="E62" s="241" t="str">
        <f>[1]!Table2[[#This Row],[รายการ]]</f>
        <v>เครื่องถ่ายเอกสาร ระบบดิจิตอล (ขาว-ดำ) ความเร็ว 50 แผ่นต่อนาที สำนักงานพัฒนาสังคมและความมั่นคงของมนุษย์จังหวัดปัตตานี  ตำบลสะบารัง อำเภอเมืองปัตตานี จังหวัดปัตตานี</v>
      </c>
      <c r="F62" s="241" t="str">
        <f>[1]!Table2[[#This Row],[หน่วยงานที่ขอ]]</f>
        <v>พมจ.ปัตตานี</v>
      </c>
      <c r="G62" s="241" t="str">
        <f>[1]!Table2[[#This Row],[จังหวัด]]</f>
        <v>ปัตตานี</v>
      </c>
      <c r="H62" s="242">
        <f>[1]!Table2[[#This Row],[จำนวน]]</f>
        <v>1</v>
      </c>
      <c r="I62" s="259" t="s">
        <v>468</v>
      </c>
      <c r="J62" s="259"/>
      <c r="K62" s="243">
        <f>[1]!Table2[[#This Row],[งบประมาณ]]</f>
        <v>200000</v>
      </c>
      <c r="L62" s="243"/>
    </row>
    <row r="63" spans="1:12" hidden="1">
      <c r="A63" s="241" t="s">
        <v>1370</v>
      </c>
      <c r="B63" s="241">
        <f>[1]!Table2[[#This Row],[ปีงบประมาณ]]</f>
        <v>2567</v>
      </c>
      <c r="C63" s="241" t="s">
        <v>447</v>
      </c>
      <c r="D63" s="241" t="str">
        <f>[1]!Table2[[#This Row],[หมวดครุภัณฑ์]]</f>
        <v>ยานพาหนะและขนส่ง</v>
      </c>
      <c r="E63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สำนักงานพัฒนาสังคมและความมั่นคงของมนุษย์จังหวัดพังงา  ตำบลถ้ำน้ำผุด อำเภอเมืองพังงา จังหวัดพังงา</v>
      </c>
      <c r="F63" s="241" t="str">
        <f>[1]!Table2[[#This Row],[หน่วยงานที่ขอ]]</f>
        <v>พมจ.พังงา</v>
      </c>
      <c r="G63" s="241" t="str">
        <f>[1]!Table2[[#This Row],[จังหวัด]]</f>
        <v>พังงา</v>
      </c>
      <c r="H63" s="242">
        <f>[1]!Table2[[#This Row],[จำนวน]]</f>
        <v>1</v>
      </c>
      <c r="I63" s="259" t="s">
        <v>468</v>
      </c>
      <c r="J63" s="259"/>
      <c r="K63" s="243">
        <f>[1]!Table2[[#This Row],[งบประมาณ]]</f>
        <v>1358000</v>
      </c>
      <c r="L63" s="243"/>
    </row>
    <row r="64" spans="1:12" hidden="1">
      <c r="A64" s="241" t="s">
        <v>1371</v>
      </c>
      <c r="B64" s="241">
        <f>[1]!Table2[[#This Row],[ปีงบประมาณ]]</f>
        <v>2567</v>
      </c>
      <c r="C64" s="241" t="s">
        <v>447</v>
      </c>
      <c r="D64" s="241" t="str">
        <f>[1]!Table2[[#This Row],[หมวดครุภัณฑ์]]</f>
        <v>ยานพาหนะและขนส่ง</v>
      </c>
      <c r="E64" s="241" t="str">
        <f>[1]!Table2[[#This Row],[รายการ]]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 สำนักงานพัฒนาสังคมและความมั่นคงของมนุษย์จังหวัดพัทลุง  ตำบลคูหาสวรรค์ อำเภอเมืองพัทลุง จังหวัดพัทลุง</v>
      </c>
      <c r="F64" s="241" t="str">
        <f>[1]!Table2[[#This Row],[หน่วยงานที่ขอ]]</f>
        <v>พมจ.พัทลุง</v>
      </c>
      <c r="G64" s="241" t="str">
        <f>[1]!Table2[[#This Row],[จังหวัด]]</f>
        <v>พัทลุง</v>
      </c>
      <c r="H64" s="242">
        <f>[1]!Table2[[#This Row],[จำนวน]]</f>
        <v>1</v>
      </c>
      <c r="I64" s="259" t="s">
        <v>468</v>
      </c>
      <c r="J64" s="259"/>
      <c r="K64" s="243">
        <f>[1]!Table2[[#This Row],[งบประมาณ]]</f>
        <v>1358000</v>
      </c>
      <c r="L64" s="243"/>
    </row>
    <row r="65" spans="1:12" hidden="1">
      <c r="A65" s="241" t="s">
        <v>1372</v>
      </c>
      <c r="B65" s="241">
        <f>[1]!Table2[[#This Row],[ปีงบประมาณ]]</f>
        <v>2567</v>
      </c>
      <c r="C65" s="241" t="s">
        <v>447</v>
      </c>
      <c r="D65" s="241" t="str">
        <f>[1]!Table2[[#This Row],[หมวดครุภัณฑ์]]</f>
        <v>ยานพาหนะและขนส่ง</v>
      </c>
      <c r="E65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สำนักงานพัฒนาสังคมและความมั่นคงของมนุษย์จังหวัดยะลา  ตำบลสะเตง อำเภอเมืองยะลา จังหวัดยะลา</v>
      </c>
      <c r="F65" s="241" t="str">
        <f>[1]!Table2[[#This Row],[หน่วยงานที่ขอ]]</f>
        <v>พมจ.ยะลา</v>
      </c>
      <c r="G65" s="241" t="str">
        <f>[1]!Table2[[#This Row],[จังหวัด]]</f>
        <v>ยะลา</v>
      </c>
      <c r="H65" s="242">
        <f>[1]!Table2[[#This Row],[จำนวน]]</f>
        <v>1</v>
      </c>
      <c r="I65" s="259" t="s">
        <v>468</v>
      </c>
      <c r="J65" s="259"/>
      <c r="K65" s="243">
        <f>[1]!Table2[[#This Row],[งบประมาณ]]</f>
        <v>1090900</v>
      </c>
      <c r="L65" s="243"/>
    </row>
    <row r="66" spans="1:12" hidden="1">
      <c r="A66" s="241" t="s">
        <v>1373</v>
      </c>
      <c r="B66" s="241">
        <f>[1]!Table2[[#This Row],[ปีงบประมาณ]]</f>
        <v>2567</v>
      </c>
      <c r="C66" s="241" t="s">
        <v>447</v>
      </c>
      <c r="D66" s="241" t="str">
        <f>[1]!Table2[[#This Row],[หมวดครุภัณฑ์]]</f>
        <v>ยานพาหนะและขนส่ง</v>
      </c>
      <c r="E66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สำนักงานพัฒนาสังคมและความมั่นคงของมนุษย์จังหวัดสงขลา  ตำบลบ่อยาง อำเภอเมืองสงขลา จังหวัดสงขลา</v>
      </c>
      <c r="F66" s="241" t="str">
        <f>[1]!Table2[[#This Row],[หน่วยงานที่ขอ]]</f>
        <v>พมจ.สงขลา</v>
      </c>
      <c r="G66" s="241" t="str">
        <f>[1]!Table2[[#This Row],[จังหวัด]]</f>
        <v>สงขลา</v>
      </c>
      <c r="H66" s="242">
        <f>[1]!Table2[[#This Row],[จำนวน]]</f>
        <v>1</v>
      </c>
      <c r="I66" s="259" t="s">
        <v>468</v>
      </c>
      <c r="J66" s="259"/>
      <c r="K66" s="243">
        <f>[1]!Table2[[#This Row],[งบประมาณ]]</f>
        <v>1090900</v>
      </c>
      <c r="L66" s="243"/>
    </row>
    <row r="67" spans="1:12" hidden="1">
      <c r="A67" s="241" t="s">
        <v>1374</v>
      </c>
      <c r="B67" s="241">
        <f>[1]!Table2[[#This Row],[ปีงบประมาณ]]</f>
        <v>2567</v>
      </c>
      <c r="C67" s="241" t="s">
        <v>447</v>
      </c>
      <c r="D67" s="241" t="str">
        <f>[1]!Table2[[#This Row],[หมวดครุภัณฑ์]]</f>
        <v>งานบ้านงานครัว</v>
      </c>
      <c r="E67" s="241" t="str">
        <f>[1]!Table2[[#This Row],[รายการ]]</f>
        <v>เครื่องตัดหญ้า แบบข้อแข็ง สถานคุ้มครองสวัสดิภาพผู้เสียหายจากการค้ามนุษย์จังหวัดสงขลา ตำบลกำแพงเพชร อำเภอรัตภูมิ จังหวัดสงขลา</v>
      </c>
      <c r="F67" s="241" t="str">
        <f>[1]!Table2[[#This Row],[หน่วยงานที่ขอ]]</f>
        <v>สคม.สงขลา</v>
      </c>
      <c r="G67" s="241" t="str">
        <f>[1]!Table2[[#This Row],[จังหวัด]]</f>
        <v>สงขลา</v>
      </c>
      <c r="H67" s="242">
        <f>[1]!Table2[[#This Row],[จำนวน]]</f>
        <v>1</v>
      </c>
      <c r="I67" s="259" t="s">
        <v>468</v>
      </c>
      <c r="J67" s="259"/>
      <c r="K67" s="243">
        <f>[1]!Table2[[#This Row],[งบประมาณ]]</f>
        <v>9500</v>
      </c>
      <c r="L67" s="243"/>
    </row>
    <row r="68" spans="1:12" hidden="1">
      <c r="A68" s="241" t="s">
        <v>1375</v>
      </c>
      <c r="B68" s="241">
        <f>[1]!Table2[[#This Row],[ปีงบประมาณ]]</f>
        <v>2567</v>
      </c>
      <c r="C68" s="241" t="s">
        <v>447</v>
      </c>
      <c r="D68" s="241" t="str">
        <f>[1]!Table2[[#This Row],[หมวดครุภัณฑ์]]</f>
        <v>งานบ้านงานครัว</v>
      </c>
      <c r="E68" s="241" t="str">
        <f>[1]!Table2[[#This Row],[รายการ]]</f>
        <v>เครื่องตัดหญ้า แบบข้อแข็ง สถานคุ้มครองสวัสดิภาพผู้เสียหายจากการค้ามนุษย์ (บ้านศรีสุราษฎร์) ตำบลขุนทะเล อำเภอเมืองสุราษฎร์ธานี จังหวัดสุราษฎร์ธานี</v>
      </c>
      <c r="F68" s="241" t="str">
        <f>[1]!Table2[[#This Row],[หน่วยงานที่ขอ]]</f>
        <v>สคม.บ้านศรีสุราษฎร์</v>
      </c>
      <c r="G68" s="241" t="str">
        <f>[1]!Table2[[#This Row],[จังหวัด]]</f>
        <v>สุราษฎร์ธานี</v>
      </c>
      <c r="H68" s="242">
        <f>[1]!Table2[[#This Row],[จำนวน]]</f>
        <v>1</v>
      </c>
      <c r="I68" s="259" t="s">
        <v>468</v>
      </c>
      <c r="J68" s="259"/>
      <c r="K68" s="243">
        <f>[1]!Table2[[#This Row],[งบประมาณ]]</f>
        <v>9500</v>
      </c>
      <c r="L68" s="243"/>
    </row>
    <row r="69" spans="1:12" hidden="1">
      <c r="A69" s="241" t="s">
        <v>1376</v>
      </c>
      <c r="B69" s="241">
        <f>[1]!Table2[[#This Row],[ปีงบประมาณ]]</f>
        <v>2567</v>
      </c>
      <c r="C69" s="241" t="s">
        <v>447</v>
      </c>
      <c r="D69" s="241" t="str">
        <f>[1]!Table2[[#This Row],[หมวดครุภัณฑ์]]</f>
        <v>งานบ้านงานครัว</v>
      </c>
      <c r="E69" s="241" t="str">
        <f>[1]!Table2[[#This Row],[รายการ]]</f>
        <v>เครื่องตัดหญ้า แบบข้ออ่อน สำนักงานพัฒนาสังคมและความมั่นคงของมนุษย์จังหวัดสุราษฎร์ธานี ตำบลขุนทะเล อำเภอเมืองสุราษฎร์ธานี จังหวัดสุราษฎร์ธานี</v>
      </c>
      <c r="F69" s="241" t="str">
        <f>[1]!Table2[[#This Row],[หน่วยงานที่ขอ]]</f>
        <v>พมจ.สุราษฎร์ธานี</v>
      </c>
      <c r="G69" s="241" t="str">
        <f>[1]!Table2[[#This Row],[จังหวัด]]</f>
        <v>สุราษฎร์ธานี</v>
      </c>
      <c r="H69" s="242">
        <f>[1]!Table2[[#This Row],[จำนวน]]</f>
        <v>1</v>
      </c>
      <c r="I69" s="259" t="s">
        <v>468</v>
      </c>
      <c r="J69" s="259"/>
      <c r="K69" s="243">
        <f>[1]!Table2[[#This Row],[งบประมาณ]]</f>
        <v>10600</v>
      </c>
      <c r="L69" s="243"/>
    </row>
    <row r="70" spans="1:12" hidden="1">
      <c r="A70" s="241" t="s">
        <v>1377</v>
      </c>
      <c r="B70" s="241">
        <f>[1]!Table2[[#This Row],[ปีงบประมาณ]]</f>
        <v>2567</v>
      </c>
      <c r="C70" s="241" t="s">
        <v>447</v>
      </c>
      <c r="D70" s="241" t="str">
        <f>[1]!Table2[[#This Row],[หมวดครุภัณฑ์]]</f>
        <v>งานบ้านงานครัว</v>
      </c>
      <c r="E70" s="241" t="str">
        <f>[1]!Table2[[#This Row],[รายการ]]</f>
        <v>เครื่องตัดแต่งพุ่มไม้ ขนาด 29.5 นิ้ว สำนักงานพัฒนาสังคมและความมั่นคงของมนุษย์จังหวัดสุราษฎร์ธานี ตำบลขุนทะเล อำเภอเมืองสุราษฎร์ธานี จังหวัดสุราษฎร์ธานี</v>
      </c>
      <c r="F70" s="241" t="str">
        <f>[1]!Table2[[#This Row],[หน่วยงานที่ขอ]]</f>
        <v>พมจ.สุราษฎร์ธานี</v>
      </c>
      <c r="G70" s="241" t="str">
        <f>[1]!Table2[[#This Row],[จังหวัด]]</f>
        <v>สุราษฎร์ธานี</v>
      </c>
      <c r="H70" s="242">
        <f>[1]!Table2[[#This Row],[จำนวน]]</f>
        <v>1</v>
      </c>
      <c r="I70" s="259" t="s">
        <v>468</v>
      </c>
      <c r="J70" s="259"/>
      <c r="K70" s="243">
        <f>[1]!Table2[[#This Row],[งบประมาณ]]</f>
        <v>17400</v>
      </c>
      <c r="L70" s="243"/>
    </row>
    <row r="71" spans="1:12" hidden="1">
      <c r="A71" s="241" t="s">
        <v>1378</v>
      </c>
      <c r="B71" s="241">
        <f>[1]!Table2[[#This Row],[ปีงบประมาณ]]</f>
        <v>2567</v>
      </c>
      <c r="C71" s="241" t="s">
        <v>447</v>
      </c>
      <c r="D71" s="241" t="str">
        <f>[1]!Table2[[#This Row],[หมวดครุภัณฑ์]]</f>
        <v>ยานพาหนะและขนส่ง</v>
      </c>
      <c r="E71" s="241" t="str">
        <f>[1]!Table2[[#This Row],[รายการ]]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สำนักงานส่งเสริมและสนับสนุนวิชาการ 10  ตำบลขุนทะเล อำเภอเมืองสุราษฎร์ธานี จังหวัดสุราษฎร์ธานี</v>
      </c>
      <c r="F71" s="241" t="str">
        <f>[1]!Table2[[#This Row],[หน่วยงานที่ขอ]]</f>
        <v>สสว.10</v>
      </c>
      <c r="G71" s="241" t="str">
        <f>[1]!Table2[[#This Row],[จังหวัด]]</f>
        <v>สุราษฎร์ธานี</v>
      </c>
      <c r="H71" s="242">
        <f>[1]!Table2[[#This Row],[จำนวน]]</f>
        <v>1</v>
      </c>
      <c r="I71" s="259" t="s">
        <v>468</v>
      </c>
      <c r="J71" s="259"/>
      <c r="K71" s="243">
        <f>[1]!Table2[[#This Row],[งบประมาณ]]</f>
        <v>1055000</v>
      </c>
      <c r="L71" s="243"/>
    </row>
    <row r="72" spans="1:12" hidden="1">
      <c r="A72" s="241" t="s">
        <v>1379</v>
      </c>
      <c r="B72" s="244">
        <f>'[1]ครุภัณฑ์ 68 (data)'!B2</f>
        <v>2568</v>
      </c>
      <c r="C72" s="241" t="s">
        <v>447</v>
      </c>
      <c r="D72" s="244" t="str">
        <f>'[1]ครุภัณฑ์ 68 (data)'!D2</f>
        <v>ยานพาหนะและขนส่ง</v>
      </c>
      <c r="E72" s="244" t="str">
        <f>'[1]ครุภัณฑ์ 68 (data)'!E2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สำนักงานพัฒนาสังคมและความมั่นคงของมนุษย์จังหวัดเชียงใหม่ ตำบลช้างเผือก อำเภอเมืองเชียงใหม่ จังหวัดเชียงใหม่</v>
      </c>
      <c r="F72" s="244" t="str">
        <f>'[1]ครุภัณฑ์ 68 (data)'!F2</f>
        <v>พมจ.เชียงใหม่</v>
      </c>
      <c r="G72" s="244" t="str">
        <f>'[1]ครุภัณฑ์ 68 (data)'!C2</f>
        <v>เชียงใหม่</v>
      </c>
      <c r="H72" s="244">
        <f>'[1]ครุภัณฑ์ 68 (data)'!G2</f>
        <v>1</v>
      </c>
      <c r="I72" s="259" t="s">
        <v>468</v>
      </c>
      <c r="J72" s="259"/>
      <c r="K72" s="245">
        <f>'[1]ครุภัณฑ์ 68 (data)'!H2</f>
        <v>1358000</v>
      </c>
      <c r="L72" s="245"/>
    </row>
    <row r="73" spans="1:12" hidden="1">
      <c r="A73" s="241" t="s">
        <v>1380</v>
      </c>
      <c r="B73" s="244">
        <f>'[1]ครุภัณฑ์ 68 (data)'!B3</f>
        <v>2568</v>
      </c>
      <c r="C73" s="241" t="s">
        <v>447</v>
      </c>
      <c r="D73" s="244" t="str">
        <f>'[1]ครุภัณฑ์ 68 (data)'!D3</f>
        <v>ยานพาหนะและขนส่ง</v>
      </c>
      <c r="E73" s="244" t="str">
        <f>'[1]ครุภัณฑ์ 68 (data)'!E3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สำนักงานพัฒนาสังคมและความมั่นคงของมนุษย์จังหวัดแพร่ ตำบลในเวียง อำเภอเมืองแพร่ จังหวัดแพร่</v>
      </c>
      <c r="F73" s="244" t="str">
        <f>'[1]ครุภัณฑ์ 68 (data)'!F3</f>
        <v>พมจ.แพร่</v>
      </c>
      <c r="G73" s="244" t="str">
        <f>'[1]ครุภัณฑ์ 68 (data)'!C3</f>
        <v>แพร่</v>
      </c>
      <c r="H73" s="244">
        <f>'[1]ครุภัณฑ์ 68 (data)'!G3</f>
        <v>1</v>
      </c>
      <c r="I73" s="259" t="s">
        <v>468</v>
      </c>
      <c r="J73" s="259"/>
      <c r="K73" s="245">
        <f>'[1]ครุภัณฑ์ 68 (data)'!H3</f>
        <v>885900</v>
      </c>
      <c r="L73" s="245"/>
    </row>
    <row r="74" spans="1:12" hidden="1">
      <c r="A74" s="241" t="s">
        <v>1381</v>
      </c>
      <c r="B74" s="244">
        <f>'[1]ครุภัณฑ์ 68 (data)'!B4</f>
        <v>2568</v>
      </c>
      <c r="C74" s="241" t="s">
        <v>447</v>
      </c>
      <c r="D74" s="244" t="str">
        <f>'[1]ครุภัณฑ์ 68 (data)'!D4</f>
        <v>ยานพาหนะและขนส่ง</v>
      </c>
      <c r="E74" s="244" t="str">
        <f>'[1]ครุภัณฑ์ 68 (data)'!E4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สำนักงานพัฒนาสังคมและความมั่นคงของมนุษย์จังหวัดแม่ฮ่องสอน ตำบลจองคำ อำเภอเมืองแม่ฮ่องสอน จังหวัดแม่ฮ่องสอน</v>
      </c>
      <c r="F74" s="244" t="str">
        <f>'[1]ครุภัณฑ์ 68 (data)'!F4</f>
        <v>พมจ.แม่ฮ่องสอน</v>
      </c>
      <c r="G74" s="244" t="str">
        <f>'[1]ครุภัณฑ์ 68 (data)'!C4</f>
        <v>แม่ฮ่องสอน</v>
      </c>
      <c r="H74" s="244">
        <f>'[1]ครุภัณฑ์ 68 (data)'!G4</f>
        <v>1</v>
      </c>
      <c r="I74" s="259" t="s">
        <v>468</v>
      </c>
      <c r="J74" s="259"/>
      <c r="K74" s="245">
        <f>'[1]ครุภัณฑ์ 68 (data)'!H4</f>
        <v>1090900</v>
      </c>
      <c r="L74" s="245"/>
    </row>
    <row r="75" spans="1:12" hidden="1">
      <c r="A75" s="241" t="s">
        <v>1382</v>
      </c>
      <c r="B75" s="244">
        <f>'[1]ครุภัณฑ์ 68 (data)'!B5</f>
        <v>2568</v>
      </c>
      <c r="C75" s="241" t="s">
        <v>447</v>
      </c>
      <c r="D75" s="244" t="str">
        <f>'[1]ครุภัณฑ์ 68 (data)'!D5</f>
        <v>ยานพาหนะและขนส่ง</v>
      </c>
      <c r="E75" s="244" t="str">
        <f>'[1]ครุภัณฑ์ 68 (data)'!E5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สำนักงานพัฒนาสังคมและความมั่นคงของมนุษย์จังหวัดลำปาง ตำบลพระบาท อำเภอเมืองลำปาง จังหวัดลำปาง</v>
      </c>
      <c r="F75" s="244" t="str">
        <f>'[1]ครุภัณฑ์ 68 (data)'!F5</f>
        <v>พมจ.ลำปาง</v>
      </c>
      <c r="G75" s="244" t="str">
        <f>'[1]ครุภัณฑ์ 68 (data)'!C5</f>
        <v>ลำปาง</v>
      </c>
      <c r="H75" s="244">
        <f>'[1]ครุภัณฑ์ 68 (data)'!G5</f>
        <v>1</v>
      </c>
      <c r="I75" s="259" t="s">
        <v>468</v>
      </c>
      <c r="J75" s="259"/>
      <c r="K75" s="245">
        <f>'[1]ครุภัณฑ์ 68 (data)'!H5</f>
        <v>1358000</v>
      </c>
      <c r="L75" s="245"/>
    </row>
    <row r="76" spans="1:12" hidden="1">
      <c r="A76" s="241" t="s">
        <v>1383</v>
      </c>
      <c r="B76" s="244">
        <f>'[1]ครุภัณฑ์ 68 (data)'!B6</f>
        <v>2568</v>
      </c>
      <c r="C76" s="241" t="s">
        <v>447</v>
      </c>
      <c r="D76" s="244" t="str">
        <f>'[1]ครุภัณฑ์ 68 (data)'!D6</f>
        <v>ยานพาหนะและขนส่ง</v>
      </c>
      <c r="E76" s="244" t="str">
        <f>'[1]ครุภัณฑ์ 68 (data)'!E6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สำนักงานพัฒนาสังคมและความมั่นคงของมนุษย์จังหวัดอุตรดิษถ์ ตำบลท่าอิฐ อำเภอเมืองอุตรดิษถ์ จังหวัดอุตรดิษถ์</v>
      </c>
      <c r="F76" s="244" t="str">
        <f>'[1]ครุภัณฑ์ 68 (data)'!F6</f>
        <v>พมจ.อุตรดิตถ์</v>
      </c>
      <c r="G76" s="244" t="str">
        <f>'[1]ครุภัณฑ์ 68 (data)'!C6</f>
        <v>อุตรดิตถ์</v>
      </c>
      <c r="H76" s="244">
        <f>'[1]ครุภัณฑ์ 68 (data)'!G6</f>
        <v>1</v>
      </c>
      <c r="I76" s="259" t="s">
        <v>468</v>
      </c>
      <c r="J76" s="259"/>
      <c r="K76" s="245">
        <f>'[1]ครุภัณฑ์ 68 (data)'!H6</f>
        <v>1090900</v>
      </c>
      <c r="L76" s="245"/>
    </row>
    <row r="77" spans="1:12" hidden="1">
      <c r="A77" s="241" t="s">
        <v>1384</v>
      </c>
      <c r="B77" s="244">
        <f>'[1]ครุภัณฑ์ 68 (data)'!B7</f>
        <v>2568</v>
      </c>
      <c r="C77" s="241" t="s">
        <v>447</v>
      </c>
      <c r="D77" s="244" t="str">
        <f>'[1]ครุภัณฑ์ 68 (data)'!D7</f>
        <v>ยานพาหนะและขนส่ง</v>
      </c>
      <c r="E77" s="244" t="str">
        <f>'[1]ครุภัณฑ์ 68 (data)'!E7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สำนักงานพัฒนาสังคมและความมั่นคงของมนุษย์จังหวัดร้อยเอ็ด ตำบลในเมือง อำเภอเมืองร้อยเอ็ด จังหวัดร้อยเอ็ด</v>
      </c>
      <c r="F77" s="244" t="str">
        <f>'[1]ครุภัณฑ์ 68 (data)'!F7</f>
        <v>พมจ.ร้อยเอ็ด</v>
      </c>
      <c r="G77" s="244" t="str">
        <f>'[1]ครุภัณฑ์ 68 (data)'!C7</f>
        <v>ร้อยเอ็ด</v>
      </c>
      <c r="H77" s="244">
        <f>'[1]ครุภัณฑ์ 68 (data)'!G7</f>
        <v>1</v>
      </c>
      <c r="I77" s="259" t="s">
        <v>468</v>
      </c>
      <c r="J77" s="259"/>
      <c r="K77" s="245">
        <f>'[1]ครุภัณฑ์ 68 (data)'!H7</f>
        <v>1358000</v>
      </c>
      <c r="L77" s="245"/>
    </row>
    <row r="78" spans="1:12" hidden="1">
      <c r="A78" s="241" t="s">
        <v>1385</v>
      </c>
      <c r="B78" s="244">
        <f>'[1]ครุภัณฑ์ 68 (data)'!B8</f>
        <v>2568</v>
      </c>
      <c r="C78" s="241" t="s">
        <v>447</v>
      </c>
      <c r="D78" s="244" t="str">
        <f>'[1]ครุภัณฑ์ 68 (data)'!D8</f>
        <v>ยานพาหนะและขนส่ง</v>
      </c>
      <c r="E78" s="244" t="str">
        <f>'[1]ครุภัณฑ์ 68 (data)'!E8</f>
        <v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สำนักงานพัฒนาสังคมและความมั่นคงของมนุษย์จังหวัดศรีสะเกษ ตำบลโพธิ์ อำเภอเมืองศรีสะเกษ
จังหวัดศรีสะเกษ</v>
      </c>
      <c r="F78" s="244" t="str">
        <f>'[1]ครุภัณฑ์ 68 (data)'!F8</f>
        <v>พมจ.ศรีสะเกษ</v>
      </c>
      <c r="G78" s="244" t="str">
        <f>'[1]ครุภัณฑ์ 68 (data)'!C8</f>
        <v>ศรีสะเกษ</v>
      </c>
      <c r="H78" s="244">
        <f>'[1]ครุภัณฑ์ 68 (data)'!G8</f>
        <v>1</v>
      </c>
      <c r="I78" s="259" t="s">
        <v>468</v>
      </c>
      <c r="J78" s="259"/>
      <c r="K78" s="245">
        <f>'[1]ครุภัณฑ์ 68 (data)'!H8</f>
        <v>1358000</v>
      </c>
      <c r="L78" s="245"/>
    </row>
    <row r="79" spans="1:12" hidden="1">
      <c r="A79" s="241" t="s">
        <v>1386</v>
      </c>
      <c r="B79" s="244">
        <f>'[1]ครุภัณฑ์ 68 (data)'!B9</f>
        <v>2568</v>
      </c>
      <c r="C79" s="241" t="s">
        <v>447</v>
      </c>
      <c r="D79" s="244" t="str">
        <f>'[1]ครุภัณฑ์ 68 (data)'!D9</f>
        <v>ยานพาหนะและขนส่ง</v>
      </c>
      <c r="E79" s="244" t="str">
        <f>'[1]ครุภัณฑ์ 68 (data)'!E9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สำนักงานพัฒนาสังคมและความมั่นคงของมนุษย์จังหวัดหนองคาย ตำบลหนองกอมเกาะ อำเภอเมืองหนองคาย จังหวัดหนองคาย</v>
      </c>
      <c r="F79" s="244" t="str">
        <f>'[1]ครุภัณฑ์ 68 (data)'!F9</f>
        <v>พมจ.หนองคาย</v>
      </c>
      <c r="G79" s="244" t="str">
        <f>'[1]ครุภัณฑ์ 68 (data)'!C9</f>
        <v>หนองคาย</v>
      </c>
      <c r="H79" s="244">
        <f>'[1]ครุภัณฑ์ 68 (data)'!G9</f>
        <v>1</v>
      </c>
      <c r="I79" s="259" t="s">
        <v>468</v>
      </c>
      <c r="J79" s="259"/>
      <c r="K79" s="245">
        <f>'[1]ครุภัณฑ์ 68 (data)'!H9</f>
        <v>885900</v>
      </c>
      <c r="L79" s="245"/>
    </row>
    <row r="80" spans="1:12" hidden="1">
      <c r="A80" s="241" t="s">
        <v>1387</v>
      </c>
      <c r="B80" s="244">
        <f>'[1]ครุภัณฑ์ 68 (data)'!B10</f>
        <v>2568</v>
      </c>
      <c r="C80" s="241" t="s">
        <v>447</v>
      </c>
      <c r="D80" s="244" t="str">
        <f>'[1]ครุภัณฑ์ 68 (data)'!D10</f>
        <v>ยานพาหนะและขนส่ง</v>
      </c>
      <c r="E80" s="244" t="str">
        <f>'[1]ครุภัณฑ์ 68 (data)'!E10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สำนักงานพัฒนาสังคมและความมั่นคงของมนุษย์จังหวัดหนองคาย ตำบลหนองกอมเกาะ อำเภอเมืองหนองคาย จังหวัดหนองคาย</v>
      </c>
      <c r="F80" s="244" t="str">
        <f>'[1]ครุภัณฑ์ 68 (data)'!F10</f>
        <v>พมจ.หนองคาย</v>
      </c>
      <c r="G80" s="244" t="str">
        <f>'[1]ครุภัณฑ์ 68 (data)'!C10</f>
        <v>หนองคาย</v>
      </c>
      <c r="H80" s="244">
        <f>'[1]ครุภัณฑ์ 68 (data)'!G10</f>
        <v>1</v>
      </c>
      <c r="I80" s="259" t="s">
        <v>468</v>
      </c>
      <c r="J80" s="259"/>
      <c r="K80" s="245">
        <f>'[1]ครุภัณฑ์ 68 (data)'!H10</f>
        <v>1055000</v>
      </c>
      <c r="L80" s="245"/>
    </row>
    <row r="81" spans="1:12" hidden="1">
      <c r="A81" s="241" t="s">
        <v>1388</v>
      </c>
      <c r="B81" s="244">
        <f>'[1]ครุภัณฑ์ 68 (data)'!B11</f>
        <v>2568</v>
      </c>
      <c r="C81" s="241" t="s">
        <v>447</v>
      </c>
      <c r="D81" s="244" t="str">
        <f>'[1]ครุภัณฑ์ 68 (data)'!D11</f>
        <v>ยานพาหนะและขนส่ง</v>
      </c>
      <c r="E81" s="244" t="str">
        <f>'[1]ครุภัณฑ์ 68 (data)'!E11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สำนักงานพัฒนาสังคมและความมั่นคงของมนุษย์จังหวัดหนองบัวลำภู ตำบลลำภู อำเภอเมืองหนองบัวลำภู จังหวัดหนองบัวลำภู</v>
      </c>
      <c r="F81" s="244" t="str">
        <f>'[1]ครุภัณฑ์ 68 (data)'!F11</f>
        <v>พมจ.หนองบัวลำภู</v>
      </c>
      <c r="G81" s="244" t="str">
        <f>'[1]ครุภัณฑ์ 68 (data)'!C11</f>
        <v>หนองบัวลำภู</v>
      </c>
      <c r="H81" s="244">
        <f>'[1]ครุภัณฑ์ 68 (data)'!G11</f>
        <v>1</v>
      </c>
      <c r="I81" s="259" t="s">
        <v>468</v>
      </c>
      <c r="J81" s="259"/>
      <c r="K81" s="245">
        <f>'[1]ครุภัณฑ์ 68 (data)'!H11</f>
        <v>885900</v>
      </c>
      <c r="L81" s="245"/>
    </row>
    <row r="82" spans="1:12" hidden="1">
      <c r="A82" s="241" t="s">
        <v>1389</v>
      </c>
      <c r="B82" s="244">
        <f>'[1]ครุภัณฑ์ 68 (data)'!B12</f>
        <v>2568</v>
      </c>
      <c r="C82" s="241" t="s">
        <v>447</v>
      </c>
      <c r="D82" s="244" t="str">
        <f>'[1]ครุภัณฑ์ 68 (data)'!D12</f>
        <v>ยานพาหนะและขนส่ง</v>
      </c>
      <c r="E82" s="244" t="str">
        <f>'[1]ครุภัณฑ์ 68 (data)'!E12</f>
        <v xml:space="preserve">รถโดยสาร 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</c>
      <c r="F82" s="244" t="str">
        <f>'[1]ครุภัณฑ์ 68 (data)'!F12</f>
        <v>กมพ.</v>
      </c>
      <c r="G82" s="244" t="str">
        <f>'[1]ครุภัณฑ์ 68 (data)'!C12</f>
        <v>กรุงเทพมหานคร</v>
      </c>
      <c r="H82" s="244">
        <f>'[1]ครุภัณฑ์ 68 (data)'!G12</f>
        <v>1</v>
      </c>
      <c r="I82" s="259" t="s">
        <v>468</v>
      </c>
      <c r="J82" s="259"/>
      <c r="K82" s="245">
        <f>'[1]ครุภัณฑ์ 68 (data)'!H12</f>
        <v>1358000</v>
      </c>
      <c r="L82" s="245"/>
    </row>
    <row r="83" spans="1:12" hidden="1">
      <c r="A83" s="241" t="s">
        <v>1390</v>
      </c>
      <c r="B83" s="244">
        <f>'[1]ครุภัณฑ์ 68 (data)'!B13</f>
        <v>2568</v>
      </c>
      <c r="C83" s="241" t="s">
        <v>447</v>
      </c>
      <c r="D83" s="244" t="str">
        <f>'[1]ครุภัณฑ์ 68 (data)'!D13</f>
        <v>ยานพาหนะและขนส่ง</v>
      </c>
      <c r="E83" s="244" t="str">
        <f>'[1]ครุภัณฑ์ 68 (data)'!E13</f>
        <v xml:space="preserve">รถยนต์ตรวจการณ์ ปริมาตรกระบอกสูบไม่ต่ำกว่า 2,000 ซีซี หรือกำลังเครื่องยนต์สูงสุดไม่ต่ำกว่า 110 กิโลวัตต์ เครื่องยนต์ดีเซล แบบขับเคลื่อน 4 ล้อ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</c>
      <c r="F83" s="244" t="str">
        <f>'[1]ครุภัณฑ์ 68 (data)'!F13</f>
        <v>ศรส.</v>
      </c>
      <c r="G83" s="244" t="str">
        <f>'[1]ครุภัณฑ์ 68 (data)'!C13</f>
        <v>กรุงเทพมหานคร</v>
      </c>
      <c r="H83" s="244">
        <f>'[1]ครุภัณฑ์ 68 (data)'!G13</f>
        <v>8</v>
      </c>
      <c r="I83" s="259" t="s">
        <v>468</v>
      </c>
      <c r="J83" s="259"/>
      <c r="K83" s="245">
        <f>'[1]ครุภัณฑ์ 68 (data)'!H13</f>
        <v>13312000</v>
      </c>
      <c r="L83" s="245"/>
    </row>
    <row r="84" spans="1:12" hidden="1">
      <c r="A84" s="241" t="s">
        <v>1391</v>
      </c>
      <c r="B84" s="244">
        <f>'[1]ครุภัณฑ์ 68 (data)'!B14</f>
        <v>2568</v>
      </c>
      <c r="C84" s="241" t="s">
        <v>447</v>
      </c>
      <c r="D84" s="244" t="str">
        <f>'[1]ครุภัณฑ์ 68 (data)'!D14</f>
        <v>ยานพาหนะและขนส่ง</v>
      </c>
      <c r="E84" s="244" t="str">
        <f>'[1]ครุภัณฑ์ 68 (data)'!E14</f>
        <v xml:space="preserve">รถยนต์ตรวจการณ์ ปริมาตรกระบอกสูบไม่ต่ำกว่า 2,000 ซีซี หรือกำลังเครื่องยนต์สูงสุดไม่ต่ำกว่า 110 กิโลวัตต์ เครื่องยนต์ดีเซล แบบขับเคลื่อน 4 ล้อ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</c>
      <c r="F84" s="244" t="str">
        <f>'[1]ครุภัณฑ์ 68 (data)'!F14</f>
        <v>สร.</v>
      </c>
      <c r="G84" s="244" t="str">
        <f>'[1]ครุภัณฑ์ 68 (data)'!C14</f>
        <v>กรุงเทพมหานคร</v>
      </c>
      <c r="H84" s="244">
        <f>'[1]ครุภัณฑ์ 68 (data)'!G14</f>
        <v>1</v>
      </c>
      <c r="I84" s="259" t="s">
        <v>468</v>
      </c>
      <c r="J84" s="259"/>
      <c r="K84" s="245">
        <f>'[1]ครุภัณฑ์ 68 (data)'!H14</f>
        <v>1664000</v>
      </c>
      <c r="L84" s="245"/>
    </row>
    <row r="85" spans="1:12" hidden="1">
      <c r="A85" s="241" t="s">
        <v>1392</v>
      </c>
      <c r="B85" s="244">
        <f>'[1]ครุภัณฑ์ 68 (data)'!B15</f>
        <v>2568</v>
      </c>
      <c r="C85" s="241" t="s">
        <v>447</v>
      </c>
      <c r="D85" s="244" t="str">
        <f>'[1]ครุภัณฑ์ 68 (data)'!D15</f>
        <v>คอมพิวเตอร์</v>
      </c>
      <c r="E85" s="244" t="str">
        <f>'[1]ครุภัณฑ์ 68 (data)'!E15</f>
        <v xml:space="preserve">โครงการจ้างจัดทำระบบออกบัตรประจำตัวพนักงานเจ้าหน้าที่ที่ออกด้วยระบบคอมพิวเตอร์ ออกตามความในพระราชบัญญัติป้องกันและปราบปรามการค้ามนุษย์ พ.ศ. 2551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</c>
      <c r="F85" s="244" t="str">
        <f>'[1]ครุภัณฑ์ 68 (data)'!F15</f>
        <v>กคม.</v>
      </c>
      <c r="G85" s="244" t="str">
        <f>'[1]ครุภัณฑ์ 68 (data)'!C15</f>
        <v>กรุงเทพมหานคร</v>
      </c>
      <c r="H85" s="244">
        <f>'[1]ครุภัณฑ์ 68 (data)'!G15</f>
        <v>1</v>
      </c>
      <c r="I85" s="259" t="s">
        <v>468</v>
      </c>
      <c r="J85" s="259"/>
      <c r="K85" s="245">
        <f>'[1]ครุภัณฑ์ 68 (data)'!H15</f>
        <v>499900</v>
      </c>
      <c r="L85" s="245"/>
    </row>
    <row r="86" spans="1:12" hidden="1">
      <c r="A86" s="241" t="s">
        <v>1393</v>
      </c>
      <c r="B86" s="244">
        <f>'[1]ครุภัณฑ์ 68 (data)'!B16</f>
        <v>2568</v>
      </c>
      <c r="C86" s="241" t="s">
        <v>447</v>
      </c>
      <c r="D86" s="244" t="str">
        <f>'[1]ครุภัณฑ์ 68 (data)'!D16</f>
        <v>คอมพิวเตอร์</v>
      </c>
      <c r="E86" s="244" t="str">
        <f>'[1]ครุภัณฑ์ 68 (data)'!E16</f>
        <v xml:space="preserve">โครงการพัฒนาระบบสารสนเทศเพื่อให้การบริการประชาชน โดยใช้เทคโนโลยีปัญญาประดิษฐ์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</c>
      <c r="F86" s="244" t="str">
        <f>'[1]ครุภัณฑ์ 68 (data)'!F16</f>
        <v>ศชส.</v>
      </c>
      <c r="G86" s="244" t="str">
        <f>'[1]ครุภัณฑ์ 68 (data)'!C16</f>
        <v>กรุงเทพมหานคร</v>
      </c>
      <c r="H86" s="244">
        <f>'[1]ครุภัณฑ์ 68 (data)'!G16</f>
        <v>1</v>
      </c>
      <c r="I86" s="259" t="s">
        <v>468</v>
      </c>
      <c r="J86" s="259"/>
      <c r="K86" s="245">
        <f>'[1]ครุภัณฑ์ 68 (data)'!H16</f>
        <v>6463000</v>
      </c>
      <c r="L86" s="245"/>
    </row>
    <row r="87" spans="1:12" hidden="1">
      <c r="A87" s="241" t="s">
        <v>1394</v>
      </c>
      <c r="B87" s="244">
        <f>'[1]ครุภัณฑ์ 68 (data)'!B17</f>
        <v>2568</v>
      </c>
      <c r="C87" s="241" t="s">
        <v>447</v>
      </c>
      <c r="D87" s="244" t="str">
        <f>'[1]ครุภัณฑ์ 68 (data)'!D17</f>
        <v>คอมพิวเตอร์</v>
      </c>
      <c r="E87" s="244" t="str">
        <f>'[1]ครุภัณฑ์ 68 (data)'!E17</f>
        <v xml:space="preserve">เครื่องคอมพิวเตอร์ สำหรับงานประมวลผล แบบที่ 1 *(จอแสดงภาพขนาดไม่น้อยกว่า 19 นิ้ว) พร้อมชุดโปรแกรมระบบปฏิบัติการ และเครื่องสำรองไฟฟ้า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</c>
      <c r="F87" s="244" t="str">
        <f>'[1]ครุภัณฑ์ 68 (data)'!F17</f>
        <v>ศทส.</v>
      </c>
      <c r="G87" s="244" t="str">
        <f>'[1]ครุภัณฑ์ 68 (data)'!C17</f>
        <v>กรุงเทพมหานคร</v>
      </c>
      <c r="H87" s="244">
        <f>'[1]ครุภัณฑ์ 68 (data)'!G17</f>
        <v>217</v>
      </c>
      <c r="I87" s="259" t="s">
        <v>468</v>
      </c>
      <c r="J87" s="259"/>
      <c r="K87" s="245">
        <f>'[1]ครุภัณฑ์ 68 (data)'!H17</f>
        <v>6661900</v>
      </c>
      <c r="L87" s="245"/>
    </row>
    <row r="88" spans="1:12" hidden="1">
      <c r="A88" s="241" t="s">
        <v>1395</v>
      </c>
      <c r="B88" s="244">
        <f>'[1]ครุภัณฑ์ 68 (data)'!B18</f>
        <v>2568</v>
      </c>
      <c r="C88" s="241" t="s">
        <v>447</v>
      </c>
      <c r="D88" s="244" t="str">
        <f>'[1]ครุภัณฑ์ 68 (data)'!D18</f>
        <v>คอมพิวเตอร์</v>
      </c>
      <c r="E88" s="244" t="str">
        <f>'[1]ครุภัณฑ์ 68 (data)'!E18</f>
        <v xml:space="preserve">ชุดโปรแกรมจัดการสำนักงาน แบบที่ 3 ที่มีลิขสิทธิ์ถูกต้องตามกฎหมาย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 </v>
      </c>
      <c r="F88" s="244" t="str">
        <f>'[1]ครุภัณฑ์ 68 (data)'!F18</f>
        <v>ศทส.</v>
      </c>
      <c r="G88" s="244" t="str">
        <f>'[1]ครุภัณฑ์ 68 (data)'!C18</f>
        <v>กรุงเทพมหานคร</v>
      </c>
      <c r="H88" s="244">
        <f>'[1]ครุภัณฑ์ 68 (data)'!G18</f>
        <v>217</v>
      </c>
      <c r="I88" s="259" t="s">
        <v>468</v>
      </c>
      <c r="J88" s="259"/>
      <c r="K88" s="245">
        <f>'[1]ครุภัณฑ์ 68 (data)'!H18</f>
        <v>976500</v>
      </c>
      <c r="L88" s="245"/>
    </row>
    <row r="89" spans="1:12" hidden="1">
      <c r="A89" s="241" t="s">
        <v>1396</v>
      </c>
      <c r="B89" s="244">
        <f>'[1]ครุภัณฑ์ 68 (data)'!B19</f>
        <v>2568</v>
      </c>
      <c r="C89" s="241" t="s">
        <v>447</v>
      </c>
      <c r="D89" s="244" t="str">
        <f>'[1]ครุภัณฑ์ 68 (data)'!D19</f>
        <v>ยานพาหนะและขนส่ง</v>
      </c>
      <c r="E89" s="244" t="str">
        <f>'[1]ครุภัณฑ์ 68 (data)'!E19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สำนักงานพัฒนาสังคมและความมั่นคงของมนุษย์จังหวัดตราด ตำบลบางพระ อำเภอเมืองตราด จังหวัดตราด</v>
      </c>
      <c r="F89" s="244" t="str">
        <f>'[1]ครุภัณฑ์ 68 (data)'!F19</f>
        <v>พมจ.ตราด</v>
      </c>
      <c r="G89" s="244" t="str">
        <f>'[1]ครุภัณฑ์ 68 (data)'!C19</f>
        <v>ตราด</v>
      </c>
      <c r="H89" s="244">
        <f>'[1]ครุภัณฑ์ 68 (data)'!G19</f>
        <v>1</v>
      </c>
      <c r="I89" s="259" t="s">
        <v>468</v>
      </c>
      <c r="J89" s="259"/>
      <c r="K89" s="245">
        <f>'[1]ครุภัณฑ์ 68 (data)'!H19</f>
        <v>1090900</v>
      </c>
      <c r="L89" s="245"/>
    </row>
    <row r="90" spans="1:12" hidden="1">
      <c r="A90" s="241" t="s">
        <v>1397</v>
      </c>
      <c r="B90" s="244">
        <f>'[1]ครุภัณฑ์ 68 (data)'!B20</f>
        <v>2568</v>
      </c>
      <c r="C90" s="241" t="s">
        <v>447</v>
      </c>
      <c r="D90" s="244" t="str">
        <f>'[1]ครุภัณฑ์ 68 (data)'!D20</f>
        <v>ยานพาหนะและขนส่ง</v>
      </c>
      <c r="E90" s="244" t="str">
        <f>'[1]ครุภัณฑ์ 68 (data)'!E20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สำนักงานพัฒนาสังคมและความมั่นคงของมนุษย์จังหวัดพิจิตร ตำบลในท่าหลวง อำเภอเมืองพิจิตร จังหวัดพิจิตร</v>
      </c>
      <c r="F90" s="244" t="str">
        <f>'[1]ครุภัณฑ์ 68 (data)'!F20</f>
        <v>พมจ.พิจิตร</v>
      </c>
      <c r="G90" s="244" t="str">
        <f>'[1]ครุภัณฑ์ 68 (data)'!C20</f>
        <v>พิจิตร</v>
      </c>
      <c r="H90" s="244">
        <f>'[1]ครุภัณฑ์ 68 (data)'!G20</f>
        <v>1</v>
      </c>
      <c r="I90" s="259" t="s">
        <v>468</v>
      </c>
      <c r="J90" s="259"/>
      <c r="K90" s="245">
        <f>'[1]ครุภัณฑ์ 68 (data)'!H20</f>
        <v>885900</v>
      </c>
      <c r="L90" s="245"/>
    </row>
    <row r="91" spans="1:12" hidden="1">
      <c r="A91" s="241" t="s">
        <v>1398</v>
      </c>
      <c r="B91" s="244">
        <f>'[1]ครุภัณฑ์ 68 (data)'!B21</f>
        <v>2568</v>
      </c>
      <c r="C91" s="241" t="s">
        <v>447</v>
      </c>
      <c r="D91" s="244" t="str">
        <f>'[1]ครุภัณฑ์ 68 (data)'!D21</f>
        <v>ยานพาหนะและขนส่ง</v>
      </c>
      <c r="E91" s="244" t="str">
        <f>'[1]ครุภัณฑ์ 68 (data)'!E21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สำนักงานพัฒนาสังคมและความมั่นคงของมนุษย์จังหวัดสระบุรี ตำบลตะกุด อำเภอเมืองสระบุรี จังหวัดสระบุรี</v>
      </c>
      <c r="F91" s="244" t="str">
        <f>'[1]ครุภัณฑ์ 68 (data)'!F21</f>
        <v>พมจ.สระบุรี</v>
      </c>
      <c r="G91" s="244" t="str">
        <f>'[1]ครุภัณฑ์ 68 (data)'!C21</f>
        <v>สระบุรี</v>
      </c>
      <c r="H91" s="244">
        <f>'[1]ครุภัณฑ์ 68 (data)'!G21</f>
        <v>1</v>
      </c>
      <c r="I91" s="259" t="s">
        <v>468</v>
      </c>
      <c r="J91" s="259"/>
      <c r="K91" s="245">
        <f>'[1]ครุภัณฑ์ 68 (data)'!H21</f>
        <v>1090900</v>
      </c>
      <c r="L91" s="245"/>
    </row>
    <row r="92" spans="1:12" hidden="1">
      <c r="A92" s="241" t="s">
        <v>1399</v>
      </c>
      <c r="B92" s="244">
        <f>'[1]ครุภัณฑ์ 68 (data)'!B22</f>
        <v>2568</v>
      </c>
      <c r="C92" s="241" t="s">
        <v>447</v>
      </c>
      <c r="D92" s="244" t="str">
        <f>'[1]ครุภัณฑ์ 68 (data)'!D22</f>
        <v>ยานพาหนะและขนส่ง</v>
      </c>
      <c r="E92" s="244" t="str">
        <f>'[1]ครุภัณฑ์ 68 (data)'!E22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สำนักงานพัฒนาสังคมและความมั่นคงของมนุษย์จังหวัดสิงห์บุรี ตำบลบางมัญ อำเภอเมืองสิงห์บุรี จังหวัดสิงห์บุรี</v>
      </c>
      <c r="F92" s="244" t="str">
        <f>'[1]ครุภัณฑ์ 68 (data)'!F22</f>
        <v>พมจ.สิงห์บุรี</v>
      </c>
      <c r="G92" s="244" t="str">
        <f>'[1]ครุภัณฑ์ 68 (data)'!C22</f>
        <v>สิงห์บุรี</v>
      </c>
      <c r="H92" s="244">
        <f>'[1]ครุภัณฑ์ 68 (data)'!G22</f>
        <v>1</v>
      </c>
      <c r="I92" s="259" t="s">
        <v>468</v>
      </c>
      <c r="J92" s="259"/>
      <c r="K92" s="245">
        <f>'[1]ครุภัณฑ์ 68 (data)'!H22</f>
        <v>885900</v>
      </c>
      <c r="L92" s="245"/>
    </row>
    <row r="93" spans="1:12" hidden="1">
      <c r="A93" s="241" t="s">
        <v>1400</v>
      </c>
      <c r="B93" s="244">
        <f>'[1]ครุภัณฑ์ 68 (data)'!B23</f>
        <v>2568</v>
      </c>
      <c r="C93" s="241" t="s">
        <v>447</v>
      </c>
      <c r="D93" s="244" t="str">
        <f>'[1]ครุภัณฑ์ 68 (data)'!D23</f>
        <v>ยานพาหนะและขนส่ง</v>
      </c>
      <c r="E93" s="244" t="str">
        <f>'[1]ครุภัณฑ์ 68 (data)'!E23</f>
        <v>รถบรรทุก (ดีเซล) ขนาด 3 ตัน 6 ล้อ ปริมาตรกระบอกสูบไม่ต่ำกว่า 3,000 ซีซี หรือกำลังเครื่องยนต์สูงสุดไม่ต่ำกว่า 80 กิโลวัตต์ สำนักงานพัฒนาสังคมและความมั่นคงของมนุษย์จังหวัดสุพรรณบุรี ตำบลาสนามชัย อำเภอเมืองสุพรรณบุรี จังหวัดสุพรรณบุรี</v>
      </c>
      <c r="F93" s="244" t="str">
        <f>'[1]ครุภัณฑ์ 68 (data)'!F23</f>
        <v>พมจ.สุพรรณบุรี</v>
      </c>
      <c r="G93" s="244" t="str">
        <f>'[1]ครุภัณฑ์ 68 (data)'!C23</f>
        <v>สุพรรณบุรี</v>
      </c>
      <c r="H93" s="244">
        <f>'[1]ครุภัณฑ์ 68 (data)'!G23</f>
        <v>1</v>
      </c>
      <c r="I93" s="259" t="s">
        <v>468</v>
      </c>
      <c r="J93" s="259"/>
      <c r="K93" s="245">
        <f>'[1]ครุภัณฑ์ 68 (data)'!H23</f>
        <v>1092000</v>
      </c>
      <c r="L93" s="245"/>
    </row>
    <row r="94" spans="1:12" hidden="1">
      <c r="A94" s="241" t="s">
        <v>1401</v>
      </c>
      <c r="B94" s="244">
        <f>'[1]ครุภัณฑ์ 68 (data)'!B24</f>
        <v>2568</v>
      </c>
      <c r="C94" s="241" t="s">
        <v>447</v>
      </c>
      <c r="D94" s="244" t="str">
        <f>'[1]ครุภัณฑ์ 68 (data)'!D24</f>
        <v>ยานพาหนะและขนส่ง</v>
      </c>
      <c r="E94" s="244" t="str">
        <f>'[1]ครุภัณฑ์ 68 (data)'!E24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สำนักงานพัฒนาสังคมและความมั่นคงของมนุษย์จังหวัดชุมพร ตำบลชะอัง อำเภอเมืองชุมพร จังหวัดชุมพร</v>
      </c>
      <c r="F94" s="244" t="str">
        <f>'[1]ครุภัณฑ์ 68 (data)'!F24</f>
        <v>พมจ.ชุมพร</v>
      </c>
      <c r="G94" s="244" t="str">
        <f>'[1]ครุภัณฑ์ 68 (data)'!C24</f>
        <v>ชุมพร</v>
      </c>
      <c r="H94" s="244">
        <f>'[1]ครุภัณฑ์ 68 (data)'!G24</f>
        <v>1</v>
      </c>
      <c r="I94" s="259" t="s">
        <v>468</v>
      </c>
      <c r="J94" s="259"/>
      <c r="K94" s="245">
        <f>'[1]ครุภัณฑ์ 68 (data)'!H24</f>
        <v>1090900</v>
      </c>
      <c r="L94" s="245"/>
    </row>
    <row r="95" spans="1:12" hidden="1">
      <c r="A95" s="241" t="s">
        <v>1402</v>
      </c>
      <c r="B95" s="244">
        <f>'[1]ครุภัณฑ์ 68 (data)'!B25</f>
        <v>2568</v>
      </c>
      <c r="C95" s="241" t="s">
        <v>447</v>
      </c>
      <c r="D95" s="244" t="str">
        <f>'[1]ครุภัณฑ์ 68 (data)'!D25</f>
        <v>ยานพาหนะและขนส่ง</v>
      </c>
      <c r="E95" s="244" t="str">
        <f>'[1]ครุภัณฑ์ 68 (data)'!E25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สำนักงานพัฒนาสังคมและความมั่นคงของมนุษย์จังหวัดนราธิวาส ตำบลช้างลำภู อำเภอเมืองนราธิวาส จังหวัดนราธิวาส</v>
      </c>
      <c r="F95" s="244" t="str">
        <f>'[1]ครุภัณฑ์ 68 (data)'!F25</f>
        <v>พมจ.นราธิวาส</v>
      </c>
      <c r="G95" s="244" t="str">
        <f>'[1]ครุภัณฑ์ 68 (data)'!C25</f>
        <v>นราธิวาส</v>
      </c>
      <c r="H95" s="244">
        <f>'[1]ครุภัณฑ์ 68 (data)'!G25</f>
        <v>1</v>
      </c>
      <c r="I95" s="259" t="s">
        <v>468</v>
      </c>
      <c r="J95" s="259"/>
      <c r="K95" s="245">
        <f>'[1]ครุภัณฑ์ 68 (data)'!H25</f>
        <v>885900</v>
      </c>
      <c r="L95" s="245"/>
    </row>
    <row r="96" spans="1:12" hidden="1">
      <c r="A96" s="241" t="s">
        <v>1403</v>
      </c>
      <c r="B96" s="244">
        <f>'[1]ครุภัณฑ์ 68 (data)'!B26</f>
        <v>2568</v>
      </c>
      <c r="C96" s="241" t="s">
        <v>447</v>
      </c>
      <c r="D96" s="244" t="str">
        <f>'[1]ครุภัณฑ์ 68 (data)'!D26</f>
        <v>ยานพาหนะและขนส่ง</v>
      </c>
      <c r="E96" s="244" t="str">
        <f>'[1]ครุภัณฑ์ 68 (data)'!E26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สำนักงานพัฒนาสังคมและความมั่นคงของมนุษย์จังหวัดสตูล ตำบลพิมาน อำเภอเมืองสตูล จังหวัดสตูล</v>
      </c>
      <c r="F96" s="244" t="str">
        <f>'[1]ครุภัณฑ์ 68 (data)'!F26</f>
        <v>พมจ.สตูล</v>
      </c>
      <c r="G96" s="244" t="str">
        <f>'[1]ครุภัณฑ์ 68 (data)'!C26</f>
        <v>สตูล</v>
      </c>
      <c r="H96" s="244">
        <f>'[1]ครุภัณฑ์ 68 (data)'!G26</f>
        <v>1</v>
      </c>
      <c r="I96" s="259" t="s">
        <v>468</v>
      </c>
      <c r="J96" s="259"/>
      <c r="K96" s="245">
        <f>'[1]ครุภัณฑ์ 68 (data)'!H26</f>
        <v>1055000</v>
      </c>
      <c r="L96" s="245"/>
    </row>
    <row r="97" spans="1:12" hidden="1">
      <c r="A97" s="241" t="s">
        <v>1404</v>
      </c>
      <c r="B97" s="244">
        <f>'[1]ครุภัณฑ์ 68 (data)'!B27</f>
        <v>2568</v>
      </c>
      <c r="C97" s="241" t="s">
        <v>447</v>
      </c>
      <c r="D97" s="244" t="str">
        <f>'[1]ครุภัณฑ์ 68 (data)'!D27</f>
        <v>สำนักงาน</v>
      </c>
      <c r="E97" s="244" t="str">
        <f>'[1]ครุภัณฑ์ 68 (data)'!E27</f>
        <v xml:space="preserve"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 ไฟเบอร์กลาสหรือเหล็ก สำนักงานพัฒนาสังคมและความมั่นคงของมนุษย์จังหวัดสุราษฎร์ธานี ตำบลขุนทะเล อำเภอเมืองสุราษฎร์ธานี จังหวัดสุราษฎร์ธานี </v>
      </c>
      <c r="F97" s="244" t="str">
        <f>'[1]ครุภัณฑ์ 68 (data)'!F27</f>
        <v>พมจ.สุราษฎร์ธานี</v>
      </c>
      <c r="G97" s="244" t="str">
        <f>'[1]ครุภัณฑ์ 68 (data)'!C27</f>
        <v>สุราษฎร์ธานี</v>
      </c>
      <c r="H97" s="244">
        <f>'[1]ครุภัณฑ์ 68 (data)'!G27</f>
        <v>1</v>
      </c>
      <c r="I97" s="259" t="s">
        <v>468</v>
      </c>
      <c r="J97" s="259"/>
      <c r="K97" s="245">
        <f>'[1]ครุภัณฑ์ 68 (data)'!H27</f>
        <v>1090900</v>
      </c>
      <c r="L97" s="245"/>
    </row>
    <row r="98" spans="1:12" hidden="1">
      <c r="A98" s="241" t="s">
        <v>1405</v>
      </c>
      <c r="B98" s="244">
        <f>'[1]ครุภัณฑ์ 69 (data)'!B2</f>
        <v>2569</v>
      </c>
      <c r="C98" s="241" t="s">
        <v>447</v>
      </c>
      <c r="D98" s="244" t="str">
        <f>'[1]ครุภัณฑ์ 69 (data)'!D2</f>
        <v>สำนักงาน</v>
      </c>
      <c r="E98" s="244" t="str">
        <f>'[1]ครุภัณฑ์ 69 (data)'!E2</f>
        <v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สำนักงานพัฒนาสังคมและความมั่นคงของมนุษย์จังหวัดเชียงราย ตำบลริมกก อำเภอเมืองเชียงราย จังหวัดเชียงราย</v>
      </c>
      <c r="F98" s="244" t="str">
        <f>'[1]ครุภัณฑ์ 69 (data)'!F2</f>
        <v>พมจ.เชียงราย</v>
      </c>
      <c r="G98" s="244" t="str">
        <f>'[1]ครุภัณฑ์ 69 (data)'!C2</f>
        <v>เชียงราย</v>
      </c>
      <c r="H98" s="244">
        <f>'[1]ครุภัณฑ์ 69 (data)'!G2</f>
        <v>2</v>
      </c>
      <c r="I98" s="259" t="s">
        <v>468</v>
      </c>
      <c r="J98" s="259"/>
      <c r="K98" s="245">
        <f>'[1]ครุภัณฑ์ 69 (data)'!H2</f>
        <v>81800</v>
      </c>
      <c r="L98" s="245"/>
    </row>
    <row r="99" spans="1:12" hidden="1">
      <c r="A99" s="241" t="s">
        <v>1406</v>
      </c>
      <c r="B99" s="244">
        <f>'[1]ครุภัณฑ์ 69 (data)'!B3</f>
        <v>2569</v>
      </c>
      <c r="C99" s="241" t="s">
        <v>447</v>
      </c>
      <c r="D99" s="244" t="str">
        <f>'[1]ครุภัณฑ์ 69 (data)'!D3</f>
        <v>งานบ้านงานครัว</v>
      </c>
      <c r="E99" s="244" t="str">
        <f>'[1]ครุภัณฑ์ 69 (data)'!E3</f>
        <v>ตู้แช่อาหาร ขนาด 20 คิวบิกฟุต สถานคุ้มครองสวัสดิภาพผู้เสียหายจากการค้ามนุษย์จังหวัดเชียงราย ตำบลเวียงเหนือ อำเภอเวียงชัย จังหวัดเชียงราย</v>
      </c>
      <c r="F99" s="244" t="str">
        <f>'[1]ครุภัณฑ์ 69 (data)'!F3</f>
        <v>สคม.เชียงราย</v>
      </c>
      <c r="G99" s="244" t="str">
        <f>'[1]ครุภัณฑ์ 69 (data)'!C3</f>
        <v>เชียงราย</v>
      </c>
      <c r="H99" s="244">
        <f>'[1]ครุภัณฑ์ 69 (data)'!G3</f>
        <v>1</v>
      </c>
      <c r="I99" s="259" t="s">
        <v>468</v>
      </c>
      <c r="J99" s="259"/>
      <c r="K99" s="245">
        <f>'[1]ครุภัณฑ์ 69 (data)'!H3</f>
        <v>37000</v>
      </c>
      <c r="L99" s="245"/>
    </row>
    <row r="100" spans="1:12" hidden="1">
      <c r="A100" s="241" t="s">
        <v>1407</v>
      </c>
      <c r="B100" s="244">
        <f>'[1]ครุภัณฑ์ 69 (data)'!B4</f>
        <v>2569</v>
      </c>
      <c r="C100" s="241" t="s">
        <v>447</v>
      </c>
      <c r="D100" s="244" t="str">
        <f>'[1]ครุภัณฑ์ 69 (data)'!D4</f>
        <v>สำนักงาน</v>
      </c>
      <c r="E100" s="244" t="str">
        <f>'[1]ครุภัณฑ์ 69 (data)'!E4</f>
        <v>เครื่องทำลายเอกสาร แบบตัดละเอียด ทำลายครั้งละ 30 แผ่น สำนักงานพัฒนาสังคมและความมั่นคงของมนุษย์จังหวัดเชียงใหม่ ตำบลช้างเผือก อำเภอเมืองเชียงใหม่ จังหวัดเชียงใหม่</v>
      </c>
      <c r="F100" s="244" t="str">
        <f>'[1]ครุภัณฑ์ 69 (data)'!F4</f>
        <v>พมจ.เชียงใหม่</v>
      </c>
      <c r="G100" s="244" t="str">
        <f>'[1]ครุภัณฑ์ 69 (data)'!C4</f>
        <v>เชียงใหม่</v>
      </c>
      <c r="H100" s="244">
        <f>'[1]ครุภัณฑ์ 69 (data)'!G4</f>
        <v>1</v>
      </c>
      <c r="I100" s="259" t="s">
        <v>468</v>
      </c>
      <c r="J100" s="259"/>
      <c r="K100" s="245">
        <f>'[1]ครุภัณฑ์ 69 (data)'!H4</f>
        <v>67000</v>
      </c>
      <c r="L100" s="245"/>
    </row>
    <row r="101" spans="1:12" hidden="1">
      <c r="A101" s="241" t="s">
        <v>1408</v>
      </c>
      <c r="B101" s="244">
        <f>'[1]ครุภัณฑ์ 69 (data)'!B5</f>
        <v>2569</v>
      </c>
      <c r="C101" s="241" t="s">
        <v>447</v>
      </c>
      <c r="D101" s="244" t="str">
        <f>'[1]ครุภัณฑ์ 69 (data)'!D5</f>
        <v>สำนักงาน</v>
      </c>
      <c r="E101" s="244" t="str">
        <f>'[1]ครุภัณฑ์ 69 (data)'!E5</f>
        <v>เครื่องปรับอากาศ แบบแยกส่วน แบบตั้งพื้นหรือแบบแขวน ขนาด 24,000 บีทียู สำนักงานส่งเสริมและสนับสนุนวิชาการ 9 ตำบลช้างเผือก อำเภอเมืองเชียงใหม่ จังหวัดเชียงใหม่</v>
      </c>
      <c r="F101" s="244" t="str">
        <f>'[1]ครุภัณฑ์ 69 (data)'!F5</f>
        <v>สสว.9</v>
      </c>
      <c r="G101" s="244" t="str">
        <f>'[1]ครุภัณฑ์ 69 (data)'!C5</f>
        <v>เชียงใหม่</v>
      </c>
      <c r="H101" s="244">
        <f>'[1]ครุภัณฑ์ 69 (data)'!G5</f>
        <v>3</v>
      </c>
      <c r="I101" s="259" t="s">
        <v>468</v>
      </c>
      <c r="J101" s="259"/>
      <c r="K101" s="245">
        <f>'[1]ครุภัณฑ์ 69 (data)'!H5</f>
        <v>96600</v>
      </c>
      <c r="L101" s="245"/>
    </row>
    <row r="102" spans="1:12" hidden="1">
      <c r="A102" s="241" t="s">
        <v>1409</v>
      </c>
      <c r="B102" s="244">
        <f>'[1]ครุภัณฑ์ 69 (data)'!B6</f>
        <v>2569</v>
      </c>
      <c r="C102" s="241" t="s">
        <v>447</v>
      </c>
      <c r="D102" s="244" t="str">
        <f>'[1]ครุภัณฑ์ 69 (data)'!D6</f>
        <v>สำนักงาน</v>
      </c>
      <c r="E102" s="244" t="str">
        <f>'[1]ครุภัณฑ์ 69 (data)'!E6</f>
        <v>เครื่องทำลายเอกสาร แบบตัดละเอียด ทำลายครั้งละ 30 แผ่น สำนักงานพัฒนาสังคมและความมั่นคงของมนุษย์จังหวัดน่าน ตำบลไชยสถาน อำเภอเมืองน่าน จังหวัดน่าน</v>
      </c>
      <c r="F102" s="244" t="str">
        <f>'[1]ครุภัณฑ์ 69 (data)'!F6</f>
        <v>พมจ.น่าน</v>
      </c>
      <c r="G102" s="244" t="str">
        <f>'[1]ครุภัณฑ์ 69 (data)'!C6</f>
        <v>น่าน</v>
      </c>
      <c r="H102" s="244">
        <f>'[1]ครุภัณฑ์ 69 (data)'!G6</f>
        <v>1</v>
      </c>
      <c r="I102" s="259" t="s">
        <v>468</v>
      </c>
      <c r="J102" s="259"/>
      <c r="K102" s="245">
        <f>'[1]ครุภัณฑ์ 69 (data)'!H6</f>
        <v>67000</v>
      </c>
      <c r="L102" s="245"/>
    </row>
    <row r="103" spans="1:12" hidden="1">
      <c r="A103" s="241" t="s">
        <v>1410</v>
      </c>
      <c r="B103" s="244">
        <f>'[1]ครุภัณฑ์ 69 (data)'!B7</f>
        <v>2569</v>
      </c>
      <c r="C103" s="241" t="s">
        <v>447</v>
      </c>
      <c r="D103" s="244" t="str">
        <f>'[1]ครุภัณฑ์ 69 (data)'!D7</f>
        <v>ยานพาหนะและขนส่ง</v>
      </c>
      <c r="E103" s="244" t="str">
        <f>'[1]ครุภัณฑ์ 69 (data)'!E7</f>
        <v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สำนักงานพัฒนาสังคมและความมั่นคงของมนุษย์จังหวัดแม่ฮ่องสอน ตำบลจองคำ อำเภอเมืองแม่ฮ่องสอน จังหวัดแม่ฮ่องสอน</v>
      </c>
      <c r="F103" s="244" t="str">
        <f>'[1]ครุภัณฑ์ 69 (data)'!F7</f>
        <v>พมจ.แม่ฮ่องสอน</v>
      </c>
      <c r="G103" s="244" t="str">
        <f>'[1]ครุภัณฑ์ 69 (data)'!C7</f>
        <v>แม่ฮ่องสอน</v>
      </c>
      <c r="H103" s="244">
        <f>'[1]ครุภัณฑ์ 69 (data)'!G7</f>
        <v>1</v>
      </c>
      <c r="I103" s="259" t="s">
        <v>468</v>
      </c>
      <c r="J103" s="259"/>
      <c r="K103" s="245">
        <f>'[1]ครุภัณฑ์ 69 (data)'!H7</f>
        <v>1369000</v>
      </c>
      <c r="L103" s="245"/>
    </row>
    <row r="104" spans="1:12" hidden="1">
      <c r="A104" s="241" t="s">
        <v>1411</v>
      </c>
      <c r="B104" s="244">
        <f>'[1]ครุภัณฑ์ 69 (data)'!B8</f>
        <v>2569</v>
      </c>
      <c r="C104" s="241" t="s">
        <v>447</v>
      </c>
      <c r="D104" s="244" t="str">
        <f>'[1]ครุภัณฑ์ 69 (data)'!D8</f>
        <v>ยานพาหนะและขนส่ง</v>
      </c>
      <c r="E104" s="244" t="str">
        <f>'[1]ครุภัณฑ์ 69 (data)'!E8</f>
        <v>รถบรรทุก (ดีเซล) 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 สำนักงานส่งเสริมและสนับสนุนวิชาการ 8 ตำบลผาเลือด อำเภอท่าปลา จังหวัดอุตรดิตถ์</v>
      </c>
      <c r="F104" s="244" t="str">
        <f>'[1]ครุภัณฑ์ 69 (data)'!F8</f>
        <v>สสว.8</v>
      </c>
      <c r="G104" s="244" t="str">
        <f>'[1]ครุภัณฑ์ 69 (data)'!C8</f>
        <v>อุตรดิตถ์</v>
      </c>
      <c r="H104" s="244">
        <f>'[1]ครุภัณฑ์ 69 (data)'!G8</f>
        <v>1</v>
      </c>
      <c r="I104" s="259" t="s">
        <v>468</v>
      </c>
      <c r="J104" s="259"/>
      <c r="K104" s="245">
        <f>'[1]ครุภัณฑ์ 69 (data)'!H8</f>
        <v>1207900</v>
      </c>
      <c r="L104" s="245"/>
    </row>
    <row r="105" spans="1:12" hidden="1">
      <c r="A105" s="241" t="s">
        <v>1412</v>
      </c>
      <c r="B105" s="244">
        <f>'[1]ครุภัณฑ์ 69 (data)'!B9</f>
        <v>2569</v>
      </c>
      <c r="C105" s="241" t="s">
        <v>447</v>
      </c>
      <c r="D105" s="244" t="str">
        <f>'[1]ครุภัณฑ์ 69 (data)'!D9</f>
        <v>สำนักงาน</v>
      </c>
      <c r="E105" s="244" t="str">
        <f>'[1]ครุภัณฑ์ 69 (data)'!E9</f>
        <v>เครื่องปรับอากาศ แบบแยกส่วน แบบตั้งพื้นหรือแบบแขวน ขนาด 30,000 บีทียู สำนักงานส่งเสริมและสนับสนุนวิชาการ 8 ตำบลผาเลือด อำเภอท่าปลา จังหวัดอุตรดิตถ์</v>
      </c>
      <c r="F105" s="244" t="str">
        <f>'[1]ครุภัณฑ์ 69 (data)'!F9</f>
        <v>สสว.8</v>
      </c>
      <c r="G105" s="244" t="str">
        <f>'[1]ครุภัณฑ์ 69 (data)'!C9</f>
        <v>อุตรดิตถ์</v>
      </c>
      <c r="H105" s="244">
        <f>'[1]ครุภัณฑ์ 69 (data)'!G9</f>
        <v>2</v>
      </c>
      <c r="I105" s="259" t="s">
        <v>468</v>
      </c>
      <c r="J105" s="259"/>
      <c r="K105" s="245">
        <f>'[1]ครุภัณฑ์ 69 (data)'!H9</f>
        <v>83000</v>
      </c>
      <c r="L105" s="245"/>
    </row>
    <row r="106" spans="1:12" hidden="1">
      <c r="A106" s="241" t="s">
        <v>1413</v>
      </c>
      <c r="B106" s="244">
        <f>'[1]ครุภัณฑ์ 69 (data)'!B10</f>
        <v>2569</v>
      </c>
      <c r="C106" s="241" t="s">
        <v>447</v>
      </c>
      <c r="D106" s="244" t="str">
        <f>'[1]ครุภัณฑ์ 69 (data)'!D10</f>
        <v>สำนักงาน</v>
      </c>
      <c r="E106" s="244" t="str">
        <f>'[1]ครุภัณฑ์ 69 (data)'!E10</f>
        <v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สำนักงานพัฒนาสังคมและความมั่นคงของมนุษย์จังหวัดอุตรดิตถ์ ตำบลท่าอิฐ อำเภอเมืองอุตรดิตถ์ จังหวัดอุตรดิตถ์</v>
      </c>
      <c r="F106" s="244" t="str">
        <f>'[1]ครุภัณฑ์ 69 (data)'!F10</f>
        <v>พมจ.อุตรดิตถ์</v>
      </c>
      <c r="G106" s="244" t="str">
        <f>'[1]ครุภัณฑ์ 69 (data)'!C10</f>
        <v>อุตรดิตถ์</v>
      </c>
      <c r="H106" s="244">
        <f>'[1]ครุภัณฑ์ 69 (data)'!G10</f>
        <v>6</v>
      </c>
      <c r="I106" s="259" t="s">
        <v>468</v>
      </c>
      <c r="J106" s="259"/>
      <c r="K106" s="245">
        <f>'[1]ครุภัณฑ์ 69 (data)'!H10</f>
        <v>321600</v>
      </c>
      <c r="L106" s="245"/>
    </row>
    <row r="107" spans="1:12" hidden="1">
      <c r="A107" s="241" t="s">
        <v>1414</v>
      </c>
      <c r="B107" s="244">
        <f>'[1]ครุภัณฑ์ 69 (data)'!B11</f>
        <v>2569</v>
      </c>
      <c r="C107" s="241" t="s">
        <v>447</v>
      </c>
      <c r="D107" s="244" t="str">
        <f>'[1]ครุภัณฑ์ 69 (data)'!D11</f>
        <v>ยานพาหนะและขนส่ง</v>
      </c>
      <c r="E107" s="244" t="str">
        <f>'[1]ครุภัณฑ์ 69 (data)'!E11</f>
        <v>รถโดยสารขนาด 12 ที่นั่ง (ดีเซล) ปริมาตรกระบอกสูบไม่น้อยกว่า 2,400 ซีซี หรือกำลังเครื่องยนต์สูงสุดไม่ต่ำกว่า 90 กิโลวัตต์ สำนักงานส่งเสริมและสนับสนุนวิชาการ 6 ตำบลภูดิน อำเภอเมืองกาฬสินธุ์ จังหวัดกาฬสินธุ์</v>
      </c>
      <c r="F107" s="244" t="str">
        <f>'[1]ครุภัณฑ์ 69 (data)'!F11</f>
        <v>สสว.6</v>
      </c>
      <c r="G107" s="244" t="str">
        <f>'[1]ครุภัณฑ์ 69 (data)'!C11</f>
        <v>กาฬสินธุ์</v>
      </c>
      <c r="H107" s="244">
        <f>'[1]ครุภัณฑ์ 69 (data)'!G11</f>
        <v>1</v>
      </c>
      <c r="I107" s="259" t="s">
        <v>468</v>
      </c>
      <c r="J107" s="259"/>
      <c r="K107" s="245">
        <f>'[1]ครุภัณฑ์ 69 (data)'!H11</f>
        <v>1369000</v>
      </c>
      <c r="L107" s="245"/>
    </row>
    <row r="108" spans="1:12" hidden="1">
      <c r="A108" s="241" t="s">
        <v>1415</v>
      </c>
      <c r="B108" s="244">
        <f>'[1]ครุภัณฑ์ 69 (data)'!B12</f>
        <v>2569</v>
      </c>
      <c r="C108" s="241" t="s">
        <v>447</v>
      </c>
      <c r="D108" s="244" t="str">
        <f>'[1]ครุภัณฑ์ 69 (data)'!D12</f>
        <v>ยานพาหนะและขนส่ง</v>
      </c>
      <c r="E108" s="244" t="str">
        <f>'[1]ครุภัณฑ์ 69 (data)'!E12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สำนักงานพัฒนาสังคมและความมั่นคงของมนุษย์จังหวัดกาฬสินธุ์ ตำบลกาฬสินธุ์ อำเภอเมืองกาฬสินธุ์ จังหวัดกาฬสินธุ์</v>
      </c>
      <c r="F108" s="244" t="str">
        <f>'[1]ครุภัณฑ์ 69 (data)'!F12</f>
        <v>พมจ.กาฬสินธุ์</v>
      </c>
      <c r="G108" s="244" t="str">
        <f>'[1]ครุภัณฑ์ 69 (data)'!C12</f>
        <v>กาฬสินธุ์</v>
      </c>
      <c r="H108" s="244">
        <f>'[1]ครุภัณฑ์ 69 (data)'!G12</f>
        <v>1</v>
      </c>
      <c r="I108" s="259" t="s">
        <v>468</v>
      </c>
      <c r="J108" s="259"/>
      <c r="K108" s="245">
        <f>'[1]ครุภัณฑ์ 69 (data)'!H12</f>
        <v>970900</v>
      </c>
      <c r="L108" s="245"/>
    </row>
    <row r="109" spans="1:12" hidden="1">
      <c r="A109" s="241" t="s">
        <v>1416</v>
      </c>
      <c r="B109" s="244">
        <f>'[1]ครุภัณฑ์ 69 (data)'!B13</f>
        <v>2569</v>
      </c>
      <c r="C109" s="241" t="s">
        <v>447</v>
      </c>
      <c r="D109" s="244" t="str">
        <f>'[1]ครุภัณฑ์ 69 (data)'!D13</f>
        <v>ยานพาหนะและขนส่ง</v>
      </c>
      <c r="E109" s="244" t="str">
        <f>'[1]ครุภัณฑ์ 69 (data)'!E13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 แบบดับเบิ้ลแค็บ พร้อมหลังคาไฟเบอ์กลาสหรือเหล็ก สำนักงานส่งเสริมและสนับสนุนวิชาการ 4 ตำบลนิคมสร้างตนเอง อำเภอพิมาย จังหวัดนครราชสีมา</v>
      </c>
      <c r="F109" s="244" t="str">
        <f>'[1]ครุภัณฑ์ 69 (data)'!F13</f>
        <v>สสว.4</v>
      </c>
      <c r="G109" s="244" t="str">
        <f>'[1]ครุภัณฑ์ 69 (data)'!C13</f>
        <v>นครราชสีมา</v>
      </c>
      <c r="H109" s="244">
        <f>'[1]ครุภัณฑ์ 69 (data)'!G13</f>
        <v>2</v>
      </c>
      <c r="I109" s="259" t="s">
        <v>468</v>
      </c>
      <c r="J109" s="259"/>
      <c r="K109" s="245">
        <f>'[1]ครุภัณฑ์ 69 (data)'!H13</f>
        <v>1941800</v>
      </c>
      <c r="L109" s="245"/>
    </row>
    <row r="110" spans="1:12" hidden="1">
      <c r="A110" s="241" t="s">
        <v>1417</v>
      </c>
      <c r="B110" s="244">
        <f>'[1]ครุภัณฑ์ 69 (data)'!B14</f>
        <v>2569</v>
      </c>
      <c r="C110" s="241" t="s">
        <v>447</v>
      </c>
      <c r="D110" s="244" t="str">
        <f>'[1]ครุภัณฑ์ 69 (data)'!D14</f>
        <v>สำนักงาน</v>
      </c>
      <c r="E110" s="244" t="str">
        <f>'[1]ครุภัณฑ์ 69 (data)'!E14</f>
        <v>เครื่องปรับอากาศ แบบแยกส่วน แบบตั้งพื้นหรือแบบแขวน ขนาด 20,000 บีทียู สำนักงานพัฒนาสังคมและความมั่นคงของมนุษย์จังหวัดนครราชสีมา ตำบลในเมือง อำเภอเมืองนครราชสีมา จังหวัดนครราชสีมา</v>
      </c>
      <c r="F110" s="244" t="str">
        <f>'[1]ครุภัณฑ์ 69 (data)'!F14</f>
        <v>พมจ.นครราชสีมา</v>
      </c>
      <c r="G110" s="244" t="str">
        <f>'[1]ครุภัณฑ์ 69 (data)'!C14</f>
        <v>นครราชสีมา</v>
      </c>
      <c r="H110" s="244">
        <f>'[1]ครุภัณฑ์ 69 (data)'!G14</f>
        <v>3</v>
      </c>
      <c r="I110" s="259" t="s">
        <v>468</v>
      </c>
      <c r="J110" s="259"/>
      <c r="K110" s="245">
        <f>'[1]ครุภัณฑ์ 69 (data)'!H14</f>
        <v>92700</v>
      </c>
      <c r="L110" s="245"/>
    </row>
    <row r="111" spans="1:12" hidden="1">
      <c r="A111" s="241" t="s">
        <v>1418</v>
      </c>
      <c r="B111" s="244">
        <f>'[1]ครุภัณฑ์ 69 (data)'!B15</f>
        <v>2569</v>
      </c>
      <c r="C111" s="241" t="s">
        <v>447</v>
      </c>
      <c r="D111" s="244" t="str">
        <f>'[1]ครุภัณฑ์ 69 (data)'!D15</f>
        <v>ยานพาหนะและขนส่ง</v>
      </c>
      <c r="E111" s="244" t="str">
        <f>'[1]ครุภัณฑ์ 69 (data)'!E15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สำนักงานพัฒนาสังคมและความมั่นคงของมนุษย์จังหวัดยโสธร ตำบลในเมือง อำเภอเมืองยโสธร จังหวัดยโสธร</v>
      </c>
      <c r="F111" s="244" t="str">
        <f>'[1]ครุภัณฑ์ 69 (data)'!F15</f>
        <v>พมจ.ยโสธร</v>
      </c>
      <c r="G111" s="244" t="str">
        <f>'[1]ครุภัณฑ์ 69 (data)'!C15</f>
        <v>ยโสธร</v>
      </c>
      <c r="H111" s="244">
        <f>'[1]ครุภัณฑ์ 69 (data)'!G15</f>
        <v>1</v>
      </c>
      <c r="I111" s="259" t="s">
        <v>468</v>
      </c>
      <c r="J111" s="259"/>
      <c r="K111" s="245">
        <f>'[1]ครุภัณฑ์ 69 (data)'!H15</f>
        <v>970900</v>
      </c>
      <c r="L111" s="245"/>
    </row>
    <row r="112" spans="1:12" hidden="1">
      <c r="A112" s="241" t="s">
        <v>1419</v>
      </c>
      <c r="B112" s="244">
        <f>'[1]ครุภัณฑ์ 69 (data)'!B16</f>
        <v>2569</v>
      </c>
      <c r="C112" s="241" t="s">
        <v>447</v>
      </c>
      <c r="D112" s="244" t="str">
        <f>'[1]ครุภัณฑ์ 69 (data)'!D16</f>
        <v>สำนักงาน</v>
      </c>
      <c r="E112" s="244" t="str">
        <f>'[1]ครุภัณฑ์ 69 (data)'!E16</f>
        <v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สำนักงานพัฒนาสังคมและความมั่นคงของมนุษย์จังหวัดเลย ตำบลกุดป่อง อำเภอเมืองเลย จังหวัดเลย</v>
      </c>
      <c r="F112" s="244" t="str">
        <f>'[1]ครุภัณฑ์ 69 (data)'!F16</f>
        <v>พมจ.เลย</v>
      </c>
      <c r="G112" s="244" t="str">
        <f>'[1]ครุภัณฑ์ 69 (data)'!C16</f>
        <v>เลย</v>
      </c>
      <c r="H112" s="244">
        <f>'[1]ครุภัณฑ์ 69 (data)'!G16</f>
        <v>5</v>
      </c>
      <c r="I112" s="259" t="s">
        <v>468</v>
      </c>
      <c r="J112" s="259"/>
      <c r="K112" s="245">
        <f>'[1]ครุภัณฑ์ 69 (data)'!H16</f>
        <v>268000</v>
      </c>
      <c r="L112" s="245"/>
    </row>
    <row r="113" spans="1:12" hidden="1">
      <c r="A113" s="241" t="s">
        <v>1420</v>
      </c>
      <c r="B113" s="244">
        <f>'[1]ครุภัณฑ์ 69 (data)'!B17</f>
        <v>2569</v>
      </c>
      <c r="C113" s="241" t="s">
        <v>447</v>
      </c>
      <c r="D113" s="244" t="str">
        <f>'[1]ครุภัณฑ์ 69 (data)'!D17</f>
        <v>ยานพาหนะและขนส่ง</v>
      </c>
      <c r="E113" s="244" t="str">
        <f>'[1]ครุภัณฑ์ 69 (data)'!E17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สำนักงานพัฒนาสังคมและความมั่นคงของมนุษย์จังหวัดอำนาจเจริญ ตำบลโนนหนามแท่ง อำเภอเมืองอำนาจเจริญ จังหวัดอำนาจเจริญ</v>
      </c>
      <c r="F113" s="244" t="str">
        <f>'[1]ครุภัณฑ์ 69 (data)'!F17</f>
        <v>พมจ.อำนาจเจริญ</v>
      </c>
      <c r="G113" s="244" t="str">
        <f>'[1]ครุภัณฑ์ 69 (data)'!C17</f>
        <v>อำนาจเจริญ</v>
      </c>
      <c r="H113" s="244">
        <f>'[1]ครุภัณฑ์ 69 (data)'!G17</f>
        <v>1</v>
      </c>
      <c r="I113" s="259" t="s">
        <v>468</v>
      </c>
      <c r="J113" s="259"/>
      <c r="K113" s="245">
        <f>'[1]ครุภัณฑ์ 69 (data)'!H17</f>
        <v>970900</v>
      </c>
      <c r="L113" s="245"/>
    </row>
    <row r="114" spans="1:12" hidden="1">
      <c r="A114" s="241" t="s">
        <v>1421</v>
      </c>
      <c r="B114" s="244">
        <f>'[1]ครุภัณฑ์ 69 (data)'!B18</f>
        <v>2569</v>
      </c>
      <c r="C114" s="241" t="s">
        <v>447</v>
      </c>
      <c r="D114" s="244" t="str">
        <f>'[1]ครุภัณฑ์ 69 (data)'!D18</f>
        <v>สำนักงาน</v>
      </c>
      <c r="E114" s="244" t="str">
        <f>'[1]ครุภัณฑ์ 69 (data)'!E18</f>
        <v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สำนักงานพัฒนาสังคมและความมั่นคงของมนุษย์จังหวัดอุบลราชธานี ตำบลแจระแม อำเภอเมืองอุบลราชธานี จังหวัดอุบลราชธานี</v>
      </c>
      <c r="F114" s="244" t="str">
        <f>'[1]ครุภัณฑ์ 69 (data)'!F18</f>
        <v>พมจ.อุบลราชธานี</v>
      </c>
      <c r="G114" s="244" t="str">
        <f>'[1]ครุภัณฑ์ 69 (data)'!C18</f>
        <v>อุบลราชธานี</v>
      </c>
      <c r="H114" s="244">
        <f>'[1]ครุภัณฑ์ 69 (data)'!G18</f>
        <v>5</v>
      </c>
      <c r="I114" s="259" t="s">
        <v>468</v>
      </c>
      <c r="J114" s="259"/>
      <c r="K114" s="245">
        <f>'[1]ครุภัณฑ์ 69 (data)'!H18</f>
        <v>204500</v>
      </c>
      <c r="L114" s="245"/>
    </row>
    <row r="115" spans="1:12" hidden="1">
      <c r="A115" s="241" t="s">
        <v>1422</v>
      </c>
      <c r="B115" s="244">
        <f>'[1]ครุภัณฑ์ 69 (data)'!B19</f>
        <v>2569</v>
      </c>
      <c r="C115" s="241" t="s">
        <v>447</v>
      </c>
      <c r="D115" s="244" t="str">
        <f>'[1]ครุภัณฑ์ 69 (data)'!D19</f>
        <v>ยานพาหนะและขนส่ง</v>
      </c>
      <c r="E115" s="244" t="str">
        <f>'[1]ครุภัณฑ์ 69 (data)'!E19</f>
        <v>รถนั่งส่วนกลาง รถยนต์ไฟฟ้า ประเภทแบตเตอรี่ (BEV) ที่มีขนาดความจุของแบตเตอรี่มากกว่า 60 กิโลวัตต์ชั่วโมง (kWh) และกำลังมอเตอร์ไฟฟ้าสูงสุดไม่เกิน 150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15" s="244" t="str">
        <f>'[1]ครุภัณฑ์ 69 (data)'!F19</f>
        <v>กก.</v>
      </c>
      <c r="G115" s="244" t="str">
        <f>'[1]ครุภัณฑ์ 69 (data)'!C19</f>
        <v>กรุงเทพมหานคร</v>
      </c>
      <c r="H115" s="244">
        <f>'[1]ครุภัณฑ์ 69 (data)'!G19</f>
        <v>2</v>
      </c>
      <c r="I115" s="259" t="s">
        <v>468</v>
      </c>
      <c r="J115" s="259"/>
      <c r="K115" s="245">
        <f>'[1]ครุภัณฑ์ 69 (data)'!H19</f>
        <v>1836000</v>
      </c>
      <c r="L115" s="245"/>
    </row>
    <row r="116" spans="1:12" hidden="1">
      <c r="A116" s="241" t="s">
        <v>1423</v>
      </c>
      <c r="B116" s="244">
        <f>'[1]ครุภัณฑ์ 69 (data)'!B20</f>
        <v>2569</v>
      </c>
      <c r="C116" s="241" t="s">
        <v>447</v>
      </c>
      <c r="D116" s="244" t="str">
        <f>'[1]ครุภัณฑ์ 69 (data)'!D20</f>
        <v>ยานพาหนะและขนส่ง</v>
      </c>
      <c r="E116" s="244" t="str">
        <f>'[1]ครุภัณฑ์ 69 (data)'!E20</f>
        <v>รถนั่งส่วนกลาง รถยนต์ไฟฟ้า ประเภทผสมหรือไฮบริด (HEV) ปริมาตรกระบอกสูบไม่เกิน 2,000 ซีซี หรือกำลังเครื่องยนต์สูงสุดไม่ต่ำกว่า 60 กิโลวัตต์ และกำลังมอเตอร์ไฟฟ้าสูงสุดไม่เกิน 115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16" s="244" t="str">
        <f>'[1]ครุภัณฑ์ 69 (data)'!F20</f>
        <v>สร.</v>
      </c>
      <c r="G116" s="244" t="str">
        <f>'[1]ครุภัณฑ์ 69 (data)'!C20</f>
        <v>กรุงเทพมหานคร</v>
      </c>
      <c r="H116" s="244">
        <f>'[1]ครุภัณฑ์ 69 (data)'!G20</f>
        <v>1</v>
      </c>
      <c r="I116" s="259" t="s">
        <v>468</v>
      </c>
      <c r="J116" s="259"/>
      <c r="K116" s="245">
        <f>'[1]ครุภัณฑ์ 69 (data)'!H20</f>
        <v>825000</v>
      </c>
      <c r="L116" s="245"/>
    </row>
    <row r="117" spans="1:12" hidden="1">
      <c r="A117" s="241" t="s">
        <v>1424</v>
      </c>
      <c r="B117" s="244">
        <f>'[1]ครุภัณฑ์ 69 (data)'!B21</f>
        <v>2569</v>
      </c>
      <c r="C117" s="241" t="s">
        <v>447</v>
      </c>
      <c r="D117" s="244" t="str">
        <f>'[1]ครุภัณฑ์ 69 (data)'!D21</f>
        <v>ยานพาหนะและขนส่ง</v>
      </c>
      <c r="E117" s="244" t="str">
        <f>'[1]ครุภัณฑ์ 69 (data)'!E21</f>
        <v>รถนั่งส่วนกลาง รถยนต์ไฟฟ้า ประเภทแบตเตอรี่ (BEV) ที่มีขนาดความจุของแบตเตอรี่มากกว่า 60 กิโลวัตต์ชั่วโมง (kWh) และกำลังมอเตอร์ไฟฟ้าสูงสุดไม่เกิน 150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17" s="244" t="str">
        <f>'[1]ครุภัณฑ์ 69 (data)'!F21</f>
        <v>กยผ.</v>
      </c>
      <c r="G117" s="244" t="str">
        <f>'[1]ครุภัณฑ์ 69 (data)'!C21</f>
        <v>กรุงเทพมหานคร</v>
      </c>
      <c r="H117" s="244">
        <f>'[1]ครุภัณฑ์ 69 (data)'!G21</f>
        <v>1</v>
      </c>
      <c r="I117" s="259" t="s">
        <v>468</v>
      </c>
      <c r="J117" s="259"/>
      <c r="K117" s="245">
        <f>'[1]ครุภัณฑ์ 69 (data)'!H21</f>
        <v>918000</v>
      </c>
      <c r="L117" s="245"/>
    </row>
    <row r="118" spans="1:12" hidden="1">
      <c r="A118" s="241" t="s">
        <v>1425</v>
      </c>
      <c r="B118" s="244">
        <f>'[1]ครุภัณฑ์ 69 (data)'!B22</f>
        <v>2569</v>
      </c>
      <c r="C118" s="241" t="s">
        <v>447</v>
      </c>
      <c r="D118" s="244" t="str">
        <f>'[1]ครุภัณฑ์ 69 (data)'!D22</f>
        <v>ยานพาหนะและขนส่ง</v>
      </c>
      <c r="E118" s="244" t="str">
        <f>'[1]ครุภัณฑ์ 69 (data)'!E22</f>
        <v>รถนั่งส่วนกลาง รถยนต์ไฟฟ้า ประเภทแบตเตอรี่ (BEV) ที่มีขนาดความจุของแบตเตอรี่มากกว่า 60 กิโลวัตต์ชั่วโมง (kWh) และกำลังมอเตอร์ไฟฟ้าสูงสุดไม่เกิน 150 กิโลวัตต์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18" s="244" t="str">
        <f>'[1]ครุภัณฑ์ 69 (data)'!F22</f>
        <v>กคม.</v>
      </c>
      <c r="G118" s="244" t="str">
        <f>'[1]ครุภัณฑ์ 69 (data)'!C22</f>
        <v>กรุงเทพมหานคร</v>
      </c>
      <c r="H118" s="244">
        <f>'[1]ครุภัณฑ์ 69 (data)'!G22</f>
        <v>1</v>
      </c>
      <c r="I118" s="259" t="s">
        <v>468</v>
      </c>
      <c r="J118" s="259"/>
      <c r="K118" s="245">
        <f>'[1]ครุภัณฑ์ 69 (data)'!H22</f>
        <v>918000</v>
      </c>
      <c r="L118" s="245"/>
    </row>
    <row r="119" spans="1:12" hidden="1">
      <c r="A119" s="241" t="s">
        <v>1426</v>
      </c>
      <c r="B119" s="244">
        <f>'[1]ครุภัณฑ์ 69 (data)'!B23</f>
        <v>2569</v>
      </c>
      <c r="C119" s="241" t="s">
        <v>447</v>
      </c>
      <c r="D119" s="244" t="str">
        <f>'[1]ครุภัณฑ์ 69 (data)'!D23</f>
        <v>สำนักงาน</v>
      </c>
      <c r="E119" s="244" t="str">
        <f>'[1]ครุภัณฑ์ 69 (data)'!E23</f>
        <v>เครื่องทำลายเอกสาร แบบตัดตรง ทำลายครั้งละ 30 แผ่น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19" s="244" t="str">
        <f>'[1]ครุภัณฑ์ 69 (data)'!F23</f>
        <v>กยผ.</v>
      </c>
      <c r="G119" s="244" t="str">
        <f>'[1]ครุภัณฑ์ 69 (data)'!C23</f>
        <v>กรุงเทพมหานคร</v>
      </c>
      <c r="H119" s="244">
        <f>'[1]ครุภัณฑ์ 69 (data)'!G23</f>
        <v>1</v>
      </c>
      <c r="I119" s="259" t="s">
        <v>468</v>
      </c>
      <c r="J119" s="259"/>
      <c r="K119" s="245">
        <f>'[1]ครุภัณฑ์ 69 (data)'!H23</f>
        <v>63000</v>
      </c>
      <c r="L119" s="245"/>
    </row>
    <row r="120" spans="1:12" hidden="1">
      <c r="A120" s="241" t="s">
        <v>1427</v>
      </c>
      <c r="B120" s="244">
        <f>'[1]ครุภัณฑ์ 69 (data)'!B24</f>
        <v>2569</v>
      </c>
      <c r="C120" s="241" t="s">
        <v>447</v>
      </c>
      <c r="D120" s="244" t="str">
        <f>'[1]ครุภัณฑ์ 69 (data)'!D24</f>
        <v>สำนักงาน</v>
      </c>
      <c r="E120" s="244" t="str">
        <f>'[1]ครุภัณฑ์ 69 (data)'!E24</f>
        <v>ระบบควบคุมการเข้า-ออก อาคารที่ทำการกระทรวงการพัฒนาสังคมและความมั่นคงของมนุษย์ พร้อมติดตั้ง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20" s="244" t="str">
        <f>'[1]ครุภัณฑ์ 69 (data)'!F24</f>
        <v>กก.</v>
      </c>
      <c r="G120" s="244" t="str">
        <f>'[1]ครุภัณฑ์ 69 (data)'!C24</f>
        <v>กรุงเทพมหานคร</v>
      </c>
      <c r="H120" s="244">
        <f>'[1]ครุภัณฑ์ 69 (data)'!G24</f>
        <v>1</v>
      </c>
      <c r="I120" s="259" t="s">
        <v>468</v>
      </c>
      <c r="J120" s="259"/>
      <c r="K120" s="245">
        <f>'[1]ครุภัณฑ์ 69 (data)'!H24</f>
        <v>1375900</v>
      </c>
      <c r="L120" s="245"/>
    </row>
    <row r="121" spans="1:12" hidden="1">
      <c r="A121" s="241" t="s">
        <v>1428</v>
      </c>
      <c r="B121" s="244">
        <f>'[1]ครุภัณฑ์ 69 (data)'!B25</f>
        <v>2569</v>
      </c>
      <c r="C121" s="241" t="s">
        <v>447</v>
      </c>
      <c r="D121" s="244" t="str">
        <f>'[1]ครุภัณฑ์ 69 (data)'!D25</f>
        <v>ไฟฟ้าและวิทยุ</v>
      </c>
      <c r="E121" s="244" t="str">
        <f>'[1]ครุภัณฑ์ 69 (data)'!E25</f>
        <v>เครื่องประจุไฟฟ้าแบบติดผนังสำหรับรถยนต์ไฟฟ้า (EV Wall Charger) PTT EV Wall Charger รุ่น 22 kW Smart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21" s="244" t="str">
        <f>'[1]ครุภัณฑ์ 69 (data)'!F25</f>
        <v>กก.</v>
      </c>
      <c r="G121" s="244" t="str">
        <f>'[1]ครุภัณฑ์ 69 (data)'!C25</f>
        <v>กรุงเทพมหานคร</v>
      </c>
      <c r="H121" s="244">
        <f>'[1]ครุภัณฑ์ 69 (data)'!G25</f>
        <v>2</v>
      </c>
      <c r="I121" s="259" t="s">
        <v>468</v>
      </c>
      <c r="J121" s="259"/>
      <c r="K121" s="245">
        <f>'[1]ครุภัณฑ์ 69 (data)'!H25</f>
        <v>164000</v>
      </c>
      <c r="L121" s="245"/>
    </row>
    <row r="122" spans="1:12" hidden="1">
      <c r="A122" s="241" t="s">
        <v>1429</v>
      </c>
      <c r="B122" s="244">
        <f>'[1]ครุภัณฑ์ 69 (data)'!B26</f>
        <v>2569</v>
      </c>
      <c r="C122" s="241" t="s">
        <v>447</v>
      </c>
      <c r="D122" s="244" t="str">
        <f>'[1]ครุภัณฑ์ 69 (data)'!D26</f>
        <v>คอมพิวเตอร์</v>
      </c>
      <c r="E122" s="244" t="str">
        <f>'[1]ครุภัณฑ์ 69 (data)'!E26</f>
        <v>อุปกรณ์ป้องกันเครือข่าย (Next Generation Firewall)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22" s="244" t="str">
        <f>'[1]ครุภัณฑ์ 69 (data)'!F26</f>
        <v>ศทส.</v>
      </c>
      <c r="G122" s="244" t="str">
        <f>'[1]ครุภัณฑ์ 69 (data)'!C26</f>
        <v>กรุงเทพมหานคร</v>
      </c>
      <c r="H122" s="244">
        <f>'[1]ครุภัณฑ์ 69 (data)'!G26</f>
        <v>11</v>
      </c>
      <c r="I122" s="259" t="s">
        <v>468</v>
      </c>
      <c r="J122" s="259"/>
      <c r="K122" s="245">
        <f>'[1]ครุภัณฑ์ 69 (data)'!H26</f>
        <v>715000</v>
      </c>
      <c r="L122" s="245"/>
    </row>
    <row r="123" spans="1:12" hidden="1">
      <c r="A123" s="241" t="s">
        <v>1430</v>
      </c>
      <c r="B123" s="244">
        <f>'[1]ครุภัณฑ์ 69 (data)'!B27</f>
        <v>2569</v>
      </c>
      <c r="C123" s="241" t="s">
        <v>447</v>
      </c>
      <c r="D123" s="244" t="str">
        <f>'[1]ครุภัณฑ์ 69 (data)'!D27</f>
        <v>คอมพิวเตอร์</v>
      </c>
      <c r="E123" s="244" t="str">
        <f>'[1]ครุภัณฑ์ 69 (data)'!E27</f>
        <v>อุปกรณ์ป้องกันเครือข่าย (Next Generation Firewall) แบบที่ 2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23" s="244" t="str">
        <f>'[1]ครุภัณฑ์ 69 (data)'!F27</f>
        <v>ศทส.</v>
      </c>
      <c r="G123" s="244" t="str">
        <f>'[1]ครุภัณฑ์ 69 (data)'!C27</f>
        <v>กรุงเทพมหานคร</v>
      </c>
      <c r="H123" s="244">
        <f>'[1]ครุภัณฑ์ 69 (data)'!G27</f>
        <v>1</v>
      </c>
      <c r="I123" s="259" t="s">
        <v>468</v>
      </c>
      <c r="J123" s="259"/>
      <c r="K123" s="245">
        <f>'[1]ครุภัณฑ์ 69 (data)'!H27</f>
        <v>1000000</v>
      </c>
      <c r="L123" s="245"/>
    </row>
    <row r="124" spans="1:12" hidden="1">
      <c r="A124" s="241" t="s">
        <v>1431</v>
      </c>
      <c r="B124" s="244">
        <f>'[1]ครุภัณฑ์ 69 (data)'!B28</f>
        <v>2569</v>
      </c>
      <c r="C124" s="241" t="s">
        <v>447</v>
      </c>
      <c r="D124" s="244" t="str">
        <f>'[1]ครุภัณฑ์ 69 (data)'!D28</f>
        <v>คอมพิวเตอร์</v>
      </c>
      <c r="E124" s="244" t="str">
        <f>'[1]ครุภัณฑ์ 69 (data)'!E28</f>
        <v>อุปกรณ์กระจายสัญญาณ Layer 2 ความเร็วไม่น้อยกว่า 10 Gbps แบบ SFP+ ขนาด 24 ช่อง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24" s="244" t="str">
        <f>'[1]ครุภัณฑ์ 69 (data)'!F28</f>
        <v>ศทส.</v>
      </c>
      <c r="G124" s="244" t="str">
        <f>'[1]ครุภัณฑ์ 69 (data)'!C28</f>
        <v>กรุงเทพมหานคร</v>
      </c>
      <c r="H124" s="244">
        <f>'[1]ครุภัณฑ์ 69 (data)'!G28</f>
        <v>7</v>
      </c>
      <c r="I124" s="259" t="s">
        <v>468</v>
      </c>
      <c r="J124" s="259"/>
      <c r="K124" s="245">
        <f>'[1]ครุภัณฑ์ 69 (data)'!H28</f>
        <v>3150000</v>
      </c>
      <c r="L124" s="245"/>
    </row>
    <row r="125" spans="1:12" hidden="1">
      <c r="A125" s="241" t="s">
        <v>1432</v>
      </c>
      <c r="B125" s="244">
        <f>'[1]ครุภัณฑ์ 69 (data)'!B29</f>
        <v>2569</v>
      </c>
      <c r="C125" s="241" t="s">
        <v>447</v>
      </c>
      <c r="D125" s="244" t="str">
        <f>'[1]ครุภัณฑ์ 69 (data)'!D29</f>
        <v>คอมพิวเตอร์</v>
      </c>
      <c r="E125" s="244" t="str">
        <f>'[1]ครุภัณฑ์ 69 (data)'!E29</f>
        <v>อุปกรณ์กระจายสัญญาณไร้สาย (Access Point) แบบที่ 2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25" s="244" t="str">
        <f>'[1]ครุภัณฑ์ 69 (data)'!F29</f>
        <v>ศทส.</v>
      </c>
      <c r="G125" s="244" t="str">
        <f>'[1]ครุภัณฑ์ 69 (data)'!C29</f>
        <v>กรุงเทพมหานคร</v>
      </c>
      <c r="H125" s="244">
        <f>'[1]ครุภัณฑ์ 69 (data)'!G29</f>
        <v>48</v>
      </c>
      <c r="I125" s="259" t="s">
        <v>468</v>
      </c>
      <c r="J125" s="259"/>
      <c r="K125" s="245">
        <f>'[1]ครุภัณฑ์ 69 (data)'!H29</f>
        <v>1008000</v>
      </c>
      <c r="L125" s="245"/>
    </row>
    <row r="126" spans="1:12" hidden="1">
      <c r="A126" s="241" t="s">
        <v>1433</v>
      </c>
      <c r="B126" s="244">
        <f>'[1]ครุภัณฑ์ 69 (data)'!B30</f>
        <v>2569</v>
      </c>
      <c r="C126" s="241" t="s">
        <v>447</v>
      </c>
      <c r="D126" s="244" t="str">
        <f>'[1]ครุภัณฑ์ 69 (data)'!D30</f>
        <v>คอมพิวเตอร์</v>
      </c>
      <c r="E126" s="244" t="str">
        <f>'[1]ครุภัณฑ์ 69 (data)'!E30</f>
        <v>อุปกรณ์กระจายสัญญาณ (L2 Switch) ขนาด 24 ช่อง แบบที่ 2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26" s="244" t="str">
        <f>'[1]ครุภัณฑ์ 69 (data)'!F30</f>
        <v>ศทส.</v>
      </c>
      <c r="G126" s="244" t="str">
        <f>'[1]ครุภัณฑ์ 69 (data)'!C30</f>
        <v>กรุงเทพมหานคร</v>
      </c>
      <c r="H126" s="244">
        <f>'[1]ครุภัณฑ์ 69 (data)'!G30</f>
        <v>31</v>
      </c>
      <c r="I126" s="259" t="s">
        <v>468</v>
      </c>
      <c r="J126" s="259"/>
      <c r="K126" s="245">
        <f>'[1]ครุภัณฑ์ 69 (data)'!H30</f>
        <v>403000</v>
      </c>
      <c r="L126" s="245"/>
    </row>
    <row r="127" spans="1:12" hidden="1">
      <c r="A127" s="241" t="s">
        <v>1434</v>
      </c>
      <c r="B127" s="244">
        <f>'[1]ครุภัณฑ์ 69 (data)'!B31</f>
        <v>2569</v>
      </c>
      <c r="C127" s="241" t="s">
        <v>447</v>
      </c>
      <c r="D127" s="244" t="str">
        <f>'[1]ครุภัณฑ์ 69 (data)'!D31</f>
        <v>คอมพิวเตอร์</v>
      </c>
      <c r="E127" s="244" t="str">
        <f>'[1]ครุภัณฑ์ 69 (data)'!E31</f>
        <v>อุปกรณ์สำหรับจัดเก็บข้อมูลแบบ NAS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27" s="244" t="str">
        <f>'[1]ครุภัณฑ์ 69 (data)'!F31</f>
        <v>ศทส.</v>
      </c>
      <c r="G127" s="244" t="str">
        <f>'[1]ครุภัณฑ์ 69 (data)'!C31</f>
        <v>กรุงเทพมหานคร</v>
      </c>
      <c r="H127" s="244">
        <f>'[1]ครุภัณฑ์ 69 (data)'!G31</f>
        <v>1</v>
      </c>
      <c r="I127" s="259" t="s">
        <v>468</v>
      </c>
      <c r="J127" s="259"/>
      <c r="K127" s="245">
        <f>'[1]ครุภัณฑ์ 69 (data)'!H31</f>
        <v>35000</v>
      </c>
      <c r="L127" s="245"/>
    </row>
    <row r="128" spans="1:12" hidden="1">
      <c r="A128" s="241" t="s">
        <v>1435</v>
      </c>
      <c r="B128" s="244">
        <f>'[1]ครุภัณฑ์ 69 (data)'!B32</f>
        <v>2569</v>
      </c>
      <c r="C128" s="241" t="s">
        <v>447</v>
      </c>
      <c r="D128" s="244" t="str">
        <f>'[1]ครุภัณฑ์ 69 (data)'!D32</f>
        <v>คอมพิวเตอร์</v>
      </c>
      <c r="E128" s="244" t="str">
        <f>'[1]ครุภัณฑ์ 69 (data)'!E32</f>
        <v>เครื่องสำรองไฟฟ้า ขนาด 2 kVA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28" s="244" t="str">
        <f>'[1]ครุภัณฑ์ 69 (data)'!F32</f>
        <v>ศทส.</v>
      </c>
      <c r="G128" s="244" t="str">
        <f>'[1]ครุภัณฑ์ 69 (data)'!C32</f>
        <v>กรุงเทพมหานคร</v>
      </c>
      <c r="H128" s="244">
        <f>'[1]ครุภัณฑ์ 69 (data)'!G32</f>
        <v>11</v>
      </c>
      <c r="I128" s="259" t="s">
        <v>468</v>
      </c>
      <c r="J128" s="259"/>
      <c r="K128" s="245">
        <f>'[1]ครุภัณฑ์ 69 (data)'!H32</f>
        <v>121000</v>
      </c>
      <c r="L128" s="245"/>
    </row>
    <row r="129" spans="1:12" hidden="1">
      <c r="A129" s="241" t="s">
        <v>1436</v>
      </c>
      <c r="B129" s="244">
        <f>'[1]ครุภัณฑ์ 69 (data)'!B33</f>
        <v>2569</v>
      </c>
      <c r="C129" s="241" t="s">
        <v>447</v>
      </c>
      <c r="D129" s="244" t="str">
        <f>'[1]ครุภัณฑ์ 69 (data)'!D33</f>
        <v>คอมพิวเตอร์</v>
      </c>
      <c r="E129" s="244" t="str">
        <f>'[1]ครุภัณฑ์ 69 (data)'!E33</f>
        <v>อุปกรณ์บริหารจัดการอุปกรณ์ป้องกันเครือข่าย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29" s="244" t="str">
        <f>'[1]ครุภัณฑ์ 69 (data)'!F33</f>
        <v>ศทส.</v>
      </c>
      <c r="G129" s="244" t="str">
        <f>'[1]ครุภัณฑ์ 69 (data)'!C33</f>
        <v>กรุงเทพมหานคร</v>
      </c>
      <c r="H129" s="244">
        <f>'[1]ครุภัณฑ์ 69 (data)'!G33</f>
        <v>1</v>
      </c>
      <c r="I129" s="259" t="s">
        <v>468</v>
      </c>
      <c r="J129" s="259"/>
      <c r="K129" s="245">
        <f>'[1]ครุภัณฑ์ 69 (data)'!H33</f>
        <v>1800000</v>
      </c>
      <c r="L129" s="245"/>
    </row>
    <row r="130" spans="1:12" hidden="1">
      <c r="A130" s="241" t="s">
        <v>1437</v>
      </c>
      <c r="B130" s="244">
        <f>'[1]ครุภัณฑ์ 69 (data)'!B34</f>
        <v>2569</v>
      </c>
      <c r="C130" s="241" t="s">
        <v>447</v>
      </c>
      <c r="D130" s="244" t="str">
        <f>'[1]ครุภัณฑ์ 69 (data)'!D34</f>
        <v>คอมพิวเตอร์</v>
      </c>
      <c r="E130" s="244" t="str">
        <f>'[1]ครุภัณฑ์ 69 (data)'!E34</f>
        <v>ระบบบริหารจัดการบัญชีผู้ใช้งานและตรวจสอบการเข้าถึงระบบเครือข่ายคอมพิวเตอร์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30" s="244" t="str">
        <f>'[1]ครุภัณฑ์ 69 (data)'!F34</f>
        <v>ศทส.</v>
      </c>
      <c r="G130" s="244" t="str">
        <f>'[1]ครุภัณฑ์ 69 (data)'!C34</f>
        <v>กรุงเทพมหานคร</v>
      </c>
      <c r="H130" s="244">
        <f>'[1]ครุภัณฑ์ 69 (data)'!G34</f>
        <v>1</v>
      </c>
      <c r="I130" s="259" t="s">
        <v>468</v>
      </c>
      <c r="J130" s="259"/>
      <c r="K130" s="245">
        <f>'[1]ครุภัณฑ์ 69 (data)'!H34</f>
        <v>1000000</v>
      </c>
      <c r="L130" s="245"/>
    </row>
    <row r="131" spans="1:12" hidden="1">
      <c r="A131" s="241" t="s">
        <v>1438</v>
      </c>
      <c r="B131" s="244">
        <f>'[1]ครุภัณฑ์ 69 (data)'!B35</f>
        <v>2569</v>
      </c>
      <c r="C131" s="241" t="s">
        <v>447</v>
      </c>
      <c r="D131" s="244" t="str">
        <f>'[1]ครุภัณฑ์ 69 (data)'!D35</f>
        <v>คอมพิวเตอร์</v>
      </c>
      <c r="E131" s="244" t="str">
        <f>'[1]ครุภัณฑ์ 69 (data)'!E35</f>
        <v>เครื่องคอมพิวเตอร์ สำหรับงานประมวลผลแบบที่ 1 (จอแสดงภาพขนาดไม่น้อยกว่า 19 นิ้ว) พร้อมชุดโปรแกรมระบบปฏิบัติการ และเครื่องสำรองไฟฟ้า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31" s="244" t="str">
        <f>'[1]ครุภัณฑ์ 69 (data)'!F35</f>
        <v>ศทส.</v>
      </c>
      <c r="G131" s="244" t="str">
        <f>'[1]ครุภัณฑ์ 69 (data)'!C35</f>
        <v>กรุงเทพมหานคร</v>
      </c>
      <c r="H131" s="244">
        <f>'[1]ครุภัณฑ์ 69 (data)'!G35</f>
        <v>154</v>
      </c>
      <c r="I131" s="259" t="s">
        <v>468</v>
      </c>
      <c r="J131" s="259"/>
      <c r="K131" s="245">
        <f>'[1]ครุภัณฑ์ 69 (data)'!H35</f>
        <v>4727800</v>
      </c>
      <c r="L131" s="245"/>
    </row>
    <row r="132" spans="1:12" hidden="1">
      <c r="A132" s="241" t="s">
        <v>1439</v>
      </c>
      <c r="B132" s="244">
        <f>'[1]ครุภัณฑ์ 69 (data)'!B36</f>
        <v>2569</v>
      </c>
      <c r="C132" s="241" t="s">
        <v>447</v>
      </c>
      <c r="D132" s="244" t="str">
        <f>'[1]ครุภัณฑ์ 69 (data)'!D36</f>
        <v>คอมพิวเตอร์</v>
      </c>
      <c r="E132" s="244" t="str">
        <f>'[1]ครุภัณฑ์ 69 (data)'!E36</f>
        <v>เครื่องคอมพิวเตอร์ สำหรับงานประมวลผลแบบที่ 2 (จอแสดงภาพขนาดไม่น้อยกว่า 19 นิ้ว) พร้อมชุดโปรแกรมระบบปฏิบัติการ และเครื่องสำรองไฟฟ้า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32" s="244" t="str">
        <f>'[1]ครุภัณฑ์ 69 (data)'!F36</f>
        <v>ศทส.</v>
      </c>
      <c r="G132" s="244" t="str">
        <f>'[1]ครุภัณฑ์ 69 (data)'!C36</f>
        <v>กรุงเทพมหานคร</v>
      </c>
      <c r="H132" s="244">
        <f>'[1]ครุภัณฑ์ 69 (data)'!G36</f>
        <v>1</v>
      </c>
      <c r="I132" s="259" t="s">
        <v>468</v>
      </c>
      <c r="J132" s="259"/>
      <c r="K132" s="245">
        <f>'[1]ครุภัณฑ์ 69 (data)'!H36</f>
        <v>38700</v>
      </c>
      <c r="L132" s="245"/>
    </row>
    <row r="133" spans="1:12" hidden="1">
      <c r="A133" s="241" t="s">
        <v>1440</v>
      </c>
      <c r="B133" s="244">
        <f>'[1]ครุภัณฑ์ 69 (data)'!B37</f>
        <v>2569</v>
      </c>
      <c r="C133" s="241" t="s">
        <v>447</v>
      </c>
      <c r="D133" s="244" t="str">
        <f>'[1]ครุภัณฑ์ 69 (data)'!D37</f>
        <v>คอมพิวเตอร์</v>
      </c>
      <c r="E133" s="244" t="str">
        <f>'[1]ครุภัณฑ์ 69 (data)'!E37</f>
        <v>เครื่องคอมพิวเตอร์ All In One สำหรับงานประมวลผล พร้อมชุดโปรแกรมปฏิบัติการ และเครื่องสำรองไฟ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33" s="244" t="str">
        <f>'[1]ครุภัณฑ์ 69 (data)'!F37</f>
        <v>ศทส.</v>
      </c>
      <c r="G133" s="244" t="str">
        <f>'[1]ครุภัณฑ์ 69 (data)'!C37</f>
        <v>กรุงเทพมหานคร</v>
      </c>
      <c r="H133" s="244">
        <f>'[1]ครุภัณฑ์ 69 (data)'!G37</f>
        <v>1</v>
      </c>
      <c r="I133" s="259" t="s">
        <v>468</v>
      </c>
      <c r="J133" s="259"/>
      <c r="K133" s="245">
        <f>'[1]ครุภัณฑ์ 69 (data)'!H37</f>
        <v>30700</v>
      </c>
      <c r="L133" s="245"/>
    </row>
    <row r="134" spans="1:12" hidden="1">
      <c r="A134" s="241" t="s">
        <v>1441</v>
      </c>
      <c r="B134" s="244">
        <f>'[1]ครุภัณฑ์ 69 (data)'!B38</f>
        <v>2569</v>
      </c>
      <c r="C134" s="241" t="s">
        <v>447</v>
      </c>
      <c r="D134" s="244" t="str">
        <f>'[1]ครุภัณฑ์ 69 (data)'!D38</f>
        <v>คอมพิวเตอร์</v>
      </c>
      <c r="E134" s="244" t="str">
        <f>'[1]ครุภัณฑ์ 69 (data)'!E38</f>
        <v>เครื่องคอมพิวเตอร์โน้ตบุ๊ก สำหรับงานประมวลผล พร้อมชุดโปรแกรมระบบปฏิบัติการ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34" s="244" t="str">
        <f>'[1]ครุภัณฑ์ 69 (data)'!F38</f>
        <v>ศทส.</v>
      </c>
      <c r="G134" s="244" t="str">
        <f>'[1]ครุภัณฑ์ 69 (data)'!C38</f>
        <v>กรุงเทพมหานคร</v>
      </c>
      <c r="H134" s="244">
        <f>'[1]ครุภัณฑ์ 69 (data)'!G38</f>
        <v>87</v>
      </c>
      <c r="I134" s="259" t="s">
        <v>468</v>
      </c>
      <c r="J134" s="259"/>
      <c r="K134" s="245">
        <f>'[1]ครุภัณฑ์ 69 (data)'!H38</f>
        <v>2453400</v>
      </c>
      <c r="L134" s="245"/>
    </row>
    <row r="135" spans="1:12" hidden="1">
      <c r="A135" s="241" t="s">
        <v>1442</v>
      </c>
      <c r="B135" s="244">
        <f>'[1]ครุภัณฑ์ 69 (data)'!B39</f>
        <v>2569</v>
      </c>
      <c r="C135" s="241" t="s">
        <v>447</v>
      </c>
      <c r="D135" s="244" t="str">
        <f>'[1]ครุภัณฑ์ 69 (data)'!D39</f>
        <v>คอมพิวเตอร์</v>
      </c>
      <c r="E135" s="244" t="str">
        <f>'[1]ครุภัณฑ์ 69 (data)'!E39</f>
        <v>เครื่องพิมพ์ เลเซอร์ หรือ LED ขาวดำ ชนิด Network แบบที่ 1 (28 หน้า/นาที)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35" s="244" t="str">
        <f>'[1]ครุภัณฑ์ 69 (data)'!F39</f>
        <v>ศทส.</v>
      </c>
      <c r="G135" s="244" t="str">
        <f>'[1]ครุภัณฑ์ 69 (data)'!C39</f>
        <v>กรุงเทพมหานคร</v>
      </c>
      <c r="H135" s="244">
        <f>'[1]ครุภัณฑ์ 69 (data)'!G39</f>
        <v>121</v>
      </c>
      <c r="I135" s="259" t="s">
        <v>468</v>
      </c>
      <c r="J135" s="259"/>
      <c r="K135" s="245">
        <f>'[1]ครุภัณฑ์ 69 (data)'!H39</f>
        <v>1076900</v>
      </c>
      <c r="L135" s="245"/>
    </row>
    <row r="136" spans="1:12" hidden="1">
      <c r="A136" s="241" t="s">
        <v>1443</v>
      </c>
      <c r="B136" s="244">
        <f>'[1]ครุภัณฑ์ 69 (data)'!B40</f>
        <v>2569</v>
      </c>
      <c r="C136" s="241" t="s">
        <v>447</v>
      </c>
      <c r="D136" s="244" t="str">
        <f>'[1]ครุภัณฑ์ 69 (data)'!D40</f>
        <v>คอมพิวเตอร์</v>
      </c>
      <c r="E136" s="244" t="str">
        <f>'[1]ครุภัณฑ์ 69 (data)'!E40</f>
        <v>เครื่องพิมพ์ เลเซอร์ หรือ LED สี ชนิด Network แบบที่ 1 (20 หน้า/นาที)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36" s="244" t="str">
        <f>'[1]ครุภัณฑ์ 69 (data)'!F40</f>
        <v>ศทส.</v>
      </c>
      <c r="G136" s="244" t="str">
        <f>'[1]ครุภัณฑ์ 69 (data)'!C40</f>
        <v>กรุงเทพมหานคร</v>
      </c>
      <c r="H136" s="244">
        <f>'[1]ครุภัณฑ์ 69 (data)'!G40</f>
        <v>10</v>
      </c>
      <c r="I136" s="259" t="s">
        <v>468</v>
      </c>
      <c r="J136" s="259"/>
      <c r="K136" s="245">
        <f>'[1]ครุภัณฑ์ 69 (data)'!H40</f>
        <v>110000</v>
      </c>
      <c r="L136" s="245"/>
    </row>
    <row r="137" spans="1:12" hidden="1">
      <c r="A137" s="241" t="s">
        <v>1444</v>
      </c>
      <c r="B137" s="244">
        <f>'[1]ครุภัณฑ์ 69 (data)'!B41</f>
        <v>2569</v>
      </c>
      <c r="C137" s="241" t="s">
        <v>447</v>
      </c>
      <c r="D137" s="244" t="str">
        <f>'[1]ครุภัณฑ์ 69 (data)'!D41</f>
        <v>คอมพิวเตอร์</v>
      </c>
      <c r="E137" s="244" t="str">
        <f>'[1]ครุภัณฑ์ 69 (data)'!E41</f>
        <v>เครื่องพิมพ์ Multifunction เลเซอร์ หรือ LED ขาวดำ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37" s="244" t="str">
        <f>'[1]ครุภัณฑ์ 69 (data)'!F41</f>
        <v>ศทส.</v>
      </c>
      <c r="G137" s="244" t="str">
        <f>'[1]ครุภัณฑ์ 69 (data)'!C41</f>
        <v>กรุงเทพมหานคร</v>
      </c>
      <c r="H137" s="244">
        <f>'[1]ครุภัณฑ์ 69 (data)'!G41</f>
        <v>2</v>
      </c>
      <c r="I137" s="259" t="s">
        <v>468</v>
      </c>
      <c r="J137" s="259"/>
      <c r="K137" s="245">
        <f>'[1]ครุภัณฑ์ 69 (data)'!H41</f>
        <v>20000</v>
      </c>
      <c r="L137" s="245"/>
    </row>
    <row r="138" spans="1:12" hidden="1">
      <c r="A138" s="241" t="s">
        <v>1445</v>
      </c>
      <c r="B138" s="244">
        <f>'[1]ครุภัณฑ์ 69 (data)'!B42</f>
        <v>2569</v>
      </c>
      <c r="C138" s="241" t="s">
        <v>447</v>
      </c>
      <c r="D138" s="244" t="str">
        <f>'[1]ครุภัณฑ์ 69 (data)'!D42</f>
        <v>คอมพิวเตอร์</v>
      </c>
      <c r="E138" s="244" t="str">
        <f>'[1]ครุภัณฑ์ 69 (data)'!E42</f>
        <v>เครื่องพิมพ์ Multifunction เลเซอร์ หรือ LED สี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38" s="244" t="str">
        <f>'[1]ครุภัณฑ์ 69 (data)'!F42</f>
        <v>ศทส.</v>
      </c>
      <c r="G138" s="244" t="str">
        <f>'[1]ครุภัณฑ์ 69 (data)'!C42</f>
        <v>กรุงเทพมหานคร</v>
      </c>
      <c r="H138" s="244">
        <f>'[1]ครุภัณฑ์ 69 (data)'!G42</f>
        <v>2</v>
      </c>
      <c r="I138" s="259" t="s">
        <v>468</v>
      </c>
      <c r="J138" s="259"/>
      <c r="K138" s="245">
        <f>'[1]ครุภัณฑ์ 69 (data)'!H42</f>
        <v>32000</v>
      </c>
      <c r="L138" s="245"/>
    </row>
    <row r="139" spans="1:12" hidden="1">
      <c r="A139" s="241" t="s">
        <v>1446</v>
      </c>
      <c r="B139" s="244">
        <f>'[1]ครุภัณฑ์ 69 (data)'!B43</f>
        <v>2569</v>
      </c>
      <c r="C139" s="241" t="s">
        <v>447</v>
      </c>
      <c r="D139" s="244" t="str">
        <f>'[1]ครุภัณฑ์ 69 (data)'!D43</f>
        <v>คอมพิวเตอร์</v>
      </c>
      <c r="E139" s="244" t="str">
        <f>'[1]ครุภัณฑ์ 69 (data)'!E43</f>
        <v>สแกนเนอร์ สำหรับงานเก็บเอกสารระดับศูนย์บริการ แบบที่ 1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39" s="244" t="str">
        <f>'[1]ครุภัณฑ์ 69 (data)'!F43</f>
        <v>ศทส.</v>
      </c>
      <c r="G139" s="244" t="str">
        <f>'[1]ครุภัณฑ์ 69 (data)'!C43</f>
        <v>กรุงเทพมหานคร</v>
      </c>
      <c r="H139" s="244">
        <f>'[1]ครุภัณฑ์ 69 (data)'!G43</f>
        <v>80</v>
      </c>
      <c r="I139" s="259" t="s">
        <v>468</v>
      </c>
      <c r="J139" s="259"/>
      <c r="K139" s="245">
        <f>'[1]ครุภัณฑ์ 69 (data)'!H43</f>
        <v>1280000</v>
      </c>
      <c r="L139" s="245"/>
    </row>
    <row r="140" spans="1:12" hidden="1">
      <c r="A140" s="241" t="s">
        <v>1447</v>
      </c>
      <c r="B140" s="244">
        <f>'[1]ครุภัณฑ์ 69 (data)'!B44</f>
        <v>2569</v>
      </c>
      <c r="C140" s="241" t="s">
        <v>447</v>
      </c>
      <c r="D140" s="244" t="str">
        <f>'[1]ครุภัณฑ์ 69 (data)'!D44</f>
        <v>คอมพิวเตอร์</v>
      </c>
      <c r="E140" s="244" t="str">
        <f>'[1]ครุภัณฑ์ 69 (data)'!E44</f>
        <v>ชุดโปรแกรมจัดการสำนักงาน แบบที่ 3 ที่มีลิขสิทธิ์ถูกต้องตามกฎหมาย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40" s="244" t="str">
        <f>'[1]ครุภัณฑ์ 69 (data)'!F44</f>
        <v>ศทส.</v>
      </c>
      <c r="G140" s="244" t="str">
        <f>'[1]ครุภัณฑ์ 69 (data)'!C44</f>
        <v>กรุงเทพมหานคร</v>
      </c>
      <c r="H140" s="244">
        <f>'[1]ครุภัณฑ์ 69 (data)'!G44</f>
        <v>243</v>
      </c>
      <c r="I140" s="259" t="s">
        <v>468</v>
      </c>
      <c r="J140" s="259"/>
      <c r="K140" s="245">
        <f>'[1]ครุภัณฑ์ 69 (data)'!H44</f>
        <v>1093500</v>
      </c>
      <c r="L140" s="245"/>
    </row>
    <row r="141" spans="1:12" hidden="1">
      <c r="A141" s="241" t="s">
        <v>1448</v>
      </c>
      <c r="B141" s="244">
        <f>'[1]ครุภัณฑ์ 69 (data)'!B45</f>
        <v>2569</v>
      </c>
      <c r="C141" s="241" t="s">
        <v>447</v>
      </c>
      <c r="D141" s="244" t="str">
        <f>'[1]ครุภัณฑ์ 69 (data)'!D45</f>
        <v>คอมพิวเตอร์</v>
      </c>
      <c r="E141" s="244" t="str">
        <f>'[1]ครุภัณฑ์ 69 (data)'!E45</f>
        <v>ชุดลำโพงพร้อมไมโครโฟนสำหรับการประชุมทางไกลออนไลน์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41" s="244" t="str">
        <f>'[1]ครุภัณฑ์ 69 (data)'!F45</f>
        <v>ศทส.</v>
      </c>
      <c r="G141" s="244" t="str">
        <f>'[1]ครุภัณฑ์ 69 (data)'!C45</f>
        <v>กรุงเทพมหานคร</v>
      </c>
      <c r="H141" s="244">
        <f>'[1]ครุภัณฑ์ 69 (data)'!G45</f>
        <v>76</v>
      </c>
      <c r="I141" s="259" t="s">
        <v>468</v>
      </c>
      <c r="J141" s="259"/>
      <c r="K141" s="245">
        <f>'[1]ครุภัณฑ์ 69 (data)'!H45</f>
        <v>1976000</v>
      </c>
      <c r="L141" s="245"/>
    </row>
    <row r="142" spans="1:12" hidden="1">
      <c r="A142" s="241" t="s">
        <v>1449</v>
      </c>
      <c r="B142" s="244">
        <f>'[1]ครุภัณฑ์ 69 (data)'!B46</f>
        <v>2569</v>
      </c>
      <c r="C142" s="241" t="s">
        <v>447</v>
      </c>
      <c r="D142" s="244" t="str">
        <f>'[1]ครุภัณฑ์ 69 (data)'!D46</f>
        <v>คอมพิวเตอร์</v>
      </c>
      <c r="E142" s="244" t="str">
        <f>'[1]ครุภัณฑ์ 69 (data)'!E46</f>
        <v>กล้องวิดีโอแบบ PTZ สำหรับการประชุมทางไกลออนไลน์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42" s="244" t="str">
        <f>'[1]ครุภัณฑ์ 69 (data)'!F46</f>
        <v>ศทส.</v>
      </c>
      <c r="G142" s="244" t="str">
        <f>'[1]ครุภัณฑ์ 69 (data)'!C46</f>
        <v>กรุงเทพมหานคร</v>
      </c>
      <c r="H142" s="244">
        <f>'[1]ครุภัณฑ์ 69 (data)'!G46</f>
        <v>76</v>
      </c>
      <c r="I142" s="259" t="s">
        <v>468</v>
      </c>
      <c r="J142" s="259"/>
      <c r="K142" s="245">
        <f>'[1]ครุภัณฑ์ 69 (data)'!H46</f>
        <v>1672000</v>
      </c>
      <c r="L142" s="245"/>
    </row>
    <row r="143" spans="1:12" hidden="1">
      <c r="A143" s="241" t="s">
        <v>1450</v>
      </c>
      <c r="B143" s="244">
        <f>'[1]ครุภัณฑ์ 69 (data)'!B47</f>
        <v>2569</v>
      </c>
      <c r="C143" s="241" t="s">
        <v>447</v>
      </c>
      <c r="D143" s="244" t="str">
        <f>'[1]ครุภัณฑ์ 69 (data)'!D47</f>
        <v>คอมพิวเตอร์</v>
      </c>
      <c r="E143" s="244" t="str">
        <f>'[1]ครุภัณฑ์ 69 (data)'!E47</f>
        <v>ทดแทนเว็บไซต์กระทรวงการพัฒนาสังคมและความมั่นคงของมนุษย์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43" s="244" t="str">
        <f>'[1]ครุภัณฑ์ 69 (data)'!F47</f>
        <v>ศทส.</v>
      </c>
      <c r="G143" s="244" t="str">
        <f>'[1]ครุภัณฑ์ 69 (data)'!C47</f>
        <v>กรุงเทพมหานคร</v>
      </c>
      <c r="H143" s="244">
        <f>'[1]ครุภัณฑ์ 69 (data)'!G47</f>
        <v>1</v>
      </c>
      <c r="I143" s="259" t="s">
        <v>468</v>
      </c>
      <c r="J143" s="259"/>
      <c r="K143" s="245">
        <f>'[1]ครุภัณฑ์ 69 (data)'!H47</f>
        <v>4500000</v>
      </c>
      <c r="L143" s="245"/>
    </row>
    <row r="144" spans="1:12" hidden="1">
      <c r="A144" s="241" t="s">
        <v>1451</v>
      </c>
      <c r="B144" s="244">
        <f>'[1]ครุภัณฑ์ 69 (data)'!B48</f>
        <v>2569</v>
      </c>
      <c r="C144" s="241" t="s">
        <v>447</v>
      </c>
      <c r="D144" s="244" t="str">
        <f>'[1]ครุภัณฑ์ 69 (data)'!D48</f>
        <v>คอมพิวเตอร์</v>
      </c>
      <c r="E144" s="244" t="str">
        <f>'[1]ครุภัณฑ์ 69 (data)'!E48</f>
        <v>ยกระดับและพัฒนาระบบการคุ้มครองช่วยเหลือสำหรับผู้เสียหายจากการค้ามนุษย์ ผ่าน Mobile Application “PROTECT-U” (PROTECT-U++) 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44" s="244" t="str">
        <f>'[1]ครุภัณฑ์ 69 (data)'!F48</f>
        <v>กคม.</v>
      </c>
      <c r="G144" s="244" t="str">
        <f>'[1]ครุภัณฑ์ 69 (data)'!C48</f>
        <v>กรุงเทพมหานคร</v>
      </c>
      <c r="H144" s="244">
        <f>'[1]ครุภัณฑ์ 69 (data)'!G48</f>
        <v>1</v>
      </c>
      <c r="I144" s="259" t="s">
        <v>468</v>
      </c>
      <c r="J144" s="259"/>
      <c r="K144" s="245">
        <f>'[1]ครุภัณฑ์ 69 (data)'!H48</f>
        <v>2500000</v>
      </c>
      <c r="L144" s="245"/>
    </row>
    <row r="145" spans="1:12" hidden="1">
      <c r="A145" s="241" t="s">
        <v>1452</v>
      </c>
      <c r="B145" s="244">
        <f>'[1]ครุภัณฑ์ 69 (data)'!B49</f>
        <v>2569</v>
      </c>
      <c r="C145" s="241" t="s">
        <v>447</v>
      </c>
      <c r="D145" s="244" t="str">
        <f>'[1]ครุภัณฑ์ 69 (data)'!D49</f>
        <v>คอมพิวเตอร์</v>
      </c>
      <c r="E145" s="244" t="str">
        <f>'[1]ครุภัณฑ์ 69 (data)'!E49</f>
        <v>ยกระดับความมั่นคงปลอดภัยทางไซเบอร์ เพื่อป้องกันการเข้าถึงข้อมูลขนาดใหญ่ของกระทรวงการพัฒนาสังคมและความมั่นคงของมนุษย์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45" s="244" t="str">
        <f>'[1]ครุภัณฑ์ 69 (data)'!F49</f>
        <v>ศทส.</v>
      </c>
      <c r="G145" s="244" t="str">
        <f>'[1]ครุภัณฑ์ 69 (data)'!C49</f>
        <v>กรุงเทพมหานคร</v>
      </c>
      <c r="H145" s="244">
        <f>'[1]ครุภัณฑ์ 69 (data)'!G49</f>
        <v>1</v>
      </c>
      <c r="I145" s="259" t="s">
        <v>468</v>
      </c>
      <c r="J145" s="259"/>
      <c r="K145" s="245">
        <f>'[1]ครุภัณฑ์ 69 (data)'!H49</f>
        <v>40000000</v>
      </c>
      <c r="L145" s="245"/>
    </row>
    <row r="146" spans="1:12" hidden="1">
      <c r="A146" s="241" t="s">
        <v>1453</v>
      </c>
      <c r="B146" s="244">
        <f>'[1]ครุภัณฑ์ 69 (data)'!B50</f>
        <v>2569</v>
      </c>
      <c r="C146" s="241" t="s">
        <v>447</v>
      </c>
      <c r="D146" s="244" t="str">
        <f>'[1]ครุภัณฑ์ 69 (data)'!D50</f>
        <v>คอมพิวเตอร์</v>
      </c>
      <c r="E146" s="244" t="str">
        <f>'[1]ครุภัณฑ์ 69 (data)'!E50</f>
        <v>ยกระดับการบูรณาการข้อมูลเพื่อการพัฒนาสังคม 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46" s="244" t="str">
        <f>'[1]ครุภัณฑ์ 69 (data)'!F50</f>
        <v>ศทส.</v>
      </c>
      <c r="G146" s="244" t="str">
        <f>'[1]ครุภัณฑ์ 69 (data)'!C50</f>
        <v>กรุงเทพมหานคร</v>
      </c>
      <c r="H146" s="244">
        <f>'[1]ครุภัณฑ์ 69 (data)'!G50</f>
        <v>1</v>
      </c>
      <c r="I146" s="259" t="s">
        <v>468</v>
      </c>
      <c r="J146" s="259"/>
      <c r="K146" s="245">
        <f>'[1]ครุภัณฑ์ 69 (data)'!H50</f>
        <v>97000000</v>
      </c>
      <c r="L146" s="245"/>
    </row>
    <row r="147" spans="1:12" hidden="1">
      <c r="A147" s="241" t="s">
        <v>1454</v>
      </c>
      <c r="B147" s="244">
        <f>'[1]ครุภัณฑ์ 69 (data)'!B51</f>
        <v>2569</v>
      </c>
      <c r="C147" s="241" t="s">
        <v>447</v>
      </c>
      <c r="D147" s="244" t="str">
        <f>'[1]ครุภัณฑ์ 69 (data)'!D51</f>
        <v>คอมพิวเตอร์</v>
      </c>
      <c r="E147" s="244" t="str">
        <f>'[1]ครุภัณฑ์ 69 (data)'!E51</f>
        <v>พัฒนาระบบคำของบประมาณและระบบติดตามผล ของกระทรวงการพัฒนาสังคมและความมั่นคงของมนุษย์ สำนักงานปลัดกระทรวงการพัฒนาสังคมและความมั่นคงของมนุษย์ แขวงคลองมหานาค เขตป้อมปราบศัตรูพ่าย กรุงเทพมหานคร</v>
      </c>
      <c r="F147" s="244" t="str">
        <f>'[1]ครุภัณฑ์ 69 (data)'!F51</f>
        <v>กยผ.</v>
      </c>
      <c r="G147" s="244" t="str">
        <f>'[1]ครุภัณฑ์ 69 (data)'!C51</f>
        <v>กรุงเทพมหานคร</v>
      </c>
      <c r="H147" s="244">
        <f>'[1]ครุภัณฑ์ 69 (data)'!G51</f>
        <v>1</v>
      </c>
      <c r="I147" s="259" t="s">
        <v>468</v>
      </c>
      <c r="J147" s="259"/>
      <c r="K147" s="245">
        <f>'[1]ครุภัณฑ์ 69 (data)'!H51</f>
        <v>15000000</v>
      </c>
      <c r="L147" s="245"/>
    </row>
    <row r="148" spans="1:12" hidden="1">
      <c r="A148" s="241" t="s">
        <v>1455</v>
      </c>
      <c r="B148" s="244">
        <f>'[1]ครุภัณฑ์ 69 (data)'!B52</f>
        <v>2569</v>
      </c>
      <c r="C148" s="241" t="s">
        <v>447</v>
      </c>
      <c r="D148" s="244" t="str">
        <f>'[1]ครุภัณฑ์ 69 (data)'!D52</f>
        <v>โฆษณาและเผยแพร่</v>
      </c>
      <c r="E148" s="244" t="str">
        <f>'[1]ครุภัณฑ์ 69 (data)'!E52</f>
        <v>ระบบ Video Conference พร้อมระบบเครื่องเสียงสำหรับห้องประชุม สำนักงานส่งเสริมและสนับสนุนวิชาการ 2 ตำบลบางละมุง อำเภอบางละมุง จังหวัดชลบุรี</v>
      </c>
      <c r="F148" s="244" t="str">
        <f>'[1]ครุภัณฑ์ 69 (data)'!F52</f>
        <v>สสว.2</v>
      </c>
      <c r="G148" s="244" t="str">
        <f>'[1]ครุภัณฑ์ 69 (data)'!C52</f>
        <v>ชลบุรี</v>
      </c>
      <c r="H148" s="244">
        <f>'[1]ครุภัณฑ์ 69 (data)'!G52</f>
        <v>1</v>
      </c>
      <c r="I148" s="259" t="s">
        <v>468</v>
      </c>
      <c r="J148" s="259"/>
      <c r="K148" s="245">
        <f>'[1]ครุภัณฑ์ 69 (data)'!H52</f>
        <v>730400</v>
      </c>
      <c r="L148" s="245"/>
    </row>
    <row r="149" spans="1:12" hidden="1">
      <c r="A149" s="241" t="s">
        <v>1456</v>
      </c>
      <c r="B149" s="244">
        <f>'[1]ครุภัณฑ์ 69 (data)'!B53</f>
        <v>2569</v>
      </c>
      <c r="C149" s="241" t="s">
        <v>447</v>
      </c>
      <c r="D149" s="244" t="str">
        <f>'[1]ครุภัณฑ์ 69 (data)'!D53</f>
        <v>สำนักงาน</v>
      </c>
      <c r="E149" s="244" t="str">
        <f>'[1]ครุภัณฑ์ 69 (data)'!E53</f>
        <v>เครื่องทำลายเอกสาร แบบตัดละเอียด ทำลายครั้งละ 30 แผ่น สำนักงานพัฒนาสังคมและความมั่นคงของมนุษย์จังหวัดนครนายก ตำบลท่าช้าง อำเภอเมืองนครนายก จังหวัดนครนายก</v>
      </c>
      <c r="F149" s="244" t="str">
        <f>'[1]ครุภัณฑ์ 69 (data)'!F53</f>
        <v>พมจ.นครนายก</v>
      </c>
      <c r="G149" s="244" t="str">
        <f>'[1]ครุภัณฑ์ 69 (data)'!C53</f>
        <v>นครนายก</v>
      </c>
      <c r="H149" s="244">
        <f>'[1]ครุภัณฑ์ 69 (data)'!G53</f>
        <v>1</v>
      </c>
      <c r="I149" s="259" t="s">
        <v>468</v>
      </c>
      <c r="J149" s="259"/>
      <c r="K149" s="245">
        <f>'[1]ครุภัณฑ์ 69 (data)'!H53</f>
        <v>67000</v>
      </c>
      <c r="L149" s="245"/>
    </row>
    <row r="150" spans="1:12" hidden="1">
      <c r="A150" s="241" t="s">
        <v>1457</v>
      </c>
      <c r="B150" s="244">
        <f>'[1]ครุภัณฑ์ 69 (data)'!B54</f>
        <v>2569</v>
      </c>
      <c r="C150" s="241" t="s">
        <v>447</v>
      </c>
      <c r="D150" s="244" t="str">
        <f>'[1]ครุภัณฑ์ 69 (data)'!D54</f>
        <v>ยานพาหนะและขนส่ง</v>
      </c>
      <c r="E150" s="244" t="str">
        <f>'[1]ครุภัณฑ์ 69 (data)'!E54</f>
        <v>รถโดยสารขนาด 12 ที่นั่ง (ดีเซล) ปริมาตรกระบอกสูบไม่น้อยกว่า 2,400 ซีซี หรือกำลังเครื่องยนต์สูงสุดไม่ต่ำกว่า 90 กิโลวัตต์ สำนักงานส่งเสริมและสนับสนุนวิชาการ 1 ตำบลรังสิต อำเภอธัญบุรี จังหวัดปทุมธานี</v>
      </c>
      <c r="F150" s="244" t="str">
        <f>'[1]ครุภัณฑ์ 69 (data)'!F54</f>
        <v>สสว.1</v>
      </c>
      <c r="G150" s="244" t="str">
        <f>'[1]ครุภัณฑ์ 69 (data)'!C54</f>
        <v>ปทุมธานี</v>
      </c>
      <c r="H150" s="244">
        <f>'[1]ครุภัณฑ์ 69 (data)'!G54</f>
        <v>1</v>
      </c>
      <c r="I150" s="259" t="s">
        <v>468</v>
      </c>
      <c r="J150" s="259"/>
      <c r="K150" s="245">
        <f>'[1]ครุภัณฑ์ 69 (data)'!H54</f>
        <v>1369000</v>
      </c>
      <c r="L150" s="245"/>
    </row>
    <row r="151" spans="1:12" hidden="1">
      <c r="A151" s="241" t="s">
        <v>1458</v>
      </c>
      <c r="B151" s="244">
        <f>'[1]ครุภัณฑ์ 69 (data)'!B55</f>
        <v>2569</v>
      </c>
      <c r="C151" s="241" t="s">
        <v>447</v>
      </c>
      <c r="D151" s="244" t="str">
        <f>'[1]ครุภัณฑ์ 69 (data)'!D55</f>
        <v>งานบ้านงานครัว</v>
      </c>
      <c r="E151" s="244" t="str">
        <f>'[1]ครุภัณฑ์ 69 (data)'!E55</f>
        <v>ตู้แช่อาหาร ขนาด 45 คิวบิกฟุต สถานคุ้มครองสวัสดิภาพผู้เสียหายจากการค้ามนุษย์จังหวัดปทุมธานี ตำบลรังสิต อำเภอธัญบุรี จังหวัดปทุมธานี</v>
      </c>
      <c r="F151" s="244" t="str">
        <f>'[1]ครุภัณฑ์ 69 (data)'!F55</f>
        <v>สคม.ปทุมธานี</v>
      </c>
      <c r="G151" s="244" t="str">
        <f>'[1]ครุภัณฑ์ 69 (data)'!C55</f>
        <v>ปทุมธานี</v>
      </c>
      <c r="H151" s="244">
        <f>'[1]ครุภัณฑ์ 69 (data)'!G55</f>
        <v>2</v>
      </c>
      <c r="I151" s="259" t="s">
        <v>468</v>
      </c>
      <c r="J151" s="259"/>
      <c r="K151" s="245">
        <f>'[1]ครุภัณฑ์ 69 (data)'!H55</f>
        <v>120200</v>
      </c>
      <c r="L151" s="245"/>
    </row>
    <row r="152" spans="1:12" hidden="1">
      <c r="A152" s="241" t="s">
        <v>1459</v>
      </c>
      <c r="B152" s="244">
        <f>'[1]ครุภัณฑ์ 69 (data)'!B56</f>
        <v>2569</v>
      </c>
      <c r="C152" s="241" t="s">
        <v>447</v>
      </c>
      <c r="D152" s="244" t="str">
        <f>'[1]ครุภัณฑ์ 69 (data)'!D56</f>
        <v>โฆษณาและเผยแพร่</v>
      </c>
      <c r="E152" s="244" t="str">
        <f>'[1]ครุภัณฑ์ 69 (data)'!E56</f>
        <v>ชุดเครื่องเสียงประชุม พร้อมไมโครโฟนห้องประชุม สถานคุ้มครองสวัสดิภาพผู้เสียหายจากการค้ามนุษย์จังหวัดปทุมธานี ตำบลรังสิต อำเภอธัญบุรี จังหวัดปทุมธานี</v>
      </c>
      <c r="F152" s="244" t="str">
        <f>'[1]ครุภัณฑ์ 69 (data)'!F56</f>
        <v>สคม.ปทุมธานี</v>
      </c>
      <c r="G152" s="244" t="str">
        <f>'[1]ครุภัณฑ์ 69 (data)'!C56</f>
        <v>ปทุมธานี</v>
      </c>
      <c r="H152" s="244">
        <f>'[1]ครุภัณฑ์ 69 (data)'!G56</f>
        <v>1</v>
      </c>
      <c r="I152" s="259" t="s">
        <v>468</v>
      </c>
      <c r="J152" s="259"/>
      <c r="K152" s="245">
        <f>'[1]ครุภัณฑ์ 69 (data)'!H56</f>
        <v>396100</v>
      </c>
      <c r="L152" s="245"/>
    </row>
    <row r="153" spans="1:12" hidden="1">
      <c r="A153" s="241" t="s">
        <v>1460</v>
      </c>
      <c r="B153" s="244">
        <f>'[1]ครุภัณฑ์ 69 (data)'!B57</f>
        <v>2569</v>
      </c>
      <c r="C153" s="241" t="s">
        <v>447</v>
      </c>
      <c r="D153" s="244" t="str">
        <f>'[1]ครุภัณฑ์ 69 (data)'!D57</f>
        <v>สำนักงาน</v>
      </c>
      <c r="E153" s="244" t="str">
        <f>'[1]ครุภัณฑ์ 69 (data)'!E57</f>
        <v>เครื่องปรับอากาศ แบบแยกส่วน แบบตั้งพื้นหรือแบบแขวน ขนาด 36,000 บีทียู สถาบันพระประชาบดี ตำบลรังสิต อำเภอธัญบุรี จังหวัดปทุมธานี</v>
      </c>
      <c r="F153" s="244" t="str">
        <f>'[1]ครุภัณฑ์ 69 (data)'!F57</f>
        <v>สบพ.</v>
      </c>
      <c r="G153" s="244" t="str">
        <f>'[1]ครุภัณฑ์ 69 (data)'!C57</f>
        <v>ปทุมธานี</v>
      </c>
      <c r="H153" s="244">
        <f>'[1]ครุภัณฑ์ 69 (data)'!G57</f>
        <v>4</v>
      </c>
      <c r="I153" s="259" t="s">
        <v>468</v>
      </c>
      <c r="J153" s="259"/>
      <c r="K153" s="245">
        <f>'[1]ครุภัณฑ์ 69 (data)'!H57</f>
        <v>182000</v>
      </c>
      <c r="L153" s="245"/>
    </row>
    <row r="154" spans="1:12" hidden="1">
      <c r="A154" s="241" t="s">
        <v>1461</v>
      </c>
      <c r="B154" s="244">
        <f>'[1]ครุภัณฑ์ 69 (data)'!B58</f>
        <v>2569</v>
      </c>
      <c r="C154" s="241" t="s">
        <v>447</v>
      </c>
      <c r="D154" s="244" t="str">
        <f>'[1]ครุภัณฑ์ 69 (data)'!D58</f>
        <v>สำนักงาน</v>
      </c>
      <c r="E154" s="244" t="str">
        <f>'[1]ครุภัณฑ์ 69 (data)'!E58</f>
        <v>เครื่องปรับอากาศ แบบแยกส่วน แบบตั้งพื้นหรือแบบแขวน ขนาด 24,000 บีทียู สถาบันพระประชาบดี ตำบลรังสิต อำเภอธัญบุรี จังหวัดปทุมธานี</v>
      </c>
      <c r="F154" s="244" t="str">
        <f>'[1]ครุภัณฑ์ 69 (data)'!F58</f>
        <v>สบพ.</v>
      </c>
      <c r="G154" s="244" t="str">
        <f>'[1]ครุภัณฑ์ 69 (data)'!C58</f>
        <v>ปทุมธานี</v>
      </c>
      <c r="H154" s="244">
        <f>'[1]ครุภัณฑ์ 69 (data)'!G58</f>
        <v>7</v>
      </c>
      <c r="I154" s="259" t="s">
        <v>468</v>
      </c>
      <c r="J154" s="259"/>
      <c r="K154" s="245">
        <f>'[1]ครุภัณฑ์ 69 (data)'!H58</f>
        <v>225400</v>
      </c>
      <c r="L154" s="245"/>
    </row>
    <row r="155" spans="1:12" hidden="1">
      <c r="A155" s="241" t="s">
        <v>1462</v>
      </c>
      <c r="B155" s="244">
        <f>'[1]ครุภัณฑ์ 69 (data)'!B59</f>
        <v>2569</v>
      </c>
      <c r="C155" s="241" t="s">
        <v>447</v>
      </c>
      <c r="D155" s="244" t="str">
        <f>'[1]ครุภัณฑ์ 69 (data)'!D59</f>
        <v>ยานพาหนะและขนส่ง</v>
      </c>
      <c r="E155" s="244" t="str">
        <f>'[1]ครุภัณฑ์ 69 (data)'!E59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สำนักงานพัฒนาสังคมและความมั่นคงของมนุษย์จังหวัดปราจีนบุรี ตำบลบ้านพระ อำเภอเมืองปราจีนบุรี จังหวัดปราจีนบุรี</v>
      </c>
      <c r="F155" s="244" t="str">
        <f>'[1]ครุภัณฑ์ 69 (data)'!F59</f>
        <v>พมจ.ปราจีนบุรี</v>
      </c>
      <c r="G155" s="244" t="str">
        <f>'[1]ครุภัณฑ์ 69 (data)'!C59</f>
        <v>ปราจีนบุรี</v>
      </c>
      <c r="H155" s="244">
        <f>'[1]ครุภัณฑ์ 69 (data)'!G59</f>
        <v>1</v>
      </c>
      <c r="I155" s="259" t="s">
        <v>468</v>
      </c>
      <c r="J155" s="259"/>
      <c r="K155" s="245">
        <f>'[1]ครุภัณฑ์ 69 (data)'!H59</f>
        <v>970900</v>
      </c>
      <c r="L155" s="245"/>
    </row>
    <row r="156" spans="1:12" hidden="1">
      <c r="A156" s="241" t="s">
        <v>1463</v>
      </c>
      <c r="B156" s="244">
        <f>'[1]ครุภัณฑ์ 69 (data)'!B60</f>
        <v>2569</v>
      </c>
      <c r="C156" s="241" t="s">
        <v>447</v>
      </c>
      <c r="D156" s="244" t="str">
        <f>'[1]ครุภัณฑ์ 69 (data)'!D60</f>
        <v>สำนักงาน</v>
      </c>
      <c r="E156" s="244" t="str">
        <f>'[1]ครุภัณฑ์ 69 (data)'!E60</f>
        <v>เครื่องปรับอากาศ แบบแยกส่วน แบบตั้งพื้นหรือแบบแขวน ขนาด 20,000 บีทียู สำนักงานพัฒนาสังคมและความมั่นคงของมนุษย์จังหวัดพระนครศรีอยุธยา ตำบลคลองสวนพลู อำเภอพระนครศรีอยุธยา จังหวัดพระนครศรีอยุธยา</v>
      </c>
      <c r="F156" s="244" t="str">
        <f>'[1]ครุภัณฑ์ 69 (data)'!F60</f>
        <v>พมจ.พระนครศรีอยุธยา</v>
      </c>
      <c r="G156" s="244" t="str">
        <f>'[1]ครุภัณฑ์ 69 (data)'!C60</f>
        <v>พระนครศรีอยุธยา</v>
      </c>
      <c r="H156" s="244">
        <f>'[1]ครุภัณฑ์ 69 (data)'!G60</f>
        <v>2</v>
      </c>
      <c r="I156" s="259" t="s">
        <v>468</v>
      </c>
      <c r="J156" s="259"/>
      <c r="K156" s="245">
        <f>'[1]ครุภัณฑ์ 69 (data)'!H60</f>
        <v>61800</v>
      </c>
      <c r="L156" s="245"/>
    </row>
    <row r="157" spans="1:12" hidden="1">
      <c r="A157" s="241" t="s">
        <v>1464</v>
      </c>
      <c r="B157" s="244">
        <f>'[1]ครุภัณฑ์ 69 (data)'!B61</f>
        <v>2569</v>
      </c>
      <c r="C157" s="241" t="s">
        <v>447</v>
      </c>
      <c r="D157" s="244" t="str">
        <f>'[1]ครุภัณฑ์ 69 (data)'!D61</f>
        <v>สำนักงาน</v>
      </c>
      <c r="E157" s="244" t="str">
        <f>'[1]ครุภัณฑ์ 69 (data)'!E61</f>
        <v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สำนักงานพัฒนาสังคมและความมั่นคงของมนุษย์จังหวัดพระนครศรีอยุธยา ตำบลคลองสวนพลู อำเภอพระนครศรีอยุธยา จังหวัดพระนครศรีอยุธยา</v>
      </c>
      <c r="F157" s="244" t="str">
        <f>'[1]ครุภัณฑ์ 69 (data)'!F61</f>
        <v>พมจ.พระนครศรีอยุธยา</v>
      </c>
      <c r="G157" s="244" t="str">
        <f>'[1]ครุภัณฑ์ 69 (data)'!C61</f>
        <v>พระนครศรีอยุธยา</v>
      </c>
      <c r="H157" s="244">
        <f>'[1]ครุภัณฑ์ 69 (data)'!G61</f>
        <v>4</v>
      </c>
      <c r="I157" s="259" t="s">
        <v>468</v>
      </c>
      <c r="J157" s="259"/>
      <c r="K157" s="245">
        <f>'[1]ครุภัณฑ์ 69 (data)'!H61</f>
        <v>214400</v>
      </c>
      <c r="L157" s="245"/>
    </row>
    <row r="158" spans="1:12" hidden="1">
      <c r="A158" s="241" t="s">
        <v>1465</v>
      </c>
      <c r="B158" s="244">
        <f>'[1]ครุภัณฑ์ 69 (data)'!B62</f>
        <v>2569</v>
      </c>
      <c r="C158" s="241" t="s">
        <v>447</v>
      </c>
      <c r="D158" s="244" t="str">
        <f>'[1]ครุภัณฑ์ 69 (data)'!D62</f>
        <v>สำนักงาน</v>
      </c>
      <c r="E158" s="244" t="str">
        <f>'[1]ครุภัณฑ์ 69 (data)'!E62</f>
        <v>เครื่องปรับอากาศ แบบแยกส่วน แบบตั้งพื้นหรือแบบแขวน ขนาด 20,000 บีทียู สำนักงานพัฒนาสังคมและความมั่นคงของมนุษย์จังหวัดพิจิตร ตำบลท่าหลวง อำเภอเมืองพิจิตร จังหวัดพิจิตร</v>
      </c>
      <c r="F158" s="244" t="str">
        <f>'[1]ครุภัณฑ์ 69 (data)'!F62</f>
        <v>พมจ.พิจิตร</v>
      </c>
      <c r="G158" s="244" t="str">
        <f>'[1]ครุภัณฑ์ 69 (data)'!C62</f>
        <v>พิจิตร</v>
      </c>
      <c r="H158" s="244">
        <f>'[1]ครุภัณฑ์ 69 (data)'!G62</f>
        <v>2</v>
      </c>
      <c r="I158" s="259" t="s">
        <v>468</v>
      </c>
      <c r="J158" s="259"/>
      <c r="K158" s="245">
        <f>'[1]ครุภัณฑ์ 69 (data)'!H62</f>
        <v>61800</v>
      </c>
      <c r="L158" s="245"/>
    </row>
    <row r="159" spans="1:12" hidden="1">
      <c r="A159" s="241" t="s">
        <v>1467</v>
      </c>
      <c r="B159" s="244">
        <f>'[1]ครุภัณฑ์ 69 (data)'!B63</f>
        <v>2569</v>
      </c>
      <c r="C159" s="241" t="s">
        <v>447</v>
      </c>
      <c r="D159" s="244" t="str">
        <f>'[1]ครุภัณฑ์ 69 (data)'!D63</f>
        <v>สำนักงาน</v>
      </c>
      <c r="E159" s="244" t="str">
        <f>'[1]ครุภัณฑ์ 69 (data)'!E63</f>
        <v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สำนักงานพัฒนาสังคมและความมั่นคงของมนุษย์จังหวัดพิจิตร ตำบลท่าหลวง อำเภอเมืองพิจิตร จังหวัดพิจิตร</v>
      </c>
      <c r="F159" s="244" t="str">
        <f>'[1]ครุภัณฑ์ 69 (data)'!F63</f>
        <v>พมจ.พิจิตร</v>
      </c>
      <c r="G159" s="244" t="str">
        <f>'[1]ครุภัณฑ์ 69 (data)'!C63</f>
        <v>พิจิตร</v>
      </c>
      <c r="H159" s="244">
        <f>'[1]ครุภัณฑ์ 69 (data)'!G63</f>
        <v>6</v>
      </c>
      <c r="I159" s="259" t="s">
        <v>468</v>
      </c>
      <c r="J159" s="259"/>
      <c r="K159" s="245">
        <f>'[1]ครุภัณฑ์ 69 (data)'!H63</f>
        <v>321600</v>
      </c>
      <c r="L159" s="245"/>
    </row>
    <row r="160" spans="1:12" hidden="1">
      <c r="A160" s="241" t="s">
        <v>1468</v>
      </c>
      <c r="B160" s="244">
        <f>'[1]ครุภัณฑ์ 69 (data)'!B64</f>
        <v>2569</v>
      </c>
      <c r="C160" s="241" t="s">
        <v>447</v>
      </c>
      <c r="D160" s="244" t="str">
        <f>'[1]ครุภัณฑ์ 69 (data)'!D64</f>
        <v>สำนักงาน</v>
      </c>
      <c r="E160" s="244" t="str">
        <f>'[1]ครุภัณฑ์ 69 (data)'!E64</f>
        <v>เครื่องปรับอากาศ แบบแยกส่วน แบบตั้งพื้นหรือแบบแขวน (ระบบ Inverter)  ขนาด 40,000 บีทียู สำนักงานพัฒนาสังคมและความมั่นคงของมนุษย์จังหวัดพิษณุโลก ตำบลในเมือง อำเภอเมืองพิษณุโลก จังหวัดพิษณุโลก</v>
      </c>
      <c r="F160" s="244" t="str">
        <f>'[1]ครุภัณฑ์ 69 (data)'!F64</f>
        <v>พมจ.พิษณุโลก</v>
      </c>
      <c r="G160" s="244" t="str">
        <f>'[1]ครุภัณฑ์ 69 (data)'!C64</f>
        <v>พิษณุโลก</v>
      </c>
      <c r="H160" s="244">
        <f>'[1]ครุภัณฑ์ 69 (data)'!G64</f>
        <v>5</v>
      </c>
      <c r="I160" s="259" t="s">
        <v>468</v>
      </c>
      <c r="J160" s="259"/>
      <c r="K160" s="245">
        <f>'[1]ครุภัณฑ์ 69 (data)'!H64</f>
        <v>292500</v>
      </c>
      <c r="L160" s="245"/>
    </row>
    <row r="161" spans="1:12" hidden="1">
      <c r="A161" s="241" t="s">
        <v>1469</v>
      </c>
      <c r="B161" s="244">
        <f>'[1]ครุภัณฑ์ 69 (data)'!B65</f>
        <v>2569</v>
      </c>
      <c r="C161" s="241" t="s">
        <v>447</v>
      </c>
      <c r="D161" s="244" t="str">
        <f>'[1]ครุภัณฑ์ 69 (data)'!D65</f>
        <v>สำนักงาน</v>
      </c>
      <c r="E161" s="244" t="str">
        <f>'[1]ครุภัณฑ์ 69 (data)'!E65</f>
        <v>เครื่องปรับอากาศ แบบแยกส่วน แบบตั้งพื้นหรือแบบแขวน (ระบบ Inverter)  ขนาด 40,000 บีทียู สำนักงานพัฒนาสังคมและความมั่นคงของมนุษย์จังหวัดเพชรบุรี ตำบลคลองกระแชง อำเภอเมืองเพชรบุรี จังหวัดเพชรบุรี</v>
      </c>
      <c r="F161" s="244" t="str">
        <f>'[1]ครุภัณฑ์ 69 (data)'!F65</f>
        <v>พมจ.เพชรบุรี</v>
      </c>
      <c r="G161" s="244" t="str">
        <f>'[1]ครุภัณฑ์ 69 (data)'!C65</f>
        <v>เพชรบุรี</v>
      </c>
      <c r="H161" s="244">
        <f>'[1]ครุภัณฑ์ 69 (data)'!G65</f>
        <v>1</v>
      </c>
      <c r="I161" s="259" t="s">
        <v>468</v>
      </c>
      <c r="J161" s="259"/>
      <c r="K161" s="245">
        <f>'[1]ครุภัณฑ์ 69 (data)'!H65</f>
        <v>58500</v>
      </c>
      <c r="L161" s="245"/>
    </row>
    <row r="162" spans="1:12" hidden="1">
      <c r="A162" s="241" t="s">
        <v>1470</v>
      </c>
      <c r="B162" s="244">
        <f>'[1]ครุภัณฑ์ 69 (data)'!B66</f>
        <v>2569</v>
      </c>
      <c r="C162" s="241" t="s">
        <v>447</v>
      </c>
      <c r="D162" s="244" t="str">
        <f>'[1]ครุภัณฑ์ 69 (data)'!D66</f>
        <v>ยานพาหนะและขนส่ง</v>
      </c>
      <c r="E162" s="244" t="str">
        <f>'[1]ครุภัณฑ์ 69 (data)'!E66</f>
        <v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สำนักงานพัฒนาสังคมและความมั่นคงของมนุษย์จังหวัดเพชรบูรณ์ ตำบลสะเดียง อำเภอเมืองเพชรบูรณ์ จังหวัดเพชรบูรณ์</v>
      </c>
      <c r="F162" s="244" t="str">
        <f>'[1]ครุภัณฑ์ 69 (data)'!F66</f>
        <v>พมจ.เพชรบูรณ์</v>
      </c>
      <c r="G162" s="244" t="str">
        <f>'[1]ครุภัณฑ์ 69 (data)'!C66</f>
        <v>เพชรบูรณ์</v>
      </c>
      <c r="H162" s="244">
        <f>'[1]ครุภัณฑ์ 69 (data)'!G66</f>
        <v>1</v>
      </c>
      <c r="I162" s="259" t="s">
        <v>468</v>
      </c>
      <c r="J162" s="259"/>
      <c r="K162" s="245">
        <f>'[1]ครุภัณฑ์ 69 (data)'!H66</f>
        <v>1369000</v>
      </c>
      <c r="L162" s="245"/>
    </row>
    <row r="163" spans="1:12" hidden="1">
      <c r="A163" s="241" t="s">
        <v>1471</v>
      </c>
      <c r="B163" s="244">
        <f>'[1]ครุภัณฑ์ 69 (data)'!B67</f>
        <v>2569</v>
      </c>
      <c r="C163" s="241" t="s">
        <v>447</v>
      </c>
      <c r="D163" s="244" t="str">
        <f>'[1]ครุภัณฑ์ 69 (data)'!D67</f>
        <v>ยานพาหนะและขนส่ง</v>
      </c>
      <c r="E163" s="244" t="str">
        <f>'[1]ครุภัณฑ์ 69 (data)'!E67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สำนักงานพัฒนาสังคมและความมั่นคงของมนุษย์จังหวัดสมุทรปราการ ตำบลปากน้ำ อำเภอเมืองสมุทรปราการ จังหวัดสมุทรปราการ</v>
      </c>
      <c r="F163" s="244" t="str">
        <f>'[1]ครุภัณฑ์ 69 (data)'!F67</f>
        <v>พมจ.สมุทรปราการ</v>
      </c>
      <c r="G163" s="244" t="str">
        <f>'[1]ครุภัณฑ์ 69 (data)'!C67</f>
        <v>สมุทรปราการ</v>
      </c>
      <c r="H163" s="244">
        <f>'[1]ครุภัณฑ์ 69 (data)'!G67</f>
        <v>1</v>
      </c>
      <c r="I163" s="259" t="s">
        <v>468</v>
      </c>
      <c r="J163" s="259"/>
      <c r="K163" s="245">
        <f>'[1]ครุภัณฑ์ 69 (data)'!H67</f>
        <v>970900</v>
      </c>
      <c r="L163" s="245"/>
    </row>
    <row r="164" spans="1:12" hidden="1">
      <c r="A164" s="241" t="s">
        <v>1472</v>
      </c>
      <c r="B164" s="244">
        <f>'[1]ครุภัณฑ์ 69 (data)'!B68</f>
        <v>2569</v>
      </c>
      <c r="C164" s="241" t="s">
        <v>447</v>
      </c>
      <c r="D164" s="244" t="str">
        <f>'[1]ครุภัณฑ์ 69 (data)'!D68</f>
        <v>สำนักงาน</v>
      </c>
      <c r="E164" s="244" t="str">
        <f>'[1]ครุภัณฑ์ 69 (data)'!E68</f>
        <v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สำนักงานพัฒนาสังคมและความมั่นคงของมนุษย์จังหวัดสมุทรปราการ ตำบลปากน้ำ อำเภอเมืองสมุทรปราการ จังหวัดสมุทรปราการ</v>
      </c>
      <c r="F164" s="244" t="str">
        <f>'[1]ครุภัณฑ์ 69 (data)'!F68</f>
        <v>พมจ.สมุทรปราการ</v>
      </c>
      <c r="G164" s="244" t="str">
        <f>'[1]ครุภัณฑ์ 69 (data)'!C68</f>
        <v>สมุทรปราการ</v>
      </c>
      <c r="H164" s="244">
        <f>'[1]ครุภัณฑ์ 69 (data)'!G68</f>
        <v>1</v>
      </c>
      <c r="I164" s="259" t="s">
        <v>468</v>
      </c>
      <c r="J164" s="259"/>
      <c r="K164" s="245">
        <f>'[1]ครุภัณฑ์ 69 (data)'!H68</f>
        <v>40900</v>
      </c>
      <c r="L164" s="245"/>
    </row>
    <row r="165" spans="1:12" hidden="1">
      <c r="A165" s="241" t="s">
        <v>1473</v>
      </c>
      <c r="B165" s="244">
        <f>'[1]ครุภัณฑ์ 69 (data)'!B69</f>
        <v>2569</v>
      </c>
      <c r="C165" s="241" t="s">
        <v>447</v>
      </c>
      <c r="D165" s="244" t="str">
        <f>'[1]ครุภัณฑ์ 69 (data)'!D69</f>
        <v>ยานพาหนะและขนส่ง</v>
      </c>
      <c r="E165" s="244" t="str">
        <f>'[1]ครุภัณฑ์ 69 (data)'!E69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สำนักงานพัฒนาสังคมและความมั่นคงของมนุษย์จังหวัดสระแก้ว ตำบลท่าเกษม อำเภอเมืองสระแก้ว จังหวัดสระแก้ว</v>
      </c>
      <c r="F165" s="244" t="str">
        <f>'[1]ครุภัณฑ์ 69 (data)'!F69</f>
        <v>พมจ.สระแก้ว</v>
      </c>
      <c r="G165" s="244" t="str">
        <f>'[1]ครุภัณฑ์ 69 (data)'!C69</f>
        <v>สระแก้ว</v>
      </c>
      <c r="H165" s="244">
        <f>'[1]ครุภัณฑ์ 69 (data)'!G69</f>
        <v>1</v>
      </c>
      <c r="I165" s="259" t="s">
        <v>468</v>
      </c>
      <c r="J165" s="259"/>
      <c r="K165" s="245">
        <f>'[1]ครุภัณฑ์ 69 (data)'!H69</f>
        <v>1207900</v>
      </c>
      <c r="L165" s="245"/>
    </row>
    <row r="166" spans="1:12" hidden="1">
      <c r="A166" s="241" t="s">
        <v>1474</v>
      </c>
      <c r="B166" s="244">
        <f>'[1]ครุภัณฑ์ 69 (data)'!B70</f>
        <v>2569</v>
      </c>
      <c r="C166" s="241" t="s">
        <v>447</v>
      </c>
      <c r="D166" s="244" t="str">
        <f>'[1]ครุภัณฑ์ 69 (data)'!D70</f>
        <v>ยานพาหนะและขนส่ง</v>
      </c>
      <c r="E166" s="244" t="str">
        <f>'[1]ครุภัณฑ์ 69 (data)'!E70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2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สำนักงานพัฒนาสังคมและความมั่นคงของมนุษย์จังหวัดอ่างทอง ตำบลบางแก้ว อำเภอเมืองอ่างทอง จังหวัดอ่างทอง</v>
      </c>
      <c r="F166" s="244" t="str">
        <f>'[1]ครุภัณฑ์ 69 (data)'!F70</f>
        <v>พมจ.อ่างทอง</v>
      </c>
      <c r="G166" s="244" t="str">
        <f>'[1]ครุภัณฑ์ 69 (data)'!C70</f>
        <v>อ่างทอง</v>
      </c>
      <c r="H166" s="244">
        <f>'[1]ครุภัณฑ์ 69 (data)'!G70</f>
        <v>1</v>
      </c>
      <c r="I166" s="259" t="s">
        <v>468</v>
      </c>
      <c r="J166" s="259"/>
      <c r="K166" s="245">
        <f>'[1]ครุภัณฑ์ 69 (data)'!H70</f>
        <v>970900</v>
      </c>
      <c r="L166" s="245"/>
    </row>
    <row r="167" spans="1:12" hidden="1">
      <c r="A167" s="241" t="s">
        <v>1475</v>
      </c>
      <c r="B167" s="244">
        <f>'[1]ครุภัณฑ์ 69 (data)'!B71</f>
        <v>2569</v>
      </c>
      <c r="C167" s="241" t="s">
        <v>447</v>
      </c>
      <c r="D167" s="244" t="str">
        <f>'[1]ครุภัณฑ์ 69 (data)'!D71</f>
        <v>ยานพาหนะและขนส่ง</v>
      </c>
      <c r="E167" s="244" t="str">
        <f>'[1]ครุภัณฑ์ 69 (data)'!E71</f>
        <v>รถโดยสารขนาด 12 ที่นั่ง (ดีเซล) ปริมาตรกระบอกสูบไม่ต่ำกว่า 2400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สำนักงานพัฒนาสังคมและความมั่นคงของมนุษย์จังหวัดกระบี่ ตำบลไสไทย อำเภอเมืองกระบี่ จังหวัดกระบี่</v>
      </c>
      <c r="F167" s="244" t="str">
        <f>'[1]ครุภัณฑ์ 69 (data)'!F71</f>
        <v>พมจ.กระบี่</v>
      </c>
      <c r="G167" s="244" t="str">
        <f>'[1]ครุภัณฑ์ 69 (data)'!C71</f>
        <v>กระบี่</v>
      </c>
      <c r="H167" s="244">
        <f>'[1]ครุภัณฑ์ 69 (data)'!G71</f>
        <v>1</v>
      </c>
      <c r="I167" s="259" t="s">
        <v>468</v>
      </c>
      <c r="J167" s="259"/>
      <c r="K167" s="245">
        <f>'[1]ครุภัณฑ์ 69 (data)'!H71</f>
        <v>1369000</v>
      </c>
      <c r="L167" s="245"/>
    </row>
    <row r="168" spans="1:12" hidden="1">
      <c r="A168" s="241" t="s">
        <v>1476</v>
      </c>
      <c r="B168" s="244">
        <f>'[1]ครุภัณฑ์ 69 (data)'!B72</f>
        <v>2569</v>
      </c>
      <c r="C168" s="241" t="s">
        <v>447</v>
      </c>
      <c r="D168" s="244" t="str">
        <f>'[1]ครุภัณฑ์ 69 (data)'!D72</f>
        <v>สำนักงาน</v>
      </c>
      <c r="E168" s="244" t="str">
        <f>'[1]ครุภัณฑ์ 69 (data)'!E72</f>
        <v>เครื่องปรับอากาศ แบบแยกส่วน แบบตั้งพื้นหรือแบบแขวน (ระบบ Inverter)  ขนาด 36,000 บีทียู สำนักงานพัฒนาสังคมและความมั่นคงของมนุษย์จังหวัดกระบี่ ตำบลไสไทย อำเภอเมืองกระบี่ จังหวัดกระบี่</v>
      </c>
      <c r="F168" s="244" t="str">
        <f>'[1]ครุภัณฑ์ 69 (data)'!F72</f>
        <v>พมจ.กระบี่</v>
      </c>
      <c r="G168" s="244" t="str">
        <f>'[1]ครุภัณฑ์ 69 (data)'!C72</f>
        <v>กระบี่</v>
      </c>
      <c r="H168" s="244">
        <f>'[1]ครุภัณฑ์ 69 (data)'!G72</f>
        <v>5</v>
      </c>
      <c r="I168" s="259" t="s">
        <v>468</v>
      </c>
      <c r="J168" s="259"/>
      <c r="K168" s="245">
        <f>'[1]ครุภัณฑ์ 69 (data)'!H72</f>
        <v>268000</v>
      </c>
      <c r="L168" s="245"/>
    </row>
    <row r="169" spans="1:12" hidden="1">
      <c r="A169" s="241" t="s">
        <v>1477</v>
      </c>
      <c r="B169" s="244">
        <f>'[1]ครุภัณฑ์ 69 (data)'!B73</f>
        <v>2569</v>
      </c>
      <c r="C169" s="241" t="s">
        <v>447</v>
      </c>
      <c r="D169" s="244" t="str">
        <f>'[1]ครุภัณฑ์ 69 (data)'!D73</f>
        <v>ยานพาหนะและขนส่ง</v>
      </c>
      <c r="E169" s="244" t="str">
        <f>'[1]ครุภัณฑ์ 69 (data)'!E73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สำนักงานพัฒนาสังคมและความมั่นคงของมนุษย์จังหวัดนราธิวาส ตำบลลำภู อำเภอเมืองนราธิวาส จังหวัดนราธิวาส</v>
      </c>
      <c r="F169" s="244" t="str">
        <f>'[1]ครุภัณฑ์ 69 (data)'!F73</f>
        <v>พมจ.นราธิวาส</v>
      </c>
      <c r="G169" s="244" t="str">
        <f>'[1]ครุภัณฑ์ 69 (data)'!C73</f>
        <v>นราธิวาส</v>
      </c>
      <c r="H169" s="244">
        <f>'[1]ครุภัณฑ์ 69 (data)'!G73</f>
        <v>1</v>
      </c>
      <c r="I169" s="259" t="s">
        <v>468</v>
      </c>
      <c r="J169" s="259"/>
      <c r="K169" s="245">
        <f>'[1]ครุภัณฑ์ 69 (data)'!H73</f>
        <v>1207900</v>
      </c>
      <c r="L169" s="245"/>
    </row>
    <row r="170" spans="1:12" hidden="1">
      <c r="A170" s="241" t="s">
        <v>1478</v>
      </c>
      <c r="B170" s="244">
        <f>'[1]ครุภัณฑ์ 69 (data)'!B74</f>
        <v>2569</v>
      </c>
      <c r="C170" s="241" t="s">
        <v>447</v>
      </c>
      <c r="D170" s="244" t="str">
        <f>'[1]ครุภัณฑ์ 69 (data)'!D74</f>
        <v>ยานพาหนะและขนส่ง</v>
      </c>
      <c r="E170" s="244" t="str">
        <f>'[1]ครุภัณฑ์ 69 (data)'!E74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พร้อมหลังคาไฟเบอร์กลาสหรือเหล็ก สำนักงานพัฒนาสังคมและความมั่นคงของมนุษย์จังหวัดภูเก็ต ตำบลตลาดใหญ่ อำเภอเมืองภูเก็ต จังหวัดภูเก็ต</v>
      </c>
      <c r="F170" s="244" t="str">
        <f>'[1]ครุภัณฑ์ 69 (data)'!F74</f>
        <v>พมจ.ภูเก็ต</v>
      </c>
      <c r="G170" s="244" t="str">
        <f>'[1]ครุภัณฑ์ 69 (data)'!C74</f>
        <v>ภูเก็ต</v>
      </c>
      <c r="H170" s="244">
        <f>'[1]ครุภัณฑ์ 69 (data)'!G74</f>
        <v>1</v>
      </c>
      <c r="I170" s="259" t="s">
        <v>468</v>
      </c>
      <c r="J170" s="259"/>
      <c r="K170" s="245">
        <f>'[1]ครุภัณฑ์ 69 (data)'!H74</f>
        <v>1207900</v>
      </c>
      <c r="L170" s="245"/>
    </row>
    <row r="171" spans="1:12" hidden="1">
      <c r="A171" s="241" t="s">
        <v>1479</v>
      </c>
      <c r="B171" s="244">
        <f>'[1]ครุภัณฑ์ 69 (data)'!B75</f>
        <v>2569</v>
      </c>
      <c r="C171" s="241" t="s">
        <v>447</v>
      </c>
      <c r="D171" s="244" t="str">
        <f>'[1]ครุภัณฑ์ 69 (data)'!D75</f>
        <v>สำนักงาน</v>
      </c>
      <c r="E171" s="244" t="str">
        <f>'[1]ครุภัณฑ์ 69 (data)'!E75</f>
        <v>เครื่องปรับอากาศ แบบแยกส่วน แบบตั้งพื้นหรือแบบแขวน ขนาด 24,000 บีทียู สถานคุ้มครองสวัสดิภาพผู้เสียหายจากการค้ามนุษย์จังหวัดระนอง ตำบลบางริ้น อำเภอเมืองระนอง จังหวัดระนอง</v>
      </c>
      <c r="F171" s="244" t="str">
        <f>'[1]ครุภัณฑ์ 69 (data)'!F75</f>
        <v>สคม.ระนอง</v>
      </c>
      <c r="G171" s="244" t="str">
        <f>'[1]ครุภัณฑ์ 69 (data)'!C75</f>
        <v>ระนอง</v>
      </c>
      <c r="H171" s="244">
        <f>'[1]ครุภัณฑ์ 69 (data)'!G75</f>
        <v>3</v>
      </c>
      <c r="I171" s="259" t="s">
        <v>468</v>
      </c>
      <c r="J171" s="259"/>
      <c r="K171" s="245">
        <f>'[1]ครุภัณฑ์ 69 (data)'!H75</f>
        <v>96600</v>
      </c>
      <c r="L171" s="245"/>
    </row>
    <row r="172" spans="1:12" hidden="1">
      <c r="A172" s="241" t="s">
        <v>1480</v>
      </c>
      <c r="B172" s="244">
        <f>'[1]ครุภัณฑ์ 69 (data)'!B76</f>
        <v>2569</v>
      </c>
      <c r="C172" s="241" t="s">
        <v>447</v>
      </c>
      <c r="D172" s="244" t="str">
        <f>'[1]ครุภัณฑ์ 69 (data)'!D76</f>
        <v>สำนักงาน</v>
      </c>
      <c r="E172" s="244" t="str">
        <f>'[1]ครุภัณฑ์ 69 (data)'!E76</f>
        <v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สำนักงานพัฒนาสังคมและความมั่นคงของมนุษย์จังหวัดระนอง ตำบลบางริ้น อำเภอเมืองระนอง จังหวัดระนอง</v>
      </c>
      <c r="F172" s="244" t="str">
        <f>'[1]ครุภัณฑ์ 69 (data)'!F76</f>
        <v>พมจ.ระนอง</v>
      </c>
      <c r="G172" s="244" t="str">
        <f>'[1]ครุภัณฑ์ 69 (data)'!C76</f>
        <v>ระนอง</v>
      </c>
      <c r="H172" s="244">
        <f>'[1]ครุภัณฑ์ 69 (data)'!G76</f>
        <v>7</v>
      </c>
      <c r="I172" s="259" t="s">
        <v>468</v>
      </c>
      <c r="J172" s="259"/>
      <c r="K172" s="245">
        <f>'[1]ครุภัณฑ์ 69 (data)'!H76</f>
        <v>286300</v>
      </c>
      <c r="L172" s="245"/>
    </row>
    <row r="173" spans="1:12" hidden="1">
      <c r="A173" s="241" t="s">
        <v>1481</v>
      </c>
      <c r="B173" s="244">
        <f>'[1]ครุภัณฑ์ 69 (data)'!B77</f>
        <v>2569</v>
      </c>
      <c r="C173" s="241" t="s">
        <v>447</v>
      </c>
      <c r="D173" s="244" t="str">
        <f>'[1]ครุภัณฑ์ 69 (data)'!D77</f>
        <v>สำนักงาน</v>
      </c>
      <c r="E173" s="244" t="str">
        <f>'[1]ครุภัณฑ์ 69 (data)'!E77</f>
        <v>เครื่องปรับอากาศ แบบแยกส่วน แบบตั้งพื้นหรือแบบแขวน (ระบบ Inverter)  ขนาด 30,000 บีทียู สำนักงานพัฒนาสังคมและความมั่นคงของมนุษย์จังหวัดระนอง ตำบลบางริ้น อำเภอเมืองระนอง จังหวัดระนอง</v>
      </c>
      <c r="F173" s="244" t="str">
        <f>'[1]ครุภัณฑ์ 69 (data)'!F77</f>
        <v>พมจ.ระนอง</v>
      </c>
      <c r="G173" s="244" t="str">
        <f>'[1]ครุภัณฑ์ 69 (data)'!C77</f>
        <v>ระนอง</v>
      </c>
      <c r="H173" s="244">
        <f>'[1]ครุภัณฑ์ 69 (data)'!G77</f>
        <v>1</v>
      </c>
      <c r="I173" s="259" t="s">
        <v>468</v>
      </c>
      <c r="J173" s="259"/>
      <c r="K173" s="245">
        <f>'[1]ครุภัณฑ์ 69 (data)'!H77</f>
        <v>47200</v>
      </c>
      <c r="L173" s="245"/>
    </row>
    <row r="174" spans="1:12" hidden="1">
      <c r="A174" s="241" t="s">
        <v>1482</v>
      </c>
      <c r="B174" s="244">
        <f>'[1]ครุภัณฑ์ 69 (data)'!B78</f>
        <v>2569</v>
      </c>
      <c r="C174" s="241" t="s">
        <v>447</v>
      </c>
      <c r="D174" s="244" t="str">
        <f>'[1]ครุภัณฑ์ 69 (data)'!D78</f>
        <v>สำนักงาน</v>
      </c>
      <c r="E174" s="244" t="str">
        <f>'[1]ครุภัณฑ์ 69 (data)'!E78</f>
        <v>เครื่องปรับอากาศ แบบแยกส่วน แบบตั้งพื้นหรือแบบแขวน (ระบบ Inverter)  ขนาด 24,000 บีทียู สำนักงานพัฒนาสังคมและความมั่นคงของมนุษย์จังหวัดสงขลา ตำบลบ่อยาง อำเภอเมืองสงขลา จังหวัดสงขลา</v>
      </c>
      <c r="F174" s="244" t="str">
        <f>'[1]ครุภัณฑ์ 69 (data)'!F78</f>
        <v>พมจ.สงขลา</v>
      </c>
      <c r="G174" s="244" t="str">
        <f>'[1]ครุภัณฑ์ 69 (data)'!C78</f>
        <v>สงขลา</v>
      </c>
      <c r="H174" s="244">
        <f>'[1]ครุภัณฑ์ 69 (data)'!G78</f>
        <v>6</v>
      </c>
      <c r="I174" s="259" t="s">
        <v>468</v>
      </c>
      <c r="J174" s="259"/>
      <c r="K174" s="245">
        <f>'[1]ครุภัณฑ์ 69 (data)'!H78</f>
        <v>245400</v>
      </c>
      <c r="L174" s="245"/>
    </row>
    <row r="175" spans="1:12" hidden="1">
      <c r="A175" s="241" t="s">
        <v>1483</v>
      </c>
      <c r="B175" s="244">
        <f>'[1]ครุภัณฑ์ 69 (data)'!B79</f>
        <v>2569</v>
      </c>
      <c r="C175" s="241" t="s">
        <v>447</v>
      </c>
      <c r="D175" s="244" t="str">
        <f>'[1]ครุภัณฑ์ 69 (data)'!D79</f>
        <v>ยานพาหนะและขนส่ง</v>
      </c>
      <c r="E175" s="244" t="str">
        <f>'[1]ครุภัณฑ์ 69 (data)'!E79</f>
        <v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สำนักงานพัฒนาสังคมและความมั่นคงของมนุษย์จังหวัดสตูล ตำบลพิมาน อำเภอเมืองสตูล จังหวัดสตูล</v>
      </c>
      <c r="F175" s="244" t="str">
        <f>'[1]ครุภัณฑ์ 69 (data)'!F79</f>
        <v>พมจ.สตูล</v>
      </c>
      <c r="G175" s="244" t="str">
        <f>'[1]ครุภัณฑ์ 69 (data)'!C79</f>
        <v>สตูล</v>
      </c>
      <c r="H175" s="244">
        <f>'[1]ครุภัณฑ์ 69 (data)'!G79</f>
        <v>1</v>
      </c>
      <c r="I175" s="259" t="s">
        <v>468</v>
      </c>
      <c r="J175" s="259"/>
      <c r="K175" s="245">
        <f>'[1]ครุภัณฑ์ 69 (data)'!H79</f>
        <v>1369000</v>
      </c>
      <c r="L175" s="245"/>
    </row>
    <row r="176" spans="1:12" hidden="1">
      <c r="A176" s="241" t="s">
        <v>1484</v>
      </c>
      <c r="B176" s="244">
        <f>'[1]ครุภัณฑ์ 69 (data)'!B80</f>
        <v>2569</v>
      </c>
      <c r="C176" s="241" t="s">
        <v>447</v>
      </c>
      <c r="D176" s="244" t="str">
        <f>'[1]ครุภัณฑ์ 69 (data)'!D80</f>
        <v>สำนักงาน</v>
      </c>
      <c r="E176" s="244" t="str">
        <f>'[1]ครุภัณฑ์ 69 (data)'!E80</f>
        <v>เครื่องปรับอากาศ แบบแยกส่วน แบบตั้งพื้นหรือแบบแขวน (ระบบ Inverter)  ขนาด 36,000 บีทียู สำนักงานส่งเสริมและสนับสนุนวิชาการ 10 ตำบลขุนทะเล อำเภอเมืองสุราษฎร์ธานี จังหวัดสุราษฎร์ธานี</v>
      </c>
      <c r="F176" s="244" t="str">
        <f>'[1]ครุภัณฑ์ 69 (data)'!F80</f>
        <v>สสว.10</v>
      </c>
      <c r="G176" s="244" t="str">
        <f>'[1]ครุภัณฑ์ 69 (data)'!C80</f>
        <v>สุราษฎร์ธานี</v>
      </c>
      <c r="H176" s="244">
        <f>'[1]ครุภัณฑ์ 69 (data)'!G80</f>
        <v>3</v>
      </c>
      <c r="I176" s="259" t="s">
        <v>468</v>
      </c>
      <c r="J176" s="259"/>
      <c r="K176" s="245">
        <f>'[1]ครุภัณฑ์ 69 (data)'!H80</f>
        <v>160800</v>
      </c>
      <c r="L176" s="245"/>
    </row>
    <row r="177" spans="1:12">
      <c r="A177" s="241" t="s">
        <v>1485</v>
      </c>
      <c r="B177" s="244">
        <f>'[1]รวมครุภัณฑ์ 70 (data)'!B3</f>
        <v>2570</v>
      </c>
      <c r="C177" s="241" t="s">
        <v>447</v>
      </c>
      <c r="D177" s="244" t="str">
        <f>'[1]รวมครุภัณฑ์ 70 (data)'!C3</f>
        <v>ครุภัณฑ์ยานพาหนะและขนส่ง</v>
      </c>
      <c r="E177" s="244" t="str">
        <f>'[1]รวมครุภัณฑ์ 70 (data)'!G3</f>
        <v>รถประจำตำแหน่ง ระดับอธิบดี รองปลัดกระทรวง เอกอัครราชทูตประจำกระทรวง ผู้ตรวจราชการกระทรวง รองเลขาธิการนายกรัฐมนตรีฝ่ายการเมือง เลขานุการรัฐมนตรี ผู้ช่วยเลขานุการรัฐมนตรี หรือผู้ดำรงตำแหน่งอื่นที่มีฐานะเทียบเท่า ปริมาตรกระบอกสูบไม่เกิน 2500 ซีซี หรือกำลังเครื่องยนต์สูงสุดไม่เกิน 160 กิโลวัตต์ หรือกำลังมอเตอร์ไฟฟ้าสูงสุดไม่เกิน 329 กิโลวัตต์</v>
      </c>
      <c r="F177" s="244" t="str">
        <f>'[1]รวมครุภัณฑ์ 70 (data)'!H3</f>
        <v>กก.</v>
      </c>
      <c r="G177" s="244" t="str">
        <f>'[1]รวมครุภัณฑ์ 70 (data)'!J3</f>
        <v>กรุงเทพมหานคร</v>
      </c>
      <c r="H177" s="244">
        <f>IF('รวมครุภัณฑ์ 70'!Q2="","",'รวมครุภัณฑ์ 70'!Q2)</f>
        <v>3</v>
      </c>
      <c r="I177" s="244" t="str">
        <f>IF('รวมครุภัณฑ์ 70'!R2="","",'รวมครุภัณฑ์ 70'!R2)</f>
        <v/>
      </c>
      <c r="J177" s="244"/>
      <c r="K177" s="245">
        <f>'[1]รวมครุภัณฑ์ 70 (data)'!L3</f>
        <v>5028000</v>
      </c>
      <c r="L177" s="245" t="str">
        <f>_xlfn.TEXTJOIN(", ",TRUE,
IF(H177&lt;&gt;"","ทดแทนครุภัณฑ์เดิม",""),
IF(I177&lt;&gt;"","เพิ่มประสิทธิภาพ",""))</f>
        <v>ทดแทนครุภัณฑ์เดิม</v>
      </c>
    </row>
    <row r="178" spans="1:12">
      <c r="A178" s="241" t="s">
        <v>1486</v>
      </c>
      <c r="B178" s="244">
        <f>'[1]รวมครุภัณฑ์ 70 (data)'!B4</f>
        <v>2570</v>
      </c>
      <c r="C178" s="241" t="s">
        <v>447</v>
      </c>
      <c r="D178" s="244" t="str">
        <f>'[1]รวมครุภัณฑ์ 70 (data)'!C4</f>
        <v>ครุภัณฑ์ยานพาหนะและขนส่ง</v>
      </c>
      <c r="E178" s="244" t="str">
        <f>'[1]รวมครุภัณฑ์ 70 (data)'!G4</f>
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</c>
      <c r="F178" s="244" t="str">
        <f>'[1]รวมครุภัณฑ์ 70 (data)'!H4</f>
        <v>กก.</v>
      </c>
      <c r="G178" s="244" t="str">
        <f>'[1]รวมครุภัณฑ์ 70 (data)'!J4</f>
        <v>กรุงเทพมหานคร</v>
      </c>
      <c r="H178" s="244">
        <f>IF('รวมครุภัณฑ์ 70'!Q3="","",'รวมครุภัณฑ์ 70'!Q3)</f>
        <v>2</v>
      </c>
      <c r="I178" s="244" t="str">
        <f>IF('รวมครุภัณฑ์ 70'!R3="","",'รวมครุภัณฑ์ 70'!R3)</f>
        <v/>
      </c>
      <c r="J178" s="244"/>
      <c r="K178" s="245">
        <f>'[1]รวมครุภัณฑ์ 70 (data)'!L4</f>
        <v>2996000</v>
      </c>
      <c r="L178" s="245" t="str">
        <f t="shared" ref="L178:L241" si="0">_xlfn.TEXTJOIN(", ",TRUE,
IF(H178&lt;&gt;"","ทดแทนครุภัณฑ์เดิม",""),
IF(I178&lt;&gt;"","เพิ่มประสิทธิภาพ",""))</f>
        <v>ทดแทนครุภัณฑ์เดิม</v>
      </c>
    </row>
    <row r="179" spans="1:12">
      <c r="A179" s="241" t="s">
        <v>1487</v>
      </c>
      <c r="B179" s="244">
        <f>'[1]รวมครุภัณฑ์ 70 (data)'!B5</f>
        <v>2570</v>
      </c>
      <c r="C179" s="241" t="s">
        <v>447</v>
      </c>
      <c r="D179" s="244" t="str">
        <f>'[1]รวมครุภัณฑ์ 70 (data)'!C5</f>
        <v>ครุภัณฑ์ยานพาหนะและขนส่ง</v>
      </c>
      <c r="E179" s="244" t="str">
        <f>'[1]รวมครุภัณฑ์ 70 (data)'!G5</f>
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</c>
      <c r="F179" s="244" t="str">
        <f>'[1]รวมครุภัณฑ์ 70 (data)'!H5</f>
        <v>กก.</v>
      </c>
      <c r="G179" s="244" t="str">
        <f>'[1]รวมครุภัณฑ์ 70 (data)'!J5</f>
        <v>กรุงเทพมหานคร</v>
      </c>
      <c r="H179" s="244">
        <f>IF('รวมครุภัณฑ์ 70'!Q4="","",'รวมครุภัณฑ์ 70'!Q4)</f>
        <v>1</v>
      </c>
      <c r="I179" s="244" t="str">
        <f>IF('รวมครุภัณฑ์ 70'!R4="","",'รวมครุภัณฑ์ 70'!R4)</f>
        <v/>
      </c>
      <c r="J179" s="244"/>
      <c r="K179" s="245">
        <f>'[1]รวมครุภัณฑ์ 70 (data)'!L5</f>
        <v>1498000</v>
      </c>
      <c r="L179" s="245" t="str">
        <f t="shared" si="0"/>
        <v>ทดแทนครุภัณฑ์เดิม</v>
      </c>
    </row>
    <row r="180" spans="1:12">
      <c r="A180" s="241" t="s">
        <v>1488</v>
      </c>
      <c r="B180" s="244">
        <f>'[1]รวมครุภัณฑ์ 70 (data)'!B6</f>
        <v>2570</v>
      </c>
      <c r="C180" s="241" t="s">
        <v>447</v>
      </c>
      <c r="D180" s="244" t="str">
        <f>'[1]รวมครุภัณฑ์ 70 (data)'!C6</f>
        <v>ครุภัณฑ์สำนักงาน</v>
      </c>
      <c r="E180" s="244" t="str">
        <f>'[1]รวมครุภัณฑ์ 70 (data)'!G6</f>
        <v xml:space="preserve">เครื่องปรับอากาศ แบบติดผนัง ขนาด 18,000 บีทียู </v>
      </c>
      <c r="F180" s="244" t="str">
        <f>'[1]รวมครุภัณฑ์ 70 (data)'!H6</f>
        <v>กก.</v>
      </c>
      <c r="G180" s="244" t="str">
        <f>'[1]รวมครุภัณฑ์ 70 (data)'!J6</f>
        <v>กรุงเทพมหานคร</v>
      </c>
      <c r="H180" s="244" t="str">
        <f>IF('รวมครุภัณฑ์ 70'!Q5="","",'รวมครุภัณฑ์ 70'!Q5)</f>
        <v/>
      </c>
      <c r="I180" s="244">
        <f>IF('รวมครุภัณฑ์ 70'!R5="","",'รวมครุภัณฑ์ 70'!R5)</f>
        <v>8</v>
      </c>
      <c r="J180" s="244"/>
      <c r="K180" s="245">
        <f>'[1]รวมครุภัณฑ์ 70 (data)'!L6</f>
        <v>172000</v>
      </c>
      <c r="L180" s="245" t="str">
        <f t="shared" si="0"/>
        <v>เพิ่มประสิทธิภาพ</v>
      </c>
    </row>
    <row r="181" spans="1:12">
      <c r="A181" s="241" t="s">
        <v>1489</v>
      </c>
      <c r="B181" s="244">
        <f>'[1]รวมครุภัณฑ์ 70 (data)'!B7</f>
        <v>2570</v>
      </c>
      <c r="C181" s="241" t="s">
        <v>447</v>
      </c>
      <c r="D181" s="244" t="str">
        <f>'[1]รวมครุภัณฑ์ 70 (data)'!C7</f>
        <v>ครุภัณฑ์ยานพาหนะและขนส่ง</v>
      </c>
      <c r="E181" s="244" t="str">
        <f>'[1]รวมครุภัณฑ์ 70 (data)'!G7</f>
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</c>
      <c r="F181" s="244" t="str">
        <f>'[1]รวมครุภัณฑ์ 70 (data)'!H7</f>
        <v>กคม.</v>
      </c>
      <c r="G181" s="244" t="str">
        <f>'[1]รวมครุภัณฑ์ 70 (data)'!J7</f>
        <v>กรุงเทพมหานคร</v>
      </c>
      <c r="H181" s="244">
        <f>IF('รวมครุภัณฑ์ 70'!Q6="","",'รวมครุภัณฑ์ 70'!Q6)</f>
        <v>1</v>
      </c>
      <c r="I181" s="244" t="str">
        <f>IF('รวมครุภัณฑ์ 70'!R6="","",'รวมครุภัณฑ์ 70'!R6)</f>
        <v/>
      </c>
      <c r="J181" s="244"/>
      <c r="K181" s="245">
        <f>'[1]รวมครุภัณฑ์ 70 (data)'!L7</f>
        <v>1498000</v>
      </c>
      <c r="L181" s="245" t="str">
        <f t="shared" si="0"/>
        <v>ทดแทนครุภัณฑ์เดิม</v>
      </c>
    </row>
    <row r="182" spans="1:12">
      <c r="A182" s="241" t="s">
        <v>1490</v>
      </c>
      <c r="B182" s="244">
        <f>'[1]รวมครุภัณฑ์ 70 (data)'!B8</f>
        <v>2570</v>
      </c>
      <c r="C182" s="241" t="s">
        <v>447</v>
      </c>
      <c r="D182" s="244" t="str">
        <f>'[1]รวมครุภัณฑ์ 70 (data)'!C8</f>
        <v>ครุภัณฑ์ยานพาหนะและขนส่ง</v>
      </c>
      <c r="E182" s="244" t="str">
        <f>'[1]รวมครุภัณฑ์ 70 (data)'!G8</f>
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</c>
      <c r="F182" s="244" t="str">
        <f>'[1]รวมครุภัณฑ์ 70 (data)'!H8</f>
        <v>กคม.</v>
      </c>
      <c r="G182" s="244" t="str">
        <f>'[1]รวมครุภัณฑ์ 70 (data)'!J8</f>
        <v>กรุงเทพมหานคร</v>
      </c>
      <c r="H182" s="244">
        <f>IF('รวมครุภัณฑ์ 70'!Q7="","",'รวมครุภัณฑ์ 70'!Q7)</f>
        <v>1</v>
      </c>
      <c r="I182" s="244" t="str">
        <f>IF('รวมครุภัณฑ์ 70'!R7="","",'รวมครุภัณฑ์ 70'!R7)</f>
        <v/>
      </c>
      <c r="J182" s="244"/>
      <c r="K182" s="245">
        <f>'[1]รวมครุภัณฑ์ 70 (data)'!L8</f>
        <v>1498000</v>
      </c>
      <c r="L182" s="245" t="str">
        <f t="shared" si="0"/>
        <v>ทดแทนครุภัณฑ์เดิม</v>
      </c>
    </row>
    <row r="183" spans="1:12">
      <c r="A183" s="241" t="s">
        <v>1491</v>
      </c>
      <c r="B183" s="244">
        <f>'[1]รวมครุภัณฑ์ 70 (data)'!B9</f>
        <v>2570</v>
      </c>
      <c r="C183" s="241" t="s">
        <v>447</v>
      </c>
      <c r="D183" s="244" t="str">
        <f>'[1]รวมครุภัณฑ์ 70 (data)'!C9</f>
        <v>ครุภัณฑ์ยานพาหนะและขนส่ง</v>
      </c>
      <c r="E183" s="244" t="str">
        <f>'[1]รวมครุภัณฑ์ 70 (data)'!G9</f>
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</c>
      <c r="F183" s="244" t="str">
        <f>'[1]รวมครุภัณฑ์ 70 (data)'!H9</f>
        <v>กคม.</v>
      </c>
      <c r="G183" s="244" t="str">
        <f>'[1]รวมครุภัณฑ์ 70 (data)'!J9</f>
        <v>กรุงเทพมหานคร</v>
      </c>
      <c r="H183" s="244">
        <f>IF('รวมครุภัณฑ์ 70'!Q8="","",'รวมครุภัณฑ์ 70'!Q8)</f>
        <v>1</v>
      </c>
      <c r="I183" s="244" t="str">
        <f>IF('รวมครุภัณฑ์ 70'!R8="","",'รวมครุภัณฑ์ 70'!R8)</f>
        <v/>
      </c>
      <c r="J183" s="244"/>
      <c r="K183" s="245">
        <f>'[1]รวมครุภัณฑ์ 70 (data)'!L9</f>
        <v>1498000</v>
      </c>
      <c r="L183" s="245" t="str">
        <f t="shared" si="0"/>
        <v>ทดแทนครุภัณฑ์เดิม</v>
      </c>
    </row>
    <row r="184" spans="1:12">
      <c r="A184" s="241" t="s">
        <v>1492</v>
      </c>
      <c r="B184" s="244">
        <f>'[1]รวมครุภัณฑ์ 70 (data)'!B10</f>
        <v>2570</v>
      </c>
      <c r="C184" s="241" t="s">
        <v>447</v>
      </c>
      <c r="D184" s="244" t="str">
        <f>'[1]รวมครุภัณฑ์ 70 (data)'!C10</f>
        <v>ครุภัณฑ์ยานพาหนะและขนส่ง</v>
      </c>
      <c r="E184" s="244" t="str">
        <f>'[1]รวมครุภัณฑ์ 70 (data)'!G10</f>
        <v>รถบรรทุก (ดีเซล) ขนาด 1 ตัน ปริมาตรกระบอกสูบ ไม่ต่ำกว่า 2,400 ซีซี หรือกำลังเครื่องยนต์สูงสุดไม่ต่ำกว่า 110 กิโลวัตต์ ขับเคลื่อน 4 ล้อ แบบดับเบิ้ลแค็บ</v>
      </c>
      <c r="F184" s="244" t="str">
        <f>'[1]รวมครุภัณฑ์ 70 (data)'!H10</f>
        <v>กคม.</v>
      </c>
      <c r="G184" s="244" t="str">
        <f>'[1]รวมครุภัณฑ์ 70 (data)'!J10</f>
        <v>กรุงเทพมหานคร</v>
      </c>
      <c r="H184" s="244">
        <f>IF('รวมครุภัณฑ์ 70'!Q9="","",'รวมครุภัณฑ์ 70'!Q9)</f>
        <v>1</v>
      </c>
      <c r="I184" s="244" t="str">
        <f>IF('รวมครุภัณฑ์ 70'!R9="","",'รวมครุภัณฑ์ 70'!R9)</f>
        <v/>
      </c>
      <c r="J184" s="244"/>
      <c r="K184" s="245">
        <f>'[1]รวมครุภัณฑ์ 70 (data)'!L10</f>
        <v>1172000</v>
      </c>
      <c r="L184" s="245" t="str">
        <f t="shared" si="0"/>
        <v>ทดแทนครุภัณฑ์เดิม</v>
      </c>
    </row>
    <row r="185" spans="1:12">
      <c r="A185" s="241" t="s">
        <v>1493</v>
      </c>
      <c r="B185" s="244">
        <f>'[1]รวมครุภัณฑ์ 70 (data)'!B11</f>
        <v>2570</v>
      </c>
      <c r="C185" s="241" t="s">
        <v>447</v>
      </c>
      <c r="D185" s="244" t="str">
        <f>'[1]รวมครุภัณฑ์ 70 (data)'!C11</f>
        <v>ครุภัณฑ์ยานพาหนะและขนส่ง</v>
      </c>
      <c r="E185" s="244" t="str">
        <f>'[1]รวมครุภัณฑ์ 70 (data)'!G11</f>
        <v>หลังคารถบรรทุก ขนาด 1 ตัน หลังคาไฟเบอร์กลาสหรือเหล็ก</v>
      </c>
      <c r="F185" s="244" t="str">
        <f>'[1]รวมครุภัณฑ์ 70 (data)'!H11</f>
        <v>กคม.</v>
      </c>
      <c r="G185" s="244" t="str">
        <f>'[1]รวมครุภัณฑ์ 70 (data)'!J11</f>
        <v>กรุงเทพมหานคร</v>
      </c>
      <c r="H185" s="244">
        <f>IF('รวมครุภัณฑ์ 70'!Q10="","",'รวมครุภัณฑ์ 70'!Q10)</f>
        <v>1</v>
      </c>
      <c r="I185" s="244" t="str">
        <f>IF('รวมครุภัณฑ์ 70'!R10="","",'รวมครุภัณฑ์ 70'!R10)</f>
        <v/>
      </c>
      <c r="J185" s="244"/>
      <c r="K185" s="245">
        <f>'[1]รวมครุภัณฑ์ 70 (data)'!L11</f>
        <v>35900</v>
      </c>
      <c r="L185" s="245" t="str">
        <f t="shared" si="0"/>
        <v>ทดแทนครุภัณฑ์เดิม</v>
      </c>
    </row>
    <row r="186" spans="1:12">
      <c r="A186" s="241" t="s">
        <v>1494</v>
      </c>
      <c r="B186" s="244">
        <f>'[1]รวมครุภัณฑ์ 70 (data)'!B12</f>
        <v>2570</v>
      </c>
      <c r="C186" s="241" t="s">
        <v>447</v>
      </c>
      <c r="D186" s="244" t="str">
        <f>'[1]รวมครุภัณฑ์ 70 (data)'!C12</f>
        <v>ครุภัณฑ์งานบ้านงานครัว</v>
      </c>
      <c r="E186" s="244" t="str">
        <f>'[1]รวมครุภัณฑ์ 70 (data)'!G12</f>
        <v>เครื่องซักผ้าแบบธรรมดา ขนาด 15 กิโลกรัม</v>
      </c>
      <c r="F186" s="244" t="str">
        <f>'[1]รวมครุภัณฑ์ 70 (data)'!H12</f>
        <v>สคม.ปทุมธานี</v>
      </c>
      <c r="G186" s="244" t="str">
        <f>'[1]รวมครุภัณฑ์ 70 (data)'!J12</f>
        <v>ปทุมธานี</v>
      </c>
      <c r="H186" s="244">
        <f>IF('รวมครุภัณฑ์ 70'!Q11="","",'รวมครุภัณฑ์ 70'!Q11)</f>
        <v>3</v>
      </c>
      <c r="I186" s="244" t="str">
        <f>IF('รวมครุภัณฑ์ 70'!R11="","",'รวมครุภัณฑ์ 70'!R11)</f>
        <v/>
      </c>
      <c r="J186" s="244"/>
      <c r="K186" s="245">
        <f>'[1]รวมครุภัณฑ์ 70 (data)'!L12</f>
        <v>51000</v>
      </c>
      <c r="L186" s="245" t="str">
        <f t="shared" si="0"/>
        <v>ทดแทนครุภัณฑ์เดิม</v>
      </c>
    </row>
    <row r="187" spans="1:12">
      <c r="A187" s="241" t="s">
        <v>1495</v>
      </c>
      <c r="B187" s="244">
        <f>'[1]รวมครุภัณฑ์ 70 (data)'!B13</f>
        <v>2570</v>
      </c>
      <c r="C187" s="241" t="s">
        <v>447</v>
      </c>
      <c r="D187" s="244" t="str">
        <f>'[1]รวมครุภัณฑ์ 70 (data)'!C13</f>
        <v>ครุภัณฑ์งานบ้านงานครัว</v>
      </c>
      <c r="E187" s="244" t="str">
        <f>'[1]รวมครุภัณฑ์ 70 (data)'!G13</f>
        <v>เครื่องตัดหญ้าแบบข้อแข็ง</v>
      </c>
      <c r="F187" s="244" t="str">
        <f>'[1]รวมครุภัณฑ์ 70 (data)'!H13</f>
        <v>สคม.ปทุมธานี</v>
      </c>
      <c r="G187" s="244" t="str">
        <f>'[1]รวมครุภัณฑ์ 70 (data)'!J13</f>
        <v>ปทุมธานี</v>
      </c>
      <c r="H187" s="244" t="str">
        <f>IF('รวมครุภัณฑ์ 70'!Q12="","",'รวมครุภัณฑ์ 70'!Q12)</f>
        <v/>
      </c>
      <c r="I187" s="244">
        <f>IF('รวมครุภัณฑ์ 70'!R12="","",'รวมครุภัณฑ์ 70'!R12)</f>
        <v>2</v>
      </c>
      <c r="J187" s="244"/>
      <c r="K187" s="245">
        <f>'[1]รวมครุภัณฑ์ 70 (data)'!L13</f>
        <v>19000</v>
      </c>
      <c r="L187" s="245" t="str">
        <f t="shared" si="0"/>
        <v>เพิ่มประสิทธิภาพ</v>
      </c>
    </row>
    <row r="188" spans="1:12">
      <c r="A188" s="241" t="s">
        <v>1496</v>
      </c>
      <c r="B188" s="244">
        <f>'[1]รวมครุภัณฑ์ 70 (data)'!B14</f>
        <v>2570</v>
      </c>
      <c r="C188" s="241" t="s">
        <v>447</v>
      </c>
      <c r="D188" s="244" t="str">
        <f>'[1]รวมครุภัณฑ์ 70 (data)'!C14</f>
        <v>ครุภัณฑ์งานบ้านงานครัว</v>
      </c>
      <c r="E188" s="244" t="str">
        <f>'[1]รวมครุภัณฑ์ 70 (data)'!G14</f>
        <v>ปั๊มน้ำอัตโนมัติ ขนาด 200 วัตต์</v>
      </c>
      <c r="F188" s="244" t="str">
        <f>'[1]รวมครุภัณฑ์ 70 (data)'!H14</f>
        <v>สคม.ปทุมธานี</v>
      </c>
      <c r="G188" s="244" t="str">
        <f>'[1]รวมครุภัณฑ์ 70 (data)'!J14</f>
        <v>ปทุมธานี</v>
      </c>
      <c r="H188" s="244" t="str">
        <f>IF('รวมครุภัณฑ์ 70'!Q13="","",'รวมครุภัณฑ์ 70'!Q13)</f>
        <v/>
      </c>
      <c r="I188" s="244">
        <f>IF('รวมครุภัณฑ์ 70'!R13="","",'รวมครุภัณฑ์ 70'!R13)</f>
        <v>8</v>
      </c>
      <c r="J188" s="244"/>
      <c r="K188" s="245">
        <f>'[1]รวมครุภัณฑ์ 70 (data)'!L14</f>
        <v>102400</v>
      </c>
      <c r="L188" s="245" t="str">
        <f t="shared" si="0"/>
        <v>เพิ่มประสิทธิภาพ</v>
      </c>
    </row>
    <row r="189" spans="1:12">
      <c r="A189" s="241" t="s">
        <v>1497</v>
      </c>
      <c r="B189" s="244">
        <f>'[1]รวมครุภัณฑ์ 70 (data)'!B15</f>
        <v>2570</v>
      </c>
      <c r="C189" s="241" t="s">
        <v>447</v>
      </c>
      <c r="D189" s="244" t="str">
        <f>'[1]รวมครุภัณฑ์ 70 (data)'!C15</f>
        <v>ครุภัณฑ์สำนักงาน</v>
      </c>
      <c r="E189" s="244" t="str">
        <f>'[1]รวมครุภัณฑ์ 70 (data)'!G15</f>
        <v>เครื่องปรับอากาศ แบบแยกส่วน แบบตั้งพื้นหรือแบบแขวน ระบบ (Inverter) ขนาด 30,000 บีทียู</v>
      </c>
      <c r="F189" s="244" t="str">
        <f>'[1]รวมครุภัณฑ์ 70 (data)'!H15</f>
        <v>สคม.ปทุมธานี</v>
      </c>
      <c r="G189" s="244" t="str">
        <f>'[1]รวมครุภัณฑ์ 70 (data)'!J15</f>
        <v>ปทุมธานี</v>
      </c>
      <c r="H189" s="244">
        <f>IF('รวมครุภัณฑ์ 70'!Q14="","",'รวมครุภัณฑ์ 70'!Q14)</f>
        <v>5</v>
      </c>
      <c r="I189" s="244" t="str">
        <f>IF('รวมครุภัณฑ์ 70'!R14="","",'รวมครุภัณฑ์ 70'!R14)</f>
        <v/>
      </c>
      <c r="J189" s="244"/>
      <c r="K189" s="245">
        <f>'[1]รวมครุภัณฑ์ 70 (data)'!L15</f>
        <v>236000</v>
      </c>
      <c r="L189" s="245" t="str">
        <f t="shared" si="0"/>
        <v>ทดแทนครุภัณฑ์เดิม</v>
      </c>
    </row>
    <row r="190" spans="1:12">
      <c r="A190" s="241" t="s">
        <v>1498</v>
      </c>
      <c r="B190" s="244">
        <f>'[1]รวมครุภัณฑ์ 70 (data)'!B16</f>
        <v>2570</v>
      </c>
      <c r="C190" s="241" t="s">
        <v>447</v>
      </c>
      <c r="D190" s="244" t="str">
        <f>'[1]รวมครุภัณฑ์ 70 (data)'!C16</f>
        <v>ครุภัณฑ์ยานพาหนะและขนส่ง</v>
      </c>
      <c r="E190" s="244" t="str">
        <f>'[1]รวมครุภัณฑ์ 70 (data)'!G16</f>
        <v>รถยนต์โดยสารขนาด 12 ที่นั่ง เครื่องยนต์ดีเซล ปริมาณกระบอกสูบไม่ต่ำกว่า 2,400 ซีซี หรือกำลังเครื่องยนต์สูงสุดไม่ต่ำกว่า 90 กิโลวัตต์</v>
      </c>
      <c r="F190" s="244" t="str">
        <f>'[1]รวมครุภัณฑ์ 70 (data)'!H16</f>
        <v>สคม.ปทุมธานี</v>
      </c>
      <c r="G190" s="244" t="str">
        <f>'[1]รวมครุภัณฑ์ 70 (data)'!J16</f>
        <v>ปทุมธานี</v>
      </c>
      <c r="H190" s="244">
        <f>IF('รวมครุภัณฑ์ 70'!Q15="","",'รวมครุภัณฑ์ 70'!Q15)</f>
        <v>1</v>
      </c>
      <c r="I190" s="244" t="str">
        <f>IF('รวมครุภัณฑ์ 70'!R15="","",'รวมครุภัณฑ์ 70'!R15)</f>
        <v/>
      </c>
      <c r="J190" s="244"/>
      <c r="K190" s="245">
        <f>'[1]รวมครุภัณฑ์ 70 (data)'!L16</f>
        <v>1329000</v>
      </c>
      <c r="L190" s="245" t="str">
        <f t="shared" si="0"/>
        <v>ทดแทนครุภัณฑ์เดิม</v>
      </c>
    </row>
    <row r="191" spans="1:12">
      <c r="A191" s="241" t="s">
        <v>1499</v>
      </c>
      <c r="B191" s="244">
        <f>'[1]รวมครุภัณฑ์ 70 (data)'!B17</f>
        <v>2570</v>
      </c>
      <c r="C191" s="241" t="s">
        <v>447</v>
      </c>
      <c r="D191" s="244" t="str">
        <f>'[1]รวมครุภัณฑ์ 70 (data)'!C17</f>
        <v>ครุภัณฑ์โฆษณาและเผยแพร่</v>
      </c>
      <c r="E191" s="244" t="str">
        <f>'[1]รวมครุภัณฑ์ 70 (data)'!G17</f>
        <v xml:space="preserve">กล้องถ่ายภาพนิ่งระบบดิจิตอล </v>
      </c>
      <c r="F191" s="244" t="str">
        <f>'[1]รวมครุภัณฑ์ 70 (data)'!H17</f>
        <v>สคม.เชียงราย</v>
      </c>
      <c r="G191" s="244" t="str">
        <f>'[1]รวมครุภัณฑ์ 70 (data)'!J17</f>
        <v>เชียงราย</v>
      </c>
      <c r="H191" s="244" t="str">
        <f>IF('รวมครุภัณฑ์ 70'!Q16="","",'รวมครุภัณฑ์ 70'!Q16)</f>
        <v/>
      </c>
      <c r="I191" s="244">
        <f>IF('รวมครุภัณฑ์ 70'!R16="","",'รวมครุภัณฑ์ 70'!R16)</f>
        <v>1</v>
      </c>
      <c r="J191" s="244"/>
      <c r="K191" s="245">
        <f>'[1]รวมครุภัณฑ์ 70 (data)'!L17</f>
        <v>39900</v>
      </c>
      <c r="L191" s="245" t="str">
        <f t="shared" si="0"/>
        <v>เพิ่มประสิทธิภาพ</v>
      </c>
    </row>
    <row r="192" spans="1:12">
      <c r="A192" s="241" t="s">
        <v>1500</v>
      </c>
      <c r="B192" s="244">
        <f>'[1]รวมครุภัณฑ์ 70 (data)'!B18</f>
        <v>2570</v>
      </c>
      <c r="C192" s="241" t="s">
        <v>447</v>
      </c>
      <c r="D192" s="244" t="str">
        <f>'[1]รวมครุภัณฑ์ 70 (data)'!C18</f>
        <v>ครุภัณฑ์ยานพาหนะและขนส่ง</v>
      </c>
      <c r="E192" s="244" t="str">
        <f>'[1]รวมครุภัณฑ์ 70 (data)'!G18</f>
        <v>รถบรรทุก (ดีเซล) ขนาด 1 ตัน ปริมาตรกระบอกสูบไม่ต่ำกว่า 2400 ซีซี หรือกำลังขับเครื่องยนต์สูงสุดไม่ต่ำกว่า 110 กิโลวัตต์ ขับเคลื่อน 4 ล้อ แบบดับเบิ้ลแค็บ พร้อมหลังคาไฟเบอร์กลาสหรือเหล็ก</v>
      </c>
      <c r="F192" s="244" t="str">
        <f>'[1]รวมครุภัณฑ์ 70 (data)'!H18</f>
        <v>สคม.เชียงราย</v>
      </c>
      <c r="G192" s="244" t="str">
        <f>'[1]รวมครุภัณฑ์ 70 (data)'!J18</f>
        <v>เชียงราย</v>
      </c>
      <c r="H192" s="244">
        <f>IF('รวมครุภัณฑ์ 70'!Q17="","",'รวมครุภัณฑ์ 70'!Q17)</f>
        <v>1</v>
      </c>
      <c r="I192" s="244" t="str">
        <f>IF('รวมครุภัณฑ์ 70'!R17="","",'รวมครุภัณฑ์ 70'!R17)</f>
        <v/>
      </c>
      <c r="J192" s="244"/>
      <c r="K192" s="245">
        <f>'[1]รวมครุภัณฑ์ 70 (data)'!L18</f>
        <v>1207900</v>
      </c>
      <c r="L192" s="245" t="str">
        <f t="shared" si="0"/>
        <v>ทดแทนครุภัณฑ์เดิม</v>
      </c>
    </row>
    <row r="193" spans="1:12">
      <c r="A193" s="241" t="s">
        <v>1501</v>
      </c>
      <c r="B193" s="244">
        <f>'[1]รวมครุภัณฑ์ 70 (data)'!B19</f>
        <v>2570</v>
      </c>
      <c r="C193" s="241" t="s">
        <v>447</v>
      </c>
      <c r="D193" s="244" t="str">
        <f>'[1]รวมครุภัณฑ์ 70 (data)'!C19</f>
        <v>ครุภัณฑ์ยานพาหนะและขนส่ง</v>
      </c>
      <c r="E193" s="244" t="str">
        <f>'[1]รวมครุภัณฑ์ 70 (data)'!G19</f>
        <v>รถยนต์ 12 ที่นั่ง เครื่องยนต์ดีเซล ปริมาตรกระบอกสูบ ไม่ต่ำกว่า 2400 ซีซี กำลังเครื่องยนต์สูงสุดไม่ต่ำกว่า 90 กิโลวัตต์</v>
      </c>
      <c r="F193" s="244" t="str">
        <f>'[1]รวมครุภัณฑ์ 70 (data)'!H19</f>
        <v>สคม.เชียงราย</v>
      </c>
      <c r="G193" s="244" t="str">
        <f>'[1]รวมครุภัณฑ์ 70 (data)'!J19</f>
        <v>เชียงราย</v>
      </c>
      <c r="H193" s="244">
        <f>IF('รวมครุภัณฑ์ 70'!Q18="","",'รวมครุภัณฑ์ 70'!Q18)</f>
        <v>1</v>
      </c>
      <c r="I193" s="244" t="str">
        <f>IF('รวมครุภัณฑ์ 70'!R18="","",'รวมครุภัณฑ์ 70'!R18)</f>
        <v/>
      </c>
      <c r="J193" s="244"/>
      <c r="K193" s="245">
        <f>'[1]รวมครุภัณฑ์ 70 (data)'!L19</f>
        <v>1500000</v>
      </c>
      <c r="L193" s="245" t="str">
        <f t="shared" si="0"/>
        <v>ทดแทนครุภัณฑ์เดิม</v>
      </c>
    </row>
    <row r="194" spans="1:12">
      <c r="A194" s="241" t="s">
        <v>1502</v>
      </c>
      <c r="B194" s="244">
        <f>'[1]รวมครุภัณฑ์ 70 (data)'!B20</f>
        <v>2570</v>
      </c>
      <c r="C194" s="241" t="s">
        <v>447</v>
      </c>
      <c r="D194" s="244" t="str">
        <f>'[1]รวมครุภัณฑ์ 70 (data)'!C20</f>
        <v>ครุภัณฑ์งานบ้านงานครัว</v>
      </c>
      <c r="E194" s="244" t="str">
        <f>'[1]รวมครุภัณฑ์ 70 (data)'!G20</f>
        <v>ตู้เย็น ขนาด 7 คิวบิกฟุต</v>
      </c>
      <c r="F194" s="244" t="str">
        <f>'[1]รวมครุภัณฑ์ 70 (data)'!H20</f>
        <v>สคม.เชียงราย</v>
      </c>
      <c r="G194" s="244" t="str">
        <f>'[1]รวมครุภัณฑ์ 70 (data)'!J20</f>
        <v>เชียงราย</v>
      </c>
      <c r="H194" s="244">
        <f>IF('รวมครุภัณฑ์ 70'!Q19="","",'รวมครุภัณฑ์ 70'!Q19)</f>
        <v>1</v>
      </c>
      <c r="I194" s="244" t="str">
        <f>IF('รวมครุภัณฑ์ 70'!R19="","",'รวมครุภัณฑ์ 70'!R19)</f>
        <v/>
      </c>
      <c r="J194" s="244"/>
      <c r="K194" s="245">
        <f>'[1]รวมครุภัณฑ์ 70 (data)'!L20</f>
        <v>8500</v>
      </c>
      <c r="L194" s="245" t="str">
        <f t="shared" si="0"/>
        <v>ทดแทนครุภัณฑ์เดิม</v>
      </c>
    </row>
    <row r="195" spans="1:12">
      <c r="A195" s="241" t="s">
        <v>1503</v>
      </c>
      <c r="B195" s="244">
        <f>'[1]รวมครุภัณฑ์ 70 (data)'!B21</f>
        <v>2570</v>
      </c>
      <c r="C195" s="241" t="s">
        <v>447</v>
      </c>
      <c r="D195" s="244" t="str">
        <f>'[1]รวมครุภัณฑ์ 70 (data)'!C21</f>
        <v>ครุภัณฑ์งานบ้านงานครัว</v>
      </c>
      <c r="E195" s="244" t="str">
        <f>'[1]รวมครุภัณฑ์ 70 (data)'!G21</f>
        <v>เตาเผาขยะ</v>
      </c>
      <c r="F195" s="244" t="str">
        <f>'[1]รวมครุภัณฑ์ 70 (data)'!H21</f>
        <v>สคม.เชียงราย</v>
      </c>
      <c r="G195" s="244" t="str">
        <f>'[1]รวมครุภัณฑ์ 70 (data)'!J21</f>
        <v>เชียงราย</v>
      </c>
      <c r="H195" s="244" t="str">
        <f>IF('รวมครุภัณฑ์ 70'!Q20="","",'รวมครุภัณฑ์ 70'!Q20)</f>
        <v/>
      </c>
      <c r="I195" s="244">
        <f>IF('รวมครุภัณฑ์ 70'!R20="","",'รวมครุภัณฑ์ 70'!R20)</f>
        <v>1</v>
      </c>
      <c r="J195" s="244"/>
      <c r="K195" s="245">
        <f>'[1]รวมครุภัณฑ์ 70 (data)'!L21</f>
        <v>192600</v>
      </c>
      <c r="L195" s="245" t="str">
        <f t="shared" si="0"/>
        <v>เพิ่มประสิทธิภาพ</v>
      </c>
    </row>
    <row r="196" spans="1:12">
      <c r="A196" s="241" t="s">
        <v>1504</v>
      </c>
      <c r="B196" s="244">
        <f>'[1]รวมครุภัณฑ์ 70 (data)'!B22</f>
        <v>2570</v>
      </c>
      <c r="C196" s="241" t="s">
        <v>447</v>
      </c>
      <c r="D196" s="244" t="str">
        <f>'[1]รวมครุภัณฑ์ 70 (data)'!C22</f>
        <v>ครุภัณฑ์สำนักงาน</v>
      </c>
      <c r="E196" s="244" t="str">
        <f>'[1]รวมครุภัณฑ์ 70 (data)'!G22</f>
        <v>ถังดับเพลิง ชนิดผงเคมีแห้ง ขนาด 15 ปอนด์</v>
      </c>
      <c r="F196" s="244" t="str">
        <f>'[1]รวมครุภัณฑ์ 70 (data)'!H22</f>
        <v>สคม.ระนอง</v>
      </c>
      <c r="G196" s="244" t="str">
        <f>'[1]รวมครุภัณฑ์ 70 (data)'!J22</f>
        <v>ระนอง</v>
      </c>
      <c r="H196" s="244">
        <f>IF('รวมครุภัณฑ์ 70'!Q21="","",'รวมครุภัณฑ์ 70'!Q21)</f>
        <v>24</v>
      </c>
      <c r="I196" s="244" t="str">
        <f>IF('รวมครุภัณฑ์ 70'!R21="","",'รวมครุภัณฑ์ 70'!R21)</f>
        <v/>
      </c>
      <c r="J196" s="244"/>
      <c r="K196" s="245">
        <f>'[1]รวมครุภัณฑ์ 70 (data)'!L22</f>
        <v>40800</v>
      </c>
      <c r="L196" s="245" t="str">
        <f t="shared" si="0"/>
        <v>ทดแทนครุภัณฑ์เดิม</v>
      </c>
    </row>
    <row r="197" spans="1:12">
      <c r="A197" s="241" t="s">
        <v>1505</v>
      </c>
      <c r="B197" s="244">
        <f>'[1]รวมครุภัณฑ์ 70 (data)'!B23</f>
        <v>2570</v>
      </c>
      <c r="C197" s="241" t="s">
        <v>447</v>
      </c>
      <c r="D197" s="244" t="str">
        <f>'[1]รวมครุภัณฑ์ 70 (data)'!C23</f>
        <v>ครุภัณฑ์สำนักงาน</v>
      </c>
      <c r="E197" s="244" t="str">
        <f>'[1]รวมครุภัณฑ์ 70 (data)'!G23</f>
        <v>พัดลมติดผนัง ขนาด 18 นิ้ว</v>
      </c>
      <c r="F197" s="244" t="str">
        <f>'[1]รวมครุภัณฑ์ 70 (data)'!H23</f>
        <v>สคม.ระนอง</v>
      </c>
      <c r="G197" s="244" t="str">
        <f>'[1]รวมครุภัณฑ์ 70 (data)'!J23</f>
        <v>ระนอง</v>
      </c>
      <c r="H197" s="244" t="str">
        <f>IF('รวมครุภัณฑ์ 70'!Q22="","",'รวมครุภัณฑ์ 70'!Q22)</f>
        <v/>
      </c>
      <c r="I197" s="244">
        <f>IF('รวมครุภัณฑ์ 70'!R22="","",'รวมครุภัณฑ์ 70'!R22)</f>
        <v>18</v>
      </c>
      <c r="J197" s="244"/>
      <c r="K197" s="245">
        <f>'[1]รวมครุภัณฑ์ 70 (data)'!L23</f>
        <v>34200</v>
      </c>
      <c r="L197" s="245" t="str">
        <f t="shared" si="0"/>
        <v>เพิ่มประสิทธิภาพ</v>
      </c>
    </row>
    <row r="198" spans="1:12">
      <c r="A198" s="241" t="s">
        <v>1506</v>
      </c>
      <c r="B198" s="244">
        <f>'[1]รวมครุภัณฑ์ 70 (data)'!B24</f>
        <v>2570</v>
      </c>
      <c r="C198" s="241" t="s">
        <v>447</v>
      </c>
      <c r="D198" s="244" t="str">
        <f>'[1]รวมครุภัณฑ์ 70 (data)'!C24</f>
        <v>ครุภัณฑ์สำนักงาน</v>
      </c>
      <c r="E198" s="244" t="str">
        <f>'[1]รวมครุภัณฑ์ 70 (data)'!G24</f>
        <v>โต๊ะทำงานพร้อมเก้าอี้ระดับ 7-9</v>
      </c>
      <c r="F198" s="244" t="str">
        <f>'[1]รวมครุภัณฑ์ 70 (data)'!H24</f>
        <v>สคม.ระนอง</v>
      </c>
      <c r="G198" s="244" t="str">
        <f>'[1]รวมครุภัณฑ์ 70 (data)'!J24</f>
        <v>ระนอง</v>
      </c>
      <c r="H198" s="244">
        <f>IF('รวมครุภัณฑ์ 70'!Q23="","",'รวมครุภัณฑ์ 70'!Q23)</f>
        <v>1</v>
      </c>
      <c r="I198" s="244" t="str">
        <f>IF('รวมครุภัณฑ์ 70'!R23="","",'รวมครุภัณฑ์ 70'!R23)</f>
        <v/>
      </c>
      <c r="J198" s="244"/>
      <c r="K198" s="245">
        <f>'[1]รวมครุภัณฑ์ 70 (data)'!L24</f>
        <v>24000</v>
      </c>
      <c r="L198" s="245" t="str">
        <f t="shared" si="0"/>
        <v>ทดแทนครุภัณฑ์เดิม</v>
      </c>
    </row>
    <row r="199" spans="1:12">
      <c r="A199" s="241" t="s">
        <v>1507</v>
      </c>
      <c r="B199" s="244">
        <f>'[1]รวมครุภัณฑ์ 70 (data)'!B25</f>
        <v>2570</v>
      </c>
      <c r="C199" s="241" t="s">
        <v>447</v>
      </c>
      <c r="D199" s="244" t="str">
        <f>'[1]รวมครุภัณฑ์ 70 (data)'!C25</f>
        <v>ครุภัณฑ์ยานพาหนะและขนส่ง</v>
      </c>
      <c r="E199" s="244" t="str">
        <f>'[1]รวมครุภัณฑ์ 70 (data)'!G25</f>
        <v xml:space="preserve"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</v>
      </c>
      <c r="F199" s="244" t="str">
        <f>'[1]รวมครุภัณฑ์ 70 (data)'!H25</f>
        <v>สคม.ระนอง</v>
      </c>
      <c r="G199" s="244" t="str">
        <f>'[1]รวมครุภัณฑ์ 70 (data)'!J25</f>
        <v>ระนอง</v>
      </c>
      <c r="H199" s="244">
        <f>IF('รวมครุภัณฑ์ 70'!Q24="","",'รวมครุภัณฑ์ 70'!Q24)</f>
        <v>1</v>
      </c>
      <c r="I199" s="244" t="str">
        <f>IF('รวมครุภัณฑ์ 70'!R24="","",'รวมครุภัณฑ์ 70'!R24)</f>
        <v/>
      </c>
      <c r="J199" s="244"/>
      <c r="K199" s="245">
        <f>'[1]รวมครุภัณฑ์ 70 (data)'!L25</f>
        <v>1450000</v>
      </c>
      <c r="L199" s="245" t="str">
        <f t="shared" si="0"/>
        <v>ทดแทนครุภัณฑ์เดิม</v>
      </c>
    </row>
    <row r="200" spans="1:12">
      <c r="A200" s="241" t="s">
        <v>1508</v>
      </c>
      <c r="B200" s="244">
        <f>'[1]รวมครุภัณฑ์ 70 (data)'!B26</f>
        <v>2570</v>
      </c>
      <c r="C200" s="241" t="s">
        <v>447</v>
      </c>
      <c r="D200" s="244" t="str">
        <f>'[1]รวมครุภัณฑ์ 70 (data)'!C26</f>
        <v>ครุภัณฑ์งานบ้านงานครัว</v>
      </c>
      <c r="E200" s="244" t="str">
        <f>'[1]รวมครุภัณฑ์ 70 (data)'!G26</f>
        <v>ตู้เย็น ขนาด 20 คิวบิตฟุต</v>
      </c>
      <c r="F200" s="244" t="str">
        <f>'[1]รวมครุภัณฑ์ 70 (data)'!H26</f>
        <v>สคม.ระนอง</v>
      </c>
      <c r="G200" s="244" t="str">
        <f>'[1]รวมครุภัณฑ์ 70 (data)'!J26</f>
        <v>ระนอง</v>
      </c>
      <c r="H200" s="244">
        <f>IF('รวมครุภัณฑ์ 70'!Q25="","",'รวมครุภัณฑ์ 70'!Q25)</f>
        <v>1</v>
      </c>
      <c r="I200" s="244" t="str">
        <f>IF('รวมครุภัณฑ์ 70'!R25="","",'รวมครุภัณฑ์ 70'!R25)</f>
        <v/>
      </c>
      <c r="J200" s="244"/>
      <c r="K200" s="245">
        <f>'[1]รวมครุภัณฑ์ 70 (data)'!L26</f>
        <v>26000</v>
      </c>
      <c r="L200" s="245" t="str">
        <f t="shared" si="0"/>
        <v>ทดแทนครุภัณฑ์เดิม</v>
      </c>
    </row>
    <row r="201" spans="1:12">
      <c r="A201" s="241" t="s">
        <v>1509</v>
      </c>
      <c r="B201" s="244">
        <f>'[1]รวมครุภัณฑ์ 70 (data)'!B27</f>
        <v>2570</v>
      </c>
      <c r="C201" s="241" t="s">
        <v>447</v>
      </c>
      <c r="D201" s="244" t="str">
        <f>'[1]รวมครุภัณฑ์ 70 (data)'!C27</f>
        <v>ครุภัณฑ์ยานพาหนะและขนส่ง</v>
      </c>
      <c r="E201" s="244" t="str">
        <f>'[1]รวมครุภัณฑ์ 70 (data)'!G27</f>
        <v>รถบรรทุก (ดีเซล) ขนาด 1 ตัน ปริมาตรกระบอกสูบไม่ต่ำกว่า 2,400 ซีซี หรือกำลังเครื่องยนต์สูงสุดไม่ต่ำกว่า 110 กิโลวัตต์ ขับเคลื่อน 4 ล้อ แบบดับเบิ้ลแค็บ</v>
      </c>
      <c r="F201" s="244" t="str">
        <f>'[1]รวมครุภัณฑ์ 70 (data)'!H27</f>
        <v>สคม.สงขลา</v>
      </c>
      <c r="G201" s="244" t="str">
        <f>'[1]รวมครุภัณฑ์ 70 (data)'!J27</f>
        <v>สงขลา</v>
      </c>
      <c r="H201" s="244">
        <f>IF('รวมครุภัณฑ์ 70'!Q26="","",'รวมครุภัณฑ์ 70'!Q26)</f>
        <v>1</v>
      </c>
      <c r="I201" s="244" t="str">
        <f>IF('รวมครุภัณฑ์ 70'!R26="","",'รวมครุภัณฑ์ 70'!R26)</f>
        <v/>
      </c>
      <c r="J201" s="244"/>
      <c r="K201" s="245">
        <f>'[1]รวมครุภัณฑ์ 70 (data)'!L27</f>
        <v>1172000</v>
      </c>
      <c r="L201" s="245" t="str">
        <f t="shared" si="0"/>
        <v>ทดแทนครุภัณฑ์เดิม</v>
      </c>
    </row>
    <row r="202" spans="1:12">
      <c r="A202" s="241" t="s">
        <v>1510</v>
      </c>
      <c r="B202" s="244">
        <f>'[1]รวมครุภัณฑ์ 70 (data)'!B28</f>
        <v>2570</v>
      </c>
      <c r="C202" s="241" t="s">
        <v>447</v>
      </c>
      <c r="D202" s="244" t="str">
        <f>'[1]รวมครุภัณฑ์ 70 (data)'!C28</f>
        <v>ครุภัณฑ์การเกษตร</v>
      </c>
      <c r="E202" s="244" t="str">
        <f>'[1]รวมครุภัณฑ์ 70 (data)'!G28</f>
        <v>เครื่องเลื่อยยนต์ รุ่น 5800 ลูกสูบ 58 มิล</v>
      </c>
      <c r="F202" s="244" t="str">
        <f>'[1]รวมครุภัณฑ์ 70 (data)'!H28</f>
        <v>สคม.สงขลา</v>
      </c>
      <c r="G202" s="244" t="str">
        <f>'[1]รวมครุภัณฑ์ 70 (data)'!J28</f>
        <v>สงขลา</v>
      </c>
      <c r="H202" s="244" t="str">
        <f>IF('รวมครุภัณฑ์ 70'!Q27="","",'รวมครุภัณฑ์ 70'!Q27)</f>
        <v/>
      </c>
      <c r="I202" s="244">
        <f>IF('รวมครุภัณฑ์ 70'!R27="","",'รวมครุภัณฑ์ 70'!R27)</f>
        <v>1</v>
      </c>
      <c r="J202" s="244"/>
      <c r="K202" s="245">
        <f>'[1]รวมครุภัณฑ์ 70 (data)'!L28</f>
        <v>3200</v>
      </c>
      <c r="L202" s="245" t="str">
        <f t="shared" si="0"/>
        <v>เพิ่มประสิทธิภาพ</v>
      </c>
    </row>
    <row r="203" spans="1:12">
      <c r="A203" s="241" t="s">
        <v>1511</v>
      </c>
      <c r="B203" s="244">
        <f>'[1]รวมครุภัณฑ์ 70 (data)'!B29</f>
        <v>2570</v>
      </c>
      <c r="C203" s="241" t="s">
        <v>447</v>
      </c>
      <c r="D203" s="244" t="str">
        <f>'[1]รวมครุภัณฑ์ 70 (data)'!C29</f>
        <v>ครุภัณฑ์งานบ้านงานครัว</v>
      </c>
      <c r="E203" s="244" t="str">
        <f>'[1]รวมครุภัณฑ์ 70 (data)'!G29</f>
        <v>เครื่องฉีดน้ำแรงดันสูง ขนาดแรงดันไม่น้อยกว่า 180 บาร์</v>
      </c>
      <c r="F203" s="244" t="str">
        <f>'[1]รวมครุภัณฑ์ 70 (data)'!H29</f>
        <v>สคม.บ้านเกร็ดตระการ</v>
      </c>
      <c r="G203" s="244" t="str">
        <f>'[1]รวมครุภัณฑ์ 70 (data)'!J29</f>
        <v>นนทบุรี</v>
      </c>
      <c r="H203" s="244" t="str">
        <f>IF('รวมครุภัณฑ์ 70'!Q28="","",'รวมครุภัณฑ์ 70'!Q28)</f>
        <v/>
      </c>
      <c r="I203" s="244">
        <f>IF('รวมครุภัณฑ์ 70'!R28="","",'รวมครุภัณฑ์ 70'!R28)</f>
        <v>1</v>
      </c>
      <c r="J203" s="244"/>
      <c r="K203" s="245">
        <f>'[1]รวมครุภัณฑ์ 70 (data)'!L29</f>
        <v>53500</v>
      </c>
      <c r="L203" s="245" t="str">
        <f t="shared" si="0"/>
        <v>เพิ่มประสิทธิภาพ</v>
      </c>
    </row>
    <row r="204" spans="1:12">
      <c r="A204" s="241" t="s">
        <v>1512</v>
      </c>
      <c r="B204" s="244">
        <f>'[1]รวมครุภัณฑ์ 70 (data)'!B30</f>
        <v>2570</v>
      </c>
      <c r="C204" s="241" t="s">
        <v>447</v>
      </c>
      <c r="D204" s="244" t="str">
        <f>'[1]รวมครุภัณฑ์ 70 (data)'!C30</f>
        <v>ครุภัณฑ์สำนักงาน</v>
      </c>
      <c r="E204" s="244" t="str">
        <f>'[1]รวมครุภัณฑ์ 70 (data)'!G30</f>
        <v>ตู้เหล็ก 2 ลิ้นชัก</v>
      </c>
      <c r="F204" s="244" t="str">
        <f>'[1]รวมครุภัณฑ์ 70 (data)'!H30</f>
        <v>สคม.บ้านเกร็ดตระการ</v>
      </c>
      <c r="G204" s="244" t="str">
        <f>'[1]รวมครุภัณฑ์ 70 (data)'!J30</f>
        <v>นนทบุรี</v>
      </c>
      <c r="H204" s="244" t="str">
        <f>IF('รวมครุภัณฑ์ 70'!Q29="","",'รวมครุภัณฑ์ 70'!Q29)</f>
        <v/>
      </c>
      <c r="I204" s="244">
        <f>IF('รวมครุภัณฑ์ 70'!R29="","",'รวมครุภัณฑ์ 70'!R29)</f>
        <v>200</v>
      </c>
      <c r="J204" s="244"/>
      <c r="K204" s="245">
        <f>'[1]รวมครุภัณฑ์ 70 (data)'!L30</f>
        <v>498000</v>
      </c>
      <c r="L204" s="245" t="str">
        <f t="shared" si="0"/>
        <v>เพิ่มประสิทธิภาพ</v>
      </c>
    </row>
    <row r="205" spans="1:12">
      <c r="A205" s="241" t="s">
        <v>1513</v>
      </c>
      <c r="B205" s="244">
        <f>'[1]รวมครุภัณฑ์ 70 (data)'!B31</f>
        <v>2570</v>
      </c>
      <c r="C205" s="241" t="s">
        <v>447</v>
      </c>
      <c r="D205" s="244" t="str">
        <f>'[1]รวมครุภัณฑ์ 70 (data)'!C31</f>
        <v>ครุภัณฑ์สำนักงาน</v>
      </c>
      <c r="E205" s="244" t="str">
        <f>'[1]รวมครุภัณฑ์ 70 (data)'!G31</f>
        <v xml:space="preserve">เครื่องทำลายเอกสาร แบบตัดตรง ทำลายครั้งละ 30 แผ่น </v>
      </c>
      <c r="F205" s="244" t="str">
        <f>'[1]รวมครุภัณฑ์ 70 (data)'!H31</f>
        <v>สคม.บ้านเกร็ดตระการ</v>
      </c>
      <c r="G205" s="244" t="str">
        <f>'[1]รวมครุภัณฑ์ 70 (data)'!J31</f>
        <v>นนทบุรี</v>
      </c>
      <c r="H205" s="244" t="str">
        <f>IF('รวมครุภัณฑ์ 70'!Q30="","",'รวมครุภัณฑ์ 70'!Q30)</f>
        <v/>
      </c>
      <c r="I205" s="244">
        <f>IF('รวมครุภัณฑ์ 70'!R30="","",'รวมครุภัณฑ์ 70'!R30)</f>
        <v>1</v>
      </c>
      <c r="J205" s="244"/>
      <c r="K205" s="245">
        <f>'[1]รวมครุภัณฑ์ 70 (data)'!L31</f>
        <v>63000</v>
      </c>
      <c r="L205" s="245" t="str">
        <f t="shared" si="0"/>
        <v>เพิ่มประสิทธิภาพ</v>
      </c>
    </row>
    <row r="206" spans="1:12">
      <c r="A206" s="241" t="s">
        <v>1514</v>
      </c>
      <c r="B206" s="244">
        <f>'[1]รวมครุภัณฑ์ 70 (data)'!B32</f>
        <v>2570</v>
      </c>
      <c r="C206" s="241" t="s">
        <v>447</v>
      </c>
      <c r="D206" s="244" t="str">
        <f>'[1]รวมครุภัณฑ์ 70 (data)'!C32</f>
        <v>ครุภัณฑ์งานบ้านงานครัว</v>
      </c>
      <c r="E206" s="244" t="str">
        <f>'[1]รวมครุภัณฑ์ 70 (data)'!G32</f>
        <v xml:space="preserve">ผ้าม่านและอุปกรณ์พร้อมติดตั้งอาคารเรือนนอนผู้รับบริการ </v>
      </c>
      <c r="F206" s="244" t="str">
        <f>'[1]รวมครุภัณฑ์ 70 (data)'!H32</f>
        <v>สคม.บ้านนารีสวัสดิ์</v>
      </c>
      <c r="G206" s="244" t="str">
        <f>'[1]รวมครุภัณฑ์ 70 (data)'!J32</f>
        <v>นครราชสีมา</v>
      </c>
      <c r="H206" s="244" t="str">
        <f>IF('รวมครุภัณฑ์ 70'!Q31="","",'รวมครุภัณฑ์ 70'!Q31)</f>
        <v/>
      </c>
      <c r="I206" s="244">
        <f>IF('รวมครุภัณฑ์ 70'!R31="","",'รวมครุภัณฑ์ 70'!R31)</f>
        <v>1</v>
      </c>
      <c r="J206" s="244"/>
      <c r="K206" s="245">
        <f>'[1]รวมครุภัณฑ์ 70 (data)'!L32</f>
        <v>165000</v>
      </c>
      <c r="L206" s="245" t="str">
        <f t="shared" si="0"/>
        <v>เพิ่มประสิทธิภาพ</v>
      </c>
    </row>
    <row r="207" spans="1:12">
      <c r="A207" s="241" t="s">
        <v>1515</v>
      </c>
      <c r="B207" s="244">
        <f>'[1]รวมครุภัณฑ์ 70 (data)'!B33</f>
        <v>2570</v>
      </c>
      <c r="C207" s="241" t="s">
        <v>447</v>
      </c>
      <c r="D207" s="244" t="str">
        <f>'[1]รวมครุภัณฑ์ 70 (data)'!C33</f>
        <v>ครุภัณฑ์การเกษตร</v>
      </c>
      <c r="E207" s="244" t="str">
        <f>'[1]รวมครุภัณฑ์ 70 (data)'!G33</f>
        <v>เครื่องสูบน้ำ มอเตอร์ไฟฟ้าสูบน้ำได้ 1,500 ลิตรต่อนาที</v>
      </c>
      <c r="F207" s="244" t="str">
        <f>'[1]รวมครุภัณฑ์ 70 (data)'!H33</f>
        <v>สคม.บ้านนารีสวัสดิ์</v>
      </c>
      <c r="G207" s="244" t="str">
        <f>'[1]รวมครุภัณฑ์ 70 (data)'!J33</f>
        <v>นครราชสีมา</v>
      </c>
      <c r="H207" s="244">
        <f>IF('รวมครุภัณฑ์ 70'!Q32="","",'รวมครุภัณฑ์ 70'!Q32)</f>
        <v>1</v>
      </c>
      <c r="I207" s="244" t="str">
        <f>IF('รวมครุภัณฑ์ 70'!R32="","",'รวมครุภัณฑ์ 70'!R32)</f>
        <v/>
      </c>
      <c r="J207" s="244"/>
      <c r="K207" s="245">
        <f>'[1]รวมครุภัณฑ์ 70 (data)'!L33</f>
        <v>38000</v>
      </c>
      <c r="L207" s="245" t="str">
        <f t="shared" si="0"/>
        <v>ทดแทนครุภัณฑ์เดิม</v>
      </c>
    </row>
    <row r="208" spans="1:12">
      <c r="A208" s="241" t="s">
        <v>1516</v>
      </c>
      <c r="B208" s="244">
        <f>'[1]รวมครุภัณฑ์ 70 (data)'!B34</f>
        <v>2570</v>
      </c>
      <c r="C208" s="241" t="s">
        <v>447</v>
      </c>
      <c r="D208" s="244" t="str">
        <f>'[1]รวมครุภัณฑ์ 70 (data)'!C34</f>
        <v>ครุภัณฑ์งานบ้านงานครัว</v>
      </c>
      <c r="E208" s="244" t="str">
        <f>'[1]รวมครุภัณฑ์ 70 (data)'!G34</f>
        <v xml:space="preserve">ปั๊มน้ำอัตโนมัติแรงดันคงที่ 150 วัตต์ </v>
      </c>
      <c r="F208" s="244" t="str">
        <f>'[1]รวมครุภัณฑ์ 70 (data)'!H34</f>
        <v>สคม.บ้านนารีสวัสดิ์</v>
      </c>
      <c r="G208" s="244" t="str">
        <f>'[1]รวมครุภัณฑ์ 70 (data)'!J34</f>
        <v>นครราชสีมา</v>
      </c>
      <c r="H208" s="244" t="str">
        <f>IF('รวมครุภัณฑ์ 70'!Q33="","",'รวมครุภัณฑ์ 70'!Q33)</f>
        <v/>
      </c>
      <c r="I208" s="244">
        <f>IF('รวมครุภัณฑ์ 70'!R33="","",'รวมครุภัณฑ์ 70'!R33)</f>
        <v>5</v>
      </c>
      <c r="J208" s="244"/>
      <c r="K208" s="245">
        <f>'[1]รวมครุภัณฑ์ 70 (data)'!L34</f>
        <v>57950</v>
      </c>
      <c r="L208" s="245" t="str">
        <f t="shared" si="0"/>
        <v>เพิ่มประสิทธิภาพ</v>
      </c>
    </row>
    <row r="209" spans="1:12">
      <c r="A209" s="241" t="s">
        <v>1517</v>
      </c>
      <c r="B209" s="244">
        <f>'[1]รวมครุภัณฑ์ 70 (data)'!B35</f>
        <v>2570</v>
      </c>
      <c r="C209" s="241" t="s">
        <v>447</v>
      </c>
      <c r="D209" s="244" t="str">
        <f>'[1]รวมครุภัณฑ์ 70 (data)'!C35</f>
        <v>ครุภัณฑ์สำนักงาน</v>
      </c>
      <c r="E209" s="244" t="str">
        <f>'[1]รวมครุภัณฑ์ 70 (data)'!G35</f>
        <v xml:space="preserve">ถังน้ำ แบบไฟเบอร์กลาส ขนาดความจุ 1,500 ลิตร </v>
      </c>
      <c r="F209" s="244" t="str">
        <f>'[1]รวมครุภัณฑ์ 70 (data)'!H35</f>
        <v>สคม.บ้านนารีสวัสดิ์</v>
      </c>
      <c r="G209" s="244" t="str">
        <f>'[1]รวมครุภัณฑ์ 70 (data)'!J35</f>
        <v>นครราชสีมา</v>
      </c>
      <c r="H209" s="244" t="str">
        <f>IF('รวมครุภัณฑ์ 70'!Q34="","",'รวมครุภัณฑ์ 70'!Q34)</f>
        <v/>
      </c>
      <c r="I209" s="244">
        <f>IF('รวมครุภัณฑ์ 70'!R34="","",'รวมครุภัณฑ์ 70'!R34)</f>
        <v>5</v>
      </c>
      <c r="J209" s="244"/>
      <c r="K209" s="245">
        <f>'[1]รวมครุภัณฑ์ 70 (data)'!L35</f>
        <v>37500</v>
      </c>
      <c r="L209" s="245" t="str">
        <f t="shared" si="0"/>
        <v>เพิ่มประสิทธิภาพ</v>
      </c>
    </row>
    <row r="210" spans="1:12">
      <c r="A210" s="241" t="s">
        <v>1518</v>
      </c>
      <c r="B210" s="244">
        <f>'[1]รวมครุภัณฑ์ 70 (data)'!B36</f>
        <v>2570</v>
      </c>
      <c r="C210" s="241" t="s">
        <v>447</v>
      </c>
      <c r="D210" s="244" t="str">
        <f>'[1]รวมครุภัณฑ์ 70 (data)'!C36</f>
        <v>ครุภัณฑ์งานบ้านงานครัว</v>
      </c>
      <c r="E210" s="244" t="str">
        <f>'[1]รวมครุภัณฑ์ 70 (data)'!G36</f>
        <v>เครื่องตัดหญ้า แบบข้อแข็ง</v>
      </c>
      <c r="F210" s="244" t="str">
        <f>'[1]รวมครุภัณฑ์ 70 (data)'!H36</f>
        <v>สคม.บ้านนารีสวัสดิ์</v>
      </c>
      <c r="G210" s="244" t="str">
        <f>'[1]รวมครุภัณฑ์ 70 (data)'!J36</f>
        <v>นครราชสีมา</v>
      </c>
      <c r="H210" s="244" t="str">
        <f>IF('รวมครุภัณฑ์ 70'!Q35="","",'รวมครุภัณฑ์ 70'!Q35)</f>
        <v/>
      </c>
      <c r="I210" s="244">
        <f>IF('รวมครุภัณฑ์ 70'!R35="","",'รวมครุภัณฑ์ 70'!R35)</f>
        <v>1</v>
      </c>
      <c r="J210" s="244"/>
      <c r="K210" s="245">
        <f>'[1]รวมครุภัณฑ์ 70 (data)'!L36</f>
        <v>9500</v>
      </c>
      <c r="L210" s="245" t="str">
        <f t="shared" si="0"/>
        <v>เพิ่มประสิทธิภาพ</v>
      </c>
    </row>
    <row r="211" spans="1:12">
      <c r="A211" s="241" t="s">
        <v>1519</v>
      </c>
      <c r="B211" s="244">
        <f>'[1]รวมครุภัณฑ์ 70 (data)'!B37</f>
        <v>2570</v>
      </c>
      <c r="C211" s="241" t="s">
        <v>447</v>
      </c>
      <c r="D211" s="244" t="str">
        <f>'[1]รวมครุภัณฑ์ 70 (data)'!C37</f>
        <v>ครุภัณฑ์การเกษตร</v>
      </c>
      <c r="E211" s="244" t="str">
        <f>'[1]รวมครุภัณฑ์ 70 (data)'!G37</f>
        <v xml:space="preserve">เครื่องสูบน้ำแบบหอยโข่ง มอเตอร์ไฟฟ้า สูบน้ำได้ 450 ลิตรต่อนาที </v>
      </c>
      <c r="F211" s="244" t="str">
        <f>'[1]รวมครุภัณฑ์ 70 (data)'!H37</f>
        <v>สคม.บ้านศรีสุราษฎร์</v>
      </c>
      <c r="G211" s="244" t="str">
        <f>'[1]รวมครุภัณฑ์ 70 (data)'!J37</f>
        <v>สุราษฎร์ธานี</v>
      </c>
      <c r="H211" s="244">
        <f>IF('รวมครุภัณฑ์ 70'!Q36="","",'รวมครุภัณฑ์ 70'!Q36)</f>
        <v>1</v>
      </c>
      <c r="I211" s="244" t="str">
        <f>IF('รวมครุภัณฑ์ 70'!R36="","",'รวมครุภัณฑ์ 70'!R36)</f>
        <v/>
      </c>
      <c r="J211" s="244"/>
      <c r="K211" s="245">
        <f>'[1]รวมครุภัณฑ์ 70 (data)'!L37</f>
        <v>9700</v>
      </c>
      <c r="L211" s="245" t="str">
        <f t="shared" si="0"/>
        <v>ทดแทนครุภัณฑ์เดิม</v>
      </c>
    </row>
    <row r="212" spans="1:12">
      <c r="A212" s="241" t="s">
        <v>1520</v>
      </c>
      <c r="B212" s="244">
        <f>'[1]รวมครุภัณฑ์ 70 (data)'!B38</f>
        <v>2570</v>
      </c>
      <c r="C212" s="241" t="s">
        <v>447</v>
      </c>
      <c r="D212" s="244" t="str">
        <f>'[1]รวมครุภัณฑ์ 70 (data)'!C38</f>
        <v>ครุภัณฑ์การเกษตร</v>
      </c>
      <c r="E212" s="244" t="str">
        <f>'[1]รวมครุภัณฑ์ 70 (data)'!G38</f>
        <v xml:space="preserve">เครื่องสูบน้ำ แบบหอยโข่ง มอเตอร์ไฟฟ้า
</v>
      </c>
      <c r="F212" s="244" t="str">
        <f>'[1]รวมครุภัณฑ์ 70 (data)'!H38</f>
        <v>สคม.บ้านสองแคว</v>
      </c>
      <c r="G212" s="244" t="str">
        <f>'[1]รวมครุภัณฑ์ 70 (data)'!J38</f>
        <v>พิษณุโลก</v>
      </c>
      <c r="H212" s="244">
        <f>IF('รวมครุภัณฑ์ 70'!Q37="","",'รวมครุภัณฑ์ 70'!Q37)</f>
        <v>1</v>
      </c>
      <c r="I212" s="244" t="str">
        <f>IF('รวมครุภัณฑ์ 70'!R37="","",'รวมครุภัณฑ์ 70'!R37)</f>
        <v/>
      </c>
      <c r="J212" s="244"/>
      <c r="K212" s="245">
        <f>'[1]รวมครุภัณฑ์ 70 (data)'!L38</f>
        <v>19800</v>
      </c>
      <c r="L212" s="245" t="str">
        <f t="shared" si="0"/>
        <v>ทดแทนครุภัณฑ์เดิม</v>
      </c>
    </row>
    <row r="213" spans="1:12">
      <c r="A213" s="241" t="s">
        <v>1521</v>
      </c>
      <c r="B213" s="244">
        <f>'[1]รวมครุภัณฑ์ 70 (data)'!B39</f>
        <v>2570</v>
      </c>
      <c r="C213" s="241" t="s">
        <v>447</v>
      </c>
      <c r="D213" s="244" t="str">
        <f>'[1]รวมครุภัณฑ์ 70 (data)'!C39</f>
        <v>ครุภัณฑ์การเกษตร</v>
      </c>
      <c r="E213" s="244" t="str">
        <f>'[1]รวมครุภัณฑ์ 70 (data)'!G39</f>
        <v>ปั๊มบาดาล</v>
      </c>
      <c r="F213" s="244" t="str">
        <f>'[1]รวมครุภัณฑ์ 70 (data)'!H39</f>
        <v>สคม.บ้านสองแคว</v>
      </c>
      <c r="G213" s="244" t="str">
        <f>'[1]รวมครุภัณฑ์ 70 (data)'!J39</f>
        <v>พิษณุโลก</v>
      </c>
      <c r="H213" s="244">
        <f>IF('รวมครุภัณฑ์ 70'!Q38="","",'รวมครุภัณฑ์ 70'!Q38)</f>
        <v>1</v>
      </c>
      <c r="I213" s="244" t="str">
        <f>IF('รวมครุภัณฑ์ 70'!R38="","",'รวมครุภัณฑ์ 70'!R38)</f>
        <v/>
      </c>
      <c r="J213" s="244"/>
      <c r="K213" s="245">
        <f>'[1]รวมครุภัณฑ์ 70 (data)'!L39</f>
        <v>46200</v>
      </c>
      <c r="L213" s="245" t="str">
        <f t="shared" si="0"/>
        <v>ทดแทนครุภัณฑ์เดิม</v>
      </c>
    </row>
    <row r="214" spans="1:12">
      <c r="A214" s="241" t="s">
        <v>1522</v>
      </c>
      <c r="B214" s="244">
        <f>'[1]รวมครุภัณฑ์ 70 (data)'!B40</f>
        <v>2570</v>
      </c>
      <c r="C214" s="241" t="s">
        <v>447</v>
      </c>
      <c r="D214" s="244" t="str">
        <f>'[1]รวมครุภัณฑ์ 70 (data)'!C40</f>
        <v>ครุภัณฑ์โฆษณาและเผยแพร่</v>
      </c>
      <c r="E214" s="244" t="str">
        <f>'[1]รวมครุภัณฑ์ 70 (data)'!G40</f>
        <v xml:space="preserve">กล้องถ่ายภาพระบบดิจิตอล </v>
      </c>
      <c r="F214" s="244" t="str">
        <f>'[1]รวมครุภัณฑ์ 70 (data)'!H40</f>
        <v>สคม.บ้านสองแคว</v>
      </c>
      <c r="G214" s="244" t="str">
        <f>'[1]รวมครุภัณฑ์ 70 (data)'!J40</f>
        <v>พิษณุโลก</v>
      </c>
      <c r="H214" s="244">
        <f>IF('รวมครุภัณฑ์ 70'!Q39="","",'รวมครุภัณฑ์ 70'!Q39)</f>
        <v>1</v>
      </c>
      <c r="I214" s="244" t="str">
        <f>IF('รวมครุภัณฑ์ 70'!R39="","",'รวมครุภัณฑ์ 70'!R39)</f>
        <v/>
      </c>
      <c r="J214" s="244"/>
      <c r="K214" s="245">
        <f>'[1]รวมครุภัณฑ์ 70 (data)'!L40</f>
        <v>34900</v>
      </c>
      <c r="L214" s="245" t="str">
        <f t="shared" si="0"/>
        <v>ทดแทนครุภัณฑ์เดิม</v>
      </c>
    </row>
    <row r="215" spans="1:12">
      <c r="A215" s="241" t="s">
        <v>1523</v>
      </c>
      <c r="B215" s="244">
        <f>'[1]รวมครุภัณฑ์ 70 (data)'!B41</f>
        <v>2570</v>
      </c>
      <c r="C215" s="241" t="s">
        <v>447</v>
      </c>
      <c r="D215" s="244" t="str">
        <f>'[1]รวมครุภัณฑ์ 70 (data)'!C41</f>
        <v>ครุภัณฑ์คอมพิวเตอร์</v>
      </c>
      <c r="E215" s="244" t="str">
        <f>'[1]รวมครุภัณฑ์ 70 (data)'!G41</f>
        <v>โครงการเชื่อมโยงข้อมูลจากระบบฐานข้อมูลบันทึกคดีสำคัญ (CDC) สำนักงานศาลยุติธรรม ข้อมูลการคัดกรองจากระบบ ANTI LABOUR TRAFFICKING ของกระทรวงแรงงาน และระบบฐานข้อมูลขนาดใหญ่ (Big Data) เพื่อบริหารสวัสดิการสังคม กระทรวง พม. กับระบบฐานข้อมูลของประเทศไทย ด้านการดำเนินคดีและการช่วยเหลือผู้เสียหายจากการค้ามนุษย์ (E-AHT)</v>
      </c>
      <c r="F215" s="244" t="str">
        <f>'[1]รวมครุภัณฑ์ 70 (data)'!H41</f>
        <v>กคม.</v>
      </c>
      <c r="G215" s="244" t="str">
        <f>'[1]รวมครุภัณฑ์ 70 (data)'!J41</f>
        <v>กรุงเทพมหานคร</v>
      </c>
      <c r="H215" s="244" t="str">
        <f>IF('รวมครุภัณฑ์ 70'!Q40="","",'รวมครุภัณฑ์ 70'!Q40)</f>
        <v/>
      </c>
      <c r="I215" s="244">
        <f>IF('รวมครุภัณฑ์ 70'!R40="","",'รวมครุภัณฑ์ 70'!R40)</f>
        <v>1</v>
      </c>
      <c r="J215" s="244"/>
      <c r="K215" s="245">
        <f>'[1]รวมครุภัณฑ์ 70 (data)'!L41</f>
        <v>3073000</v>
      </c>
      <c r="L215" s="245" t="str">
        <f t="shared" si="0"/>
        <v>เพิ่มประสิทธิภาพ</v>
      </c>
    </row>
    <row r="216" spans="1:12">
      <c r="A216" s="241" t="s">
        <v>1524</v>
      </c>
      <c r="B216" s="244">
        <f>'[1]รวมครุภัณฑ์ 70 (data)'!B42</f>
        <v>2570</v>
      </c>
      <c r="C216" s="241" t="s">
        <v>447</v>
      </c>
      <c r="D216" s="244" t="str">
        <f>'[1]รวมครุภัณฑ์ 70 (data)'!C42</f>
        <v>ครุภัณฑ์คอมพิวเตอร์</v>
      </c>
      <c r="E216" s="244" t="str">
        <f>'[1]รวมครุภัณฑ์ 70 (data)'!G42</f>
        <v xml:space="preserve">จัดหาครุภัณฑ์คอมพิวเตอร์และอุปกรณ์สำหรับการปฏิบัติงานป้องกันและแก้ไขปัญหาการค้ามนุษย์ในระดับพื้นที่ </v>
      </c>
      <c r="F216" s="244" t="str">
        <f>'[1]รวมครุภัณฑ์ 70 (data)'!H42</f>
        <v>กคม.</v>
      </c>
      <c r="G216" s="244" t="str">
        <f>'[1]รวมครุภัณฑ์ 70 (data)'!J42</f>
        <v>กรุงเทพมหานคร</v>
      </c>
      <c r="H216" s="244">
        <f>IF('รวมครุภัณฑ์ 70'!Q41="","",'รวมครุภัณฑ์ 70'!Q41)</f>
        <v>1</v>
      </c>
      <c r="I216" s="244" t="str">
        <f>IF('รวมครุภัณฑ์ 70'!R41="","",'รวมครุภัณฑ์ 70'!R41)</f>
        <v/>
      </c>
      <c r="J216" s="244"/>
      <c r="K216" s="245">
        <f>'[1]รวมครุภัณฑ์ 70 (data)'!L42</f>
        <v>748800</v>
      </c>
      <c r="L216" s="245" t="str">
        <f t="shared" si="0"/>
        <v>ทดแทนครุภัณฑ์เดิม</v>
      </c>
    </row>
    <row r="217" spans="1:12">
      <c r="A217" s="241" t="s">
        <v>1525</v>
      </c>
      <c r="B217" s="244">
        <f>'[1]รวมครุภัณฑ์ 70 (data)'!B43</f>
        <v>2570</v>
      </c>
      <c r="C217" s="241" t="s">
        <v>447</v>
      </c>
      <c r="D217" s="244" t="str">
        <f>'[1]รวมครุภัณฑ์ 70 (data)'!C43</f>
        <v>ครุภัณฑ์ยานพาหนะและขนส่ง</v>
      </c>
      <c r="E217" s="244" t="str">
        <f>'[1]รวมครุภัณฑ์ 70 (data)'!G43</f>
        <v>รถโดยสารขนาด 12 ที่นั่ง (ดีเซล) ปริมาตรกระบอกสูบ
ไม่ต่ำกว่า 2,400 ซีซี    หรือกำลังเครื่องยนต์สูงสุด
ไม่ต่ำกว่า 90 กิโลวัตต์</v>
      </c>
      <c r="F217" s="244" t="str">
        <f>'[1]รวมครุภัณฑ์ 70 (data)'!H43</f>
        <v>กตภ.</v>
      </c>
      <c r="G217" s="244" t="str">
        <f>'[1]รวมครุภัณฑ์ 70 (data)'!J43</f>
        <v>กรุงเทพมหานคร</v>
      </c>
      <c r="H217" s="244">
        <f>IF('รวมครุภัณฑ์ 70'!Q42="","",'รวมครุภัณฑ์ 70'!Q42)</f>
        <v>1</v>
      </c>
      <c r="I217" s="244" t="str">
        <f>IF('รวมครุภัณฑ์ 70'!R42="","",'รวมครุภัณฑ์ 70'!R42)</f>
        <v/>
      </c>
      <c r="J217" s="244"/>
      <c r="K217" s="245">
        <f>'[1]รวมครุภัณฑ์ 70 (data)'!L43</f>
        <v>1498000</v>
      </c>
      <c r="L217" s="245" t="str">
        <f t="shared" si="0"/>
        <v>ทดแทนครุภัณฑ์เดิม</v>
      </c>
    </row>
    <row r="218" spans="1:12">
      <c r="A218" s="241" t="s">
        <v>1526</v>
      </c>
      <c r="B218" s="244">
        <f>'[1]รวมครุภัณฑ์ 70 (data)'!B44</f>
        <v>2570</v>
      </c>
      <c r="C218" s="241" t="s">
        <v>447</v>
      </c>
      <c r="D218" s="244" t="str">
        <f>'[1]รวมครุภัณฑ์ 70 (data)'!C44</f>
        <v>ครุภัณฑ์ยานพาหนะและขนส่ง</v>
      </c>
      <c r="E218" s="244" t="str">
        <f>'[1]รวมครุภัณฑ์ 70 (data)'!G44</f>
        <v>รถโดยสารขนาด 12 ที่นั่ง (ดีเซล) ปริมาตรกระบอกสูบ ไม่ต่ำกว่า 2,400 ซีซี หรือกำลังเครื่องยนต์สูงสุดไม่ต่ำกว่า 90 กิโลวัตต์</v>
      </c>
      <c r="F218" s="244" t="str">
        <f>'[1]รวมครุภัณฑ์ 70 (data)'!H44</f>
        <v>กตร.</v>
      </c>
      <c r="G218" s="244" t="str">
        <f>'[1]รวมครุภัณฑ์ 70 (data)'!J44</f>
        <v>กรุงเทพมหานคร</v>
      </c>
      <c r="H218" s="244">
        <f>IF('รวมครุภัณฑ์ 70'!Q43="","",'รวมครุภัณฑ์ 70'!Q43)</f>
        <v>1</v>
      </c>
      <c r="I218" s="244" t="str">
        <f>IF('รวมครุภัณฑ์ 70'!R43="","",'รวมครุภัณฑ์ 70'!R43)</f>
        <v/>
      </c>
      <c r="J218" s="244"/>
      <c r="K218" s="245">
        <f>'[1]รวมครุภัณฑ์ 70 (data)'!L44</f>
        <v>1498000</v>
      </c>
      <c r="L218" s="245" t="str">
        <f t="shared" si="0"/>
        <v>ทดแทนครุภัณฑ์เดิม</v>
      </c>
    </row>
    <row r="219" spans="1:12">
      <c r="A219" s="241" t="s">
        <v>1527</v>
      </c>
      <c r="B219" s="244">
        <f>'[1]รวมครุภัณฑ์ 70 (data)'!B45</f>
        <v>2570</v>
      </c>
      <c r="C219" s="241" t="s">
        <v>447</v>
      </c>
      <c r="D219" s="244" t="str">
        <f>'[1]รวมครุภัณฑ์ 70 (data)'!C45</f>
        <v>ครุภัณฑ์ยานพาหนะและขนส่ง</v>
      </c>
      <c r="E219" s="244" t="str">
        <f>'[1]รวมครุภัณฑ์ 70 (data)'!G45</f>
        <v>รถยนต์ไฟฟ้า ประเภทแบตเตอรี่ (BEV) ที่มีขนาดความจุของแบตเตอรี่มากกว่า 60 กิโลวัตต์/ชั่วโมง (kWh) และกำลังมอเตอร์ไฟฟ้าสูงสุดไม่เกิน 150 กิโลวัตต์</v>
      </c>
      <c r="F219" s="244" t="str">
        <f>'[1]รวมครุภัณฑ์ 70 (data)'!H45</f>
        <v>กตร.</v>
      </c>
      <c r="G219" s="244" t="str">
        <f>'[1]รวมครุภัณฑ์ 70 (data)'!J45</f>
        <v>กรุงเทพมหานคร</v>
      </c>
      <c r="H219" s="244" t="str">
        <f>IF('รวมครุภัณฑ์ 70'!Q44="","",'รวมครุภัณฑ์ 70'!Q44)</f>
        <v/>
      </c>
      <c r="I219" s="244">
        <f>IF('รวมครุภัณฑ์ 70'!R44="","",'รวมครุภัณฑ์ 70'!R44)</f>
        <v>1</v>
      </c>
      <c r="J219" s="244"/>
      <c r="K219" s="245">
        <f>'[1]รวมครุภัณฑ์ 70 (data)'!L45</f>
        <v>918000</v>
      </c>
      <c r="L219" s="245" t="str">
        <f t="shared" si="0"/>
        <v>เพิ่มประสิทธิภาพ</v>
      </c>
    </row>
    <row r="220" spans="1:12">
      <c r="A220" s="241" t="s">
        <v>1528</v>
      </c>
      <c r="B220" s="244">
        <f>'[1]รวมครุภัณฑ์ 70 (data)'!B46</f>
        <v>2570</v>
      </c>
      <c r="C220" s="241" t="s">
        <v>447</v>
      </c>
      <c r="D220" s="244" t="str">
        <f>'[1]รวมครุภัณฑ์ 70 (data)'!C46</f>
        <v>ครุภัณฑ์คอมพิวเตอร์</v>
      </c>
      <c r="E220" s="244" t="str">
        <f>'[1]รวมครุภัณฑ์ 70 (data)'!G46</f>
        <v>รายการพัฒนาระบบตรวจราชการอิเล็กทรอนิกส์ (MSO E-Inspection System) ให้เป็นระบบเว็บแอพพลิเคชั่น (Web-based Application)</v>
      </c>
      <c r="F220" s="244" t="str">
        <f>'[1]รวมครุภัณฑ์ 70 (data)'!H46</f>
        <v>กตร.</v>
      </c>
      <c r="G220" s="244" t="str">
        <f>'[1]รวมครุภัณฑ์ 70 (data)'!J46</f>
        <v>กรุงเทพมหานคร</v>
      </c>
      <c r="H220" s="244" t="str">
        <f>IF('รวมครุภัณฑ์ 70'!Q45="","",'รวมครุภัณฑ์ 70'!Q45)</f>
        <v/>
      </c>
      <c r="I220" s="244">
        <f>IF('รวมครุภัณฑ์ 70'!R45="","",'รวมครุภัณฑ์ 70'!R45)</f>
        <v>1</v>
      </c>
      <c r="J220" s="244"/>
      <c r="K220" s="245">
        <f>'[1]รวมครุภัณฑ์ 70 (data)'!L46</f>
        <v>2000000</v>
      </c>
      <c r="L220" s="245" t="str">
        <f t="shared" si="0"/>
        <v>เพิ่มประสิทธิภาพ</v>
      </c>
    </row>
    <row r="221" spans="1:12">
      <c r="A221" s="241" t="s">
        <v>1529</v>
      </c>
      <c r="B221" s="244">
        <f>'[1]รวมครุภัณฑ์ 70 (data)'!B47</f>
        <v>2570</v>
      </c>
      <c r="C221" s="241" t="s">
        <v>447</v>
      </c>
      <c r="D221" s="244" t="str">
        <f>'[1]รวมครุภัณฑ์ 70 (data)'!C47</f>
        <v>ครุภัณฑ์ยานพาหนะและขนส่ง</v>
      </c>
      <c r="E221" s="244" t="str">
        <f>'[1]รวมครุภัณฑ์ 70 (data)'!G47</f>
        <v>รถตู้(สำหรับเคลื่อนย้ายผู้ประสบปัญหาทางสังคม) เครื่องยนต์ดีเซล จำนวนไม่น้อยกว่า 4 สูบ แถวเรียง DOHC 16 วาล์ว ปริมาตรกระบอกสูบไม่น้อยกว่า 2700 ซีซี</v>
      </c>
      <c r="F221" s="244" t="str">
        <f>'[1]รวมครุภัณฑ์ 70 (data)'!H47</f>
        <v>กตร.</v>
      </c>
      <c r="G221" s="244" t="str">
        <f>'[1]รวมครุภัณฑ์ 70 (data)'!J47</f>
        <v>กรุงเทพมหานคร</v>
      </c>
      <c r="H221" s="244" t="str">
        <f>IF('รวมครุภัณฑ์ 70'!Q46="","",'รวมครุภัณฑ์ 70'!Q46)</f>
        <v/>
      </c>
      <c r="I221" s="244">
        <f>IF('รวมครุภัณฑ์ 70'!R46="","",'รวมครุภัณฑ์ 70'!R46)</f>
        <v>2</v>
      </c>
      <c r="J221" s="244"/>
      <c r="K221" s="245">
        <f>'[1]รวมครุภัณฑ์ 70 (data)'!L47</f>
        <v>4000000</v>
      </c>
      <c r="L221" s="245" t="str">
        <f t="shared" si="0"/>
        <v>เพิ่มประสิทธิภาพ</v>
      </c>
    </row>
    <row r="222" spans="1:12">
      <c r="A222" s="241" t="s">
        <v>1530</v>
      </c>
      <c r="B222" s="244">
        <f>'[1]รวมครุภัณฑ์ 70 (data)'!B48</f>
        <v>2570</v>
      </c>
      <c r="C222" s="241" t="s">
        <v>447</v>
      </c>
      <c r="D222" s="244" t="str">
        <f>'[1]รวมครุภัณฑ์ 70 (data)'!C48</f>
        <v>ครุภัณฑ์ยานพาหนะและขนส่ง</v>
      </c>
      <c r="E222" s="244" t="str">
        <f>'[1]รวมครุภัณฑ์ 70 (data)'!G48</f>
        <v>รถยนต์บรรทุกส่วนบุคคลตู้บรรทุก 6 ล้อ พร้อมตู้แบบคอนเทนเนอร์</v>
      </c>
      <c r="F222" s="244" t="str">
        <f>'[1]รวมครุภัณฑ์ 70 (data)'!H48</f>
        <v>กตร.</v>
      </c>
      <c r="G222" s="244" t="str">
        <f>'[1]รวมครุภัณฑ์ 70 (data)'!J48</f>
        <v>กรุงเทพมหานคร</v>
      </c>
      <c r="H222" s="244">
        <f>IF('รวมครุภัณฑ์ 70'!Q47="","",'รวมครุภัณฑ์ 70'!Q47)</f>
        <v>1</v>
      </c>
      <c r="I222" s="244" t="str">
        <f>IF('รวมครุภัณฑ์ 70'!R47="","",'รวมครุภัณฑ์ 70'!R47)</f>
        <v/>
      </c>
      <c r="J222" s="244"/>
      <c r="K222" s="245">
        <f>'[1]รวมครุภัณฑ์ 70 (data)'!L48</f>
        <v>3290000</v>
      </c>
      <c r="L222" s="245" t="str">
        <f t="shared" si="0"/>
        <v>ทดแทนครุภัณฑ์เดิม</v>
      </c>
    </row>
    <row r="223" spans="1:12">
      <c r="A223" s="241" t="s">
        <v>1531</v>
      </c>
      <c r="B223" s="244">
        <f>'[1]รวมครุภัณฑ์ 70 (data)'!B49</f>
        <v>2570</v>
      </c>
      <c r="C223" s="241" t="s">
        <v>447</v>
      </c>
      <c r="D223" s="244" t="str">
        <f>'[1]รวมครุภัณฑ์ 70 (data)'!C49</f>
        <v>ครุภัณฑ์ยานพาหนะและขนส่ง</v>
      </c>
      <c r="E223" s="244" t="str">
        <f>'[1]รวมครุภัณฑ์ 70 (data)'!G49</f>
        <v>รถยนต์นั่งส่วนบุคคล นั่งสองตอนท้ายบรรทุก ขนาด 1 ตัน ชนิดขับเคลื่อน 4 ล้อ (ปริมาณกระบอกสูบไม่ต่ำกว่า 2,400 ซีซี) หรือกำลังเครื่องยนต์สูงสุดไม่ต่ำกว่า 110 กิโลวัตต์
- หลังคารถบรรทุก ขนาด 1 ตัน หลังคาสำเร็จรูป ชนิดทำด้วยไฟเบอร์กลาสหรือเหล็ก มีช่องลมพร้อมกระจกเลื่อน ฝาท้ายเปิดแบบโช๊คอัพ</v>
      </c>
      <c r="F223" s="244" t="str">
        <f>'[1]รวมครุภัณฑ์ 70 (data)'!H49</f>
        <v>กตร.</v>
      </c>
      <c r="G223" s="244" t="str">
        <f>'[1]รวมครุภัณฑ์ 70 (data)'!J49</f>
        <v>กรุงเทพมหานคร</v>
      </c>
      <c r="H223" s="244">
        <f>IF('รวมครุภัณฑ์ 70'!Q48="","",'รวมครุภัณฑ์ 70'!Q48)</f>
        <v>1</v>
      </c>
      <c r="I223" s="244" t="str">
        <f>IF('รวมครุภัณฑ์ 70'!R48="","",'รวมครุภัณฑ์ 70'!R48)</f>
        <v/>
      </c>
      <c r="J223" s="244"/>
      <c r="K223" s="245">
        <f>'[1]รวมครุภัณฑ์ 70 (data)'!L49</f>
        <v>1207900</v>
      </c>
      <c r="L223" s="245" t="str">
        <f t="shared" si="0"/>
        <v>ทดแทนครุภัณฑ์เดิม</v>
      </c>
    </row>
    <row r="224" spans="1:12">
      <c r="A224" s="241" t="s">
        <v>1534</v>
      </c>
      <c r="B224" s="244">
        <f>'[1]รวมครุภัณฑ์ 70 (data)'!B50</f>
        <v>2570</v>
      </c>
      <c r="C224" s="241" t="s">
        <v>447</v>
      </c>
      <c r="D224" s="244" t="str">
        <f>'[1]รวมครุภัณฑ์ 70 (data)'!C50</f>
        <v>ครุภัณฑ์สำนักงาน</v>
      </c>
      <c r="E224" s="244" t="str">
        <f>'[1]รวมครุภัณฑ์ 70 (data)'!G50</f>
        <v>เครื่องทำน้ำเย็น แบบต่อท่อ ขนาด 1 ก๊อก</v>
      </c>
      <c r="F224" s="244" t="str">
        <f>'[1]รวมครุภัณฑ์ 70 (data)'!H50</f>
        <v>กปส.</v>
      </c>
      <c r="G224" s="244" t="str">
        <f>'[1]รวมครุภัณฑ์ 70 (data)'!J50</f>
        <v>กรุงเทพมหานคร</v>
      </c>
      <c r="H224" s="244">
        <f>IF('รวมครุภัณฑ์ 70'!Q49="","",'รวมครุภัณฑ์ 70'!Q49)</f>
        <v>1</v>
      </c>
      <c r="I224" s="244" t="str">
        <f>IF('รวมครุภัณฑ์ 70'!R49="","",'รวมครุภัณฑ์ 70'!R49)</f>
        <v/>
      </c>
      <c r="J224" s="244"/>
      <c r="K224" s="245">
        <f>'[1]รวมครุภัณฑ์ 70 (data)'!L50</f>
        <v>13700</v>
      </c>
      <c r="L224" s="245" t="str">
        <f t="shared" si="0"/>
        <v>ทดแทนครุภัณฑ์เดิม</v>
      </c>
    </row>
    <row r="225" spans="1:12">
      <c r="A225" s="241" t="s">
        <v>1535</v>
      </c>
      <c r="B225" s="244">
        <f>'[1]รวมครุภัณฑ์ 70 (data)'!B51</f>
        <v>2570</v>
      </c>
      <c r="C225" s="241" t="s">
        <v>447</v>
      </c>
      <c r="D225" s="244" t="str">
        <f>'[1]รวมครุภัณฑ์ 70 (data)'!C51</f>
        <v>ครุภัณฑ์สำนักงาน</v>
      </c>
      <c r="E225" s="244" t="str">
        <f>'[1]รวมครุภัณฑ์ 70 (data)'!G51</f>
        <v>เครื่องทำน้ำเย็น แบบต่อท่อ ขนาด 1 ก๊อก</v>
      </c>
      <c r="F225" s="244" t="str">
        <f>'[1]รวมครุภัณฑ์ 70 (data)'!H51</f>
        <v>กปส.</v>
      </c>
      <c r="G225" s="244" t="str">
        <f>'[1]รวมครุภัณฑ์ 70 (data)'!J51</f>
        <v>กรุงเทพมหานคร</v>
      </c>
      <c r="H225" s="244">
        <f>IF('รวมครุภัณฑ์ 70'!Q50="","",'รวมครุภัณฑ์ 70'!Q50)</f>
        <v>1</v>
      </c>
      <c r="I225" s="244" t="str">
        <f>IF('รวมครุภัณฑ์ 70'!R50="","",'รวมครุภัณฑ์ 70'!R50)</f>
        <v/>
      </c>
      <c r="J225" s="244"/>
      <c r="K225" s="245">
        <f>'[1]รวมครุภัณฑ์ 70 (data)'!L51</f>
        <v>13700</v>
      </c>
      <c r="L225" s="245" t="str">
        <f t="shared" si="0"/>
        <v>ทดแทนครุภัณฑ์เดิม</v>
      </c>
    </row>
    <row r="226" spans="1:12">
      <c r="A226" s="241" t="s">
        <v>1536</v>
      </c>
      <c r="B226" s="244">
        <f>'[1]รวมครุภัณฑ์ 70 (data)'!B52</f>
        <v>2570</v>
      </c>
      <c r="C226" s="241" t="s">
        <v>447</v>
      </c>
      <c r="D226" s="244" t="str">
        <f>'[1]รวมครุภัณฑ์ 70 (data)'!C52</f>
        <v>ครุภัณฑ์งานบ้านงานครัว</v>
      </c>
      <c r="E226" s="244" t="str">
        <f>'[1]รวมครุภัณฑ์ 70 (data)'!G52</f>
        <v>ตู้เย็น ขนาด 5 คิวบิกฟุต</v>
      </c>
      <c r="F226" s="244" t="str">
        <f>'[1]รวมครุภัณฑ์ 70 (data)'!H52</f>
        <v>กปส.</v>
      </c>
      <c r="G226" s="244" t="str">
        <f>'[1]รวมครุภัณฑ์ 70 (data)'!J52</f>
        <v>กรุงเทพมหานคร</v>
      </c>
      <c r="H226" s="244">
        <f>IF('รวมครุภัณฑ์ 70'!Q51="","",'รวมครุภัณฑ์ 70'!Q51)</f>
        <v>1</v>
      </c>
      <c r="I226" s="244" t="str">
        <f>IF('รวมครุภัณฑ์ 70'!R51="","",'รวมครุภัณฑ์ 70'!R51)</f>
        <v/>
      </c>
      <c r="J226" s="244"/>
      <c r="K226" s="245">
        <f>'[1]รวมครุภัณฑ์ 70 (data)'!L52</f>
        <v>6500</v>
      </c>
      <c r="L226" s="245" t="str">
        <f t="shared" si="0"/>
        <v>ทดแทนครุภัณฑ์เดิม</v>
      </c>
    </row>
    <row r="227" spans="1:12">
      <c r="A227" s="241" t="s">
        <v>1537</v>
      </c>
      <c r="B227" s="244">
        <f>'[1]รวมครุภัณฑ์ 70 (data)'!B53</f>
        <v>2570</v>
      </c>
      <c r="C227" s="241" t="s">
        <v>447</v>
      </c>
      <c r="D227" s="244" t="str">
        <f>'[1]รวมครุภัณฑ์ 70 (data)'!C53</f>
        <v>ครุภัณฑ์งานบ้านงานครัว</v>
      </c>
      <c r="E227" s="244" t="str">
        <f>'[1]รวมครุภัณฑ์ 70 (data)'!G53</f>
        <v>เตาอบไมโครเวฟ</v>
      </c>
      <c r="F227" s="244" t="str">
        <f>'[1]รวมครุภัณฑ์ 70 (data)'!H53</f>
        <v>กปส.</v>
      </c>
      <c r="G227" s="244" t="str">
        <f>'[1]รวมครุภัณฑ์ 70 (data)'!J53</f>
        <v>กรุงเทพมหานคร</v>
      </c>
      <c r="H227" s="244">
        <f>IF('รวมครุภัณฑ์ 70'!Q52="","",'รวมครุภัณฑ์ 70'!Q52)</f>
        <v>1</v>
      </c>
      <c r="I227" s="244" t="str">
        <f>IF('รวมครุภัณฑ์ 70'!R52="","",'รวมครุภัณฑ์ 70'!R52)</f>
        <v/>
      </c>
      <c r="J227" s="244"/>
      <c r="K227" s="245">
        <f>'[1]รวมครุภัณฑ์ 70 (data)'!L53</f>
        <v>7600</v>
      </c>
      <c r="L227" s="245" t="str">
        <f t="shared" si="0"/>
        <v>ทดแทนครุภัณฑ์เดิม</v>
      </c>
    </row>
    <row r="228" spans="1:12">
      <c r="A228" s="241" t="s">
        <v>1538</v>
      </c>
      <c r="B228" s="244">
        <f>'[1]รวมครุภัณฑ์ 70 (data)'!B54</f>
        <v>2570</v>
      </c>
      <c r="C228" s="241" t="s">
        <v>447</v>
      </c>
      <c r="D228" s="244" t="str">
        <f>'[1]รวมครุภัณฑ์ 70 (data)'!C54</f>
        <v>ครุภัณฑ์ยานพาหนะและขนส่ง</v>
      </c>
      <c r="E228" s="244" t="str">
        <f>'[1]รวมครุภัณฑ์ 70 (data)'!G54</f>
        <v>รถยนต์บรรทุก (ดีเซล) ขนาด 1 ตัน ปริมาตรกระบอกสูบไม่ต่ำกว่า 2,400 ซีซี  หรือกำลังเครื่องยนต์สูงสุด ไม่ต่ำกว่า  110 กิโลวัตต์ ขับเคลื่อน 4 ล้อ (ดับเบิ้ลแค็บ)</v>
      </c>
      <c r="F228" s="244" t="str">
        <f>'[1]รวมครุภัณฑ์ 70 (data)'!H54</f>
        <v>กปส.</v>
      </c>
      <c r="G228" s="244" t="str">
        <f>'[1]รวมครุภัณฑ์ 70 (data)'!J54</f>
        <v>กรุงเทพมหานคร</v>
      </c>
      <c r="H228" s="244">
        <f>IF('รวมครุภัณฑ์ 70'!Q53="","",'รวมครุภัณฑ์ 70'!Q53)</f>
        <v>1</v>
      </c>
      <c r="I228" s="244" t="str">
        <f>IF('รวมครุภัณฑ์ 70'!R53="","",'รวมครุภัณฑ์ 70'!R53)</f>
        <v/>
      </c>
      <c r="J228" s="244"/>
      <c r="K228" s="245">
        <f>'[1]รวมครุภัณฑ์ 70 (data)'!L54</f>
        <v>849500</v>
      </c>
      <c r="L228" s="245" t="str">
        <f t="shared" si="0"/>
        <v>ทดแทนครุภัณฑ์เดิม</v>
      </c>
    </row>
    <row r="229" spans="1:12">
      <c r="A229" s="241" t="s">
        <v>1539</v>
      </c>
      <c r="B229" s="244">
        <f>'[1]รวมครุภัณฑ์ 70 (data)'!B55</f>
        <v>2570</v>
      </c>
      <c r="C229" s="241" t="s">
        <v>447</v>
      </c>
      <c r="D229" s="244" t="str">
        <f>'[1]รวมครุภัณฑ์ 70 (data)'!C55</f>
        <v>ครุภัณฑ์โฆษณาและเผยแพร่</v>
      </c>
      <c r="E229" s="244" t="str">
        <f>'[1]รวมครุภัณฑ์ 70 (data)'!G55</f>
        <v>กล้องถ่ายภาพนิ่ง พร้อมเลนส์</v>
      </c>
      <c r="F229" s="244" t="str">
        <f>'[1]รวมครุภัณฑ์ 70 (data)'!H55</f>
        <v>กปส.</v>
      </c>
      <c r="G229" s="244" t="str">
        <f>'[1]รวมครุภัณฑ์ 70 (data)'!J55</f>
        <v>กรุงเทพมหานคร</v>
      </c>
      <c r="H229" s="244" t="str">
        <f>IF('รวมครุภัณฑ์ 70'!Q54="","",'รวมครุภัณฑ์ 70'!Q54)</f>
        <v/>
      </c>
      <c r="I229" s="244">
        <f>IF('รวมครุภัณฑ์ 70'!R54="","",'รวมครุภัณฑ์ 70'!R54)</f>
        <v>2</v>
      </c>
      <c r="J229" s="244"/>
      <c r="K229" s="245">
        <f>'[1]รวมครุภัณฑ์ 70 (data)'!L55</f>
        <v>432000</v>
      </c>
      <c r="L229" s="245" t="str">
        <f t="shared" si="0"/>
        <v>เพิ่มประสิทธิภาพ</v>
      </c>
    </row>
    <row r="230" spans="1:12">
      <c r="A230" s="241" t="s">
        <v>1540</v>
      </c>
      <c r="B230" s="244">
        <f>'[1]รวมครุภัณฑ์ 70 (data)'!B56</f>
        <v>2570</v>
      </c>
      <c r="C230" s="241" t="s">
        <v>447</v>
      </c>
      <c r="D230" s="244" t="str">
        <f>'[1]รวมครุภัณฑ์ 70 (data)'!C56</f>
        <v>ครุภัณฑ์โฆษณาและเผยแพร่</v>
      </c>
      <c r="E230" s="244" t="str">
        <f>'[1]รวมครุภัณฑ์ 70 (data)'!G56</f>
        <v>เลนส์ RF70-200MM F/4L IS USM</v>
      </c>
      <c r="F230" s="244" t="str">
        <f>'[1]รวมครุภัณฑ์ 70 (data)'!H56</f>
        <v>กปส.</v>
      </c>
      <c r="G230" s="244" t="str">
        <f>'[1]รวมครุภัณฑ์ 70 (data)'!J56</f>
        <v>กรุงเทพมหานคร</v>
      </c>
      <c r="H230" s="244" t="str">
        <f>IF('รวมครุภัณฑ์ 70'!Q55="","",'รวมครุภัณฑ์ 70'!Q55)</f>
        <v/>
      </c>
      <c r="I230" s="244">
        <f>IF('รวมครุภัณฑ์ 70'!R55="","",'รวมครุภัณฑ์ 70'!R55)</f>
        <v>1</v>
      </c>
      <c r="J230" s="244"/>
      <c r="K230" s="245">
        <f>'[1]รวมครุภัณฑ์ 70 (data)'!L56</f>
        <v>70190</v>
      </c>
      <c r="L230" s="245" t="str">
        <f t="shared" si="0"/>
        <v>เพิ่มประสิทธิภาพ</v>
      </c>
    </row>
    <row r="231" spans="1:12">
      <c r="A231" s="241" t="s">
        <v>1541</v>
      </c>
      <c r="B231" s="244">
        <f>'[1]รวมครุภัณฑ์ 70 (data)'!B57</f>
        <v>2570</v>
      </c>
      <c r="C231" s="241" t="s">
        <v>447</v>
      </c>
      <c r="D231" s="244" t="str">
        <f>'[1]รวมครุภัณฑ์ 70 (data)'!C57</f>
        <v>ครุภัณฑ์โฆษณาและเผยแพร่</v>
      </c>
      <c r="E231" s="244" t="str">
        <f>'[1]รวมครุภัณฑ์ 70 (data)'!G57</f>
        <v>ฟิลเตอร์ ขนาด 77 MM</v>
      </c>
      <c r="F231" s="244" t="str">
        <f>'[1]รวมครุภัณฑ์ 70 (data)'!H57</f>
        <v>กปส.</v>
      </c>
      <c r="G231" s="244" t="str">
        <f>'[1]รวมครุภัณฑ์ 70 (data)'!J57</f>
        <v>กรุงเทพมหานคร</v>
      </c>
      <c r="H231" s="244" t="str">
        <f>IF('รวมครุภัณฑ์ 70'!Q56="","",'รวมครุภัณฑ์ 70'!Q56)</f>
        <v/>
      </c>
      <c r="I231" s="244">
        <f>IF('รวมครุภัณฑ์ 70'!R56="","",'รวมครุภัณฑ์ 70'!R56)</f>
        <v>2</v>
      </c>
      <c r="J231" s="244"/>
      <c r="K231" s="245">
        <f>'[1]รวมครุภัณฑ์ 70 (data)'!L57</f>
        <v>2200</v>
      </c>
      <c r="L231" s="245" t="str">
        <f t="shared" si="0"/>
        <v>เพิ่มประสิทธิภาพ</v>
      </c>
    </row>
    <row r="232" spans="1:12">
      <c r="A232" s="241" t="s">
        <v>1542</v>
      </c>
      <c r="B232" s="244">
        <f>'[1]รวมครุภัณฑ์ 70 (data)'!B58</f>
        <v>2570</v>
      </c>
      <c r="C232" s="241" t="s">
        <v>447</v>
      </c>
      <c r="D232" s="244" t="str">
        <f>'[1]รวมครุภัณฑ์ 70 (data)'!C58</f>
        <v>ครุภัณฑ์โฆษณาและเผยแพร่</v>
      </c>
      <c r="E232" s="244" t="str">
        <f>'[1]รวมครุภัณฑ์ 70 (data)'!G58</f>
        <v>แบตเตอรี่กล้อง</v>
      </c>
      <c r="F232" s="244" t="str">
        <f>'[1]รวมครุภัณฑ์ 70 (data)'!H58</f>
        <v>กปส.</v>
      </c>
      <c r="G232" s="244" t="str">
        <f>'[1]รวมครุภัณฑ์ 70 (data)'!J58</f>
        <v>กรุงเทพมหานคร</v>
      </c>
      <c r="H232" s="244" t="str">
        <f>IF('รวมครุภัณฑ์ 70'!Q57="","",'รวมครุภัณฑ์ 70'!Q57)</f>
        <v/>
      </c>
      <c r="I232" s="244">
        <f>IF('รวมครุภัณฑ์ 70'!R57="","",'รวมครุภัณฑ์ 70'!R57)</f>
        <v>4</v>
      </c>
      <c r="J232" s="244"/>
      <c r="K232" s="245">
        <f>'[1]รวมครุภัณฑ์ 70 (data)'!L58</f>
        <v>19200</v>
      </c>
      <c r="L232" s="245" t="str">
        <f t="shared" si="0"/>
        <v>เพิ่มประสิทธิภาพ</v>
      </c>
    </row>
    <row r="233" spans="1:12">
      <c r="A233" s="241" t="s">
        <v>1543</v>
      </c>
      <c r="B233" s="244">
        <f>'[1]รวมครุภัณฑ์ 70 (data)'!B59</f>
        <v>2570</v>
      </c>
      <c r="C233" s="241" t="s">
        <v>447</v>
      </c>
      <c r="D233" s="244" t="str">
        <f>'[1]รวมครุภัณฑ์ 70 (data)'!C59</f>
        <v>ครุภัณฑ์โฆษณาและเผยแพร่</v>
      </c>
      <c r="E233" s="244" t="str">
        <f>'[1]รวมครุภัณฑ์ 70 (data)'!G59</f>
        <v>แบตเตอรี่แฟลช</v>
      </c>
      <c r="F233" s="244" t="str">
        <f>'[1]รวมครุภัณฑ์ 70 (data)'!H59</f>
        <v>กปส.</v>
      </c>
      <c r="G233" s="244" t="str">
        <f>'[1]รวมครุภัณฑ์ 70 (data)'!J59</f>
        <v>กรุงเทพมหานคร</v>
      </c>
      <c r="H233" s="244" t="str">
        <f>IF('รวมครุภัณฑ์ 70'!Q58="","",'รวมครุภัณฑ์ 70'!Q58)</f>
        <v/>
      </c>
      <c r="I233" s="244">
        <f>IF('รวมครุภัณฑ์ 70'!R58="","",'รวมครุภัณฑ์ 70'!R58)</f>
        <v>3</v>
      </c>
      <c r="J233" s="244"/>
      <c r="K233" s="245">
        <f>'[1]รวมครุภัณฑ์ 70 (data)'!L59</f>
        <v>18000</v>
      </c>
      <c r="L233" s="245" t="str">
        <f t="shared" si="0"/>
        <v>เพิ่มประสิทธิภาพ</v>
      </c>
    </row>
    <row r="234" spans="1:12">
      <c r="A234" s="241" t="s">
        <v>1544</v>
      </c>
      <c r="B234" s="244">
        <f>'[1]รวมครุภัณฑ์ 70 (data)'!B60</f>
        <v>2570</v>
      </c>
      <c r="C234" s="241" t="s">
        <v>447</v>
      </c>
      <c r="D234" s="244" t="str">
        <f>'[1]รวมครุภัณฑ์ 70 (data)'!C60</f>
        <v>ครุภัณฑ์โฆษณาและเผยแพร่</v>
      </c>
      <c r="E234" s="244" t="str">
        <f>'[1]รวมครุภัณฑ์ 70 (data)'!G60</f>
        <v>แฟลชกล้อง</v>
      </c>
      <c r="F234" s="244" t="str">
        <f>'[1]รวมครุภัณฑ์ 70 (data)'!H60</f>
        <v>กปส.</v>
      </c>
      <c r="G234" s="244" t="str">
        <f>'[1]รวมครุภัณฑ์ 70 (data)'!J60</f>
        <v>กรุงเทพมหานคร</v>
      </c>
      <c r="H234" s="244" t="str">
        <f>IF('รวมครุภัณฑ์ 70'!Q59="","",'รวมครุภัณฑ์ 70'!Q59)</f>
        <v/>
      </c>
      <c r="I234" s="244">
        <f>IF('รวมครุภัณฑ์ 70'!R59="","",'รวมครุภัณฑ์ 70'!R59)</f>
        <v>2</v>
      </c>
      <c r="J234" s="244"/>
      <c r="K234" s="245">
        <f>'[1]รวมครุภัณฑ์ 70 (data)'!L60</f>
        <v>35000</v>
      </c>
      <c r="L234" s="245" t="str">
        <f t="shared" si="0"/>
        <v>เพิ่มประสิทธิภาพ</v>
      </c>
    </row>
    <row r="235" spans="1:12">
      <c r="A235" s="241" t="s">
        <v>1545</v>
      </c>
      <c r="B235" s="244">
        <f>'[1]รวมครุภัณฑ์ 70 (data)'!B61</f>
        <v>2570</v>
      </c>
      <c r="C235" s="241" t="s">
        <v>447</v>
      </c>
      <c r="D235" s="244" t="str">
        <f>'[1]รวมครุภัณฑ์ 70 (data)'!C61</f>
        <v>ครุภัณฑ์โฆษณาและเผยแพร่</v>
      </c>
      <c r="E235" s="244" t="str">
        <f>'[1]รวมครุภัณฑ์ 70 (data)'!G61</f>
        <v>เมมโมรี่การ์ด 64 GB</v>
      </c>
      <c r="F235" s="244" t="str">
        <f>'[1]รวมครุภัณฑ์ 70 (data)'!H61</f>
        <v>กปส.</v>
      </c>
      <c r="G235" s="244" t="str">
        <f>'[1]รวมครุภัณฑ์ 70 (data)'!J61</f>
        <v>กรุงเทพมหานคร</v>
      </c>
      <c r="H235" s="244" t="str">
        <f>IF('รวมครุภัณฑ์ 70'!Q60="","",'รวมครุภัณฑ์ 70'!Q60)</f>
        <v/>
      </c>
      <c r="I235" s="244">
        <f>IF('รวมครุภัณฑ์ 70'!R60="","",'รวมครุภัณฑ์ 70'!R60)</f>
        <v>2</v>
      </c>
      <c r="J235" s="244"/>
      <c r="K235" s="245">
        <f>'[1]รวมครุภัณฑ์ 70 (data)'!L61</f>
        <v>8000</v>
      </c>
      <c r="L235" s="245" t="str">
        <f t="shared" si="0"/>
        <v>เพิ่มประสิทธิภาพ</v>
      </c>
    </row>
    <row r="236" spans="1:12">
      <c r="A236" s="241" t="s">
        <v>1546</v>
      </c>
      <c r="B236" s="244">
        <f>'[1]รวมครุภัณฑ์ 70 (data)'!B62</f>
        <v>2570</v>
      </c>
      <c r="C236" s="241" t="s">
        <v>447</v>
      </c>
      <c r="D236" s="244" t="str">
        <f>'[1]รวมครุภัณฑ์ 70 (data)'!C62</f>
        <v>ครุภัณฑ์โฆษณาและเผยแพร่</v>
      </c>
      <c r="E236" s="244" t="str">
        <f>'[1]รวมครุภัณฑ์ 70 (data)'!G62</f>
        <v xml:space="preserve">ขาตั้งกล้อง </v>
      </c>
      <c r="F236" s="244" t="str">
        <f>'[1]รวมครุภัณฑ์ 70 (data)'!H62</f>
        <v>กปส.</v>
      </c>
      <c r="G236" s="244" t="str">
        <f>'[1]รวมครุภัณฑ์ 70 (data)'!J62</f>
        <v>กรุงเทพมหานคร</v>
      </c>
      <c r="H236" s="244" t="str">
        <f>IF('รวมครุภัณฑ์ 70'!Q61="","",'รวมครุภัณฑ์ 70'!Q61)</f>
        <v/>
      </c>
      <c r="I236" s="244">
        <f>IF('รวมครุภัณฑ์ 70'!R61="","",'รวมครุภัณฑ์ 70'!R61)</f>
        <v>1</v>
      </c>
      <c r="J236" s="244"/>
      <c r="K236" s="245">
        <f>'[1]รวมครุภัณฑ์ 70 (data)'!L62</f>
        <v>12600</v>
      </c>
      <c r="L236" s="245" t="str">
        <f t="shared" si="0"/>
        <v>เพิ่มประสิทธิภาพ</v>
      </c>
    </row>
    <row r="237" spans="1:12">
      <c r="A237" s="241" t="s">
        <v>1547</v>
      </c>
      <c r="B237" s="244">
        <f>'[1]รวมครุภัณฑ์ 70 (data)'!B63</f>
        <v>2570</v>
      </c>
      <c r="C237" s="241" t="s">
        <v>447</v>
      </c>
      <c r="D237" s="244" t="str">
        <f>'[1]รวมครุภัณฑ์ 70 (data)'!C63</f>
        <v>ครุภัณฑ์โฆษณาและเผยแพร่</v>
      </c>
      <c r="E237" s="244" t="str">
        <f>'[1]รวมครุภัณฑ์ 70 (data)'!G63</f>
        <v xml:space="preserve">ตู้กันชื้น 160 ลิตร </v>
      </c>
      <c r="F237" s="244" t="str">
        <f>'[1]รวมครุภัณฑ์ 70 (data)'!H63</f>
        <v>กปส.</v>
      </c>
      <c r="G237" s="244" t="str">
        <f>'[1]รวมครุภัณฑ์ 70 (data)'!J63</f>
        <v>กรุงเทพมหานคร</v>
      </c>
      <c r="H237" s="244" t="str">
        <f>IF('รวมครุภัณฑ์ 70'!Q62="","",'รวมครุภัณฑ์ 70'!Q62)</f>
        <v/>
      </c>
      <c r="I237" s="244">
        <f>IF('รวมครุภัณฑ์ 70'!R62="","",'รวมครุภัณฑ์ 70'!R62)</f>
        <v>2</v>
      </c>
      <c r="J237" s="244"/>
      <c r="K237" s="245">
        <f>'[1]รวมครุภัณฑ์ 70 (data)'!L63</f>
        <v>25800</v>
      </c>
      <c r="L237" s="245" t="str">
        <f t="shared" si="0"/>
        <v>เพิ่มประสิทธิภาพ</v>
      </c>
    </row>
    <row r="238" spans="1:12">
      <c r="A238" s="241" t="s">
        <v>1548</v>
      </c>
      <c r="B238" s="244">
        <f>'[1]รวมครุภัณฑ์ 70 (data)'!B64</f>
        <v>2570</v>
      </c>
      <c r="C238" s="241" t="s">
        <v>447</v>
      </c>
      <c r="D238" s="244" t="str">
        <f>'[1]รวมครุภัณฑ์ 70 (data)'!C64</f>
        <v>ครุภัณฑ์โฆษณาและเผยแพร่</v>
      </c>
      <c r="E238" s="244" t="str">
        <f>'[1]รวมครุภัณฑ์ 70 (data)'!G64</f>
        <v>แท่น Podium พร้อมโลโก้กระทรวง</v>
      </c>
      <c r="F238" s="244" t="str">
        <f>'[1]รวมครุภัณฑ์ 70 (data)'!H64</f>
        <v>กปส.</v>
      </c>
      <c r="G238" s="244" t="str">
        <f>'[1]รวมครุภัณฑ์ 70 (data)'!J64</f>
        <v>กรุงเทพมหานคร</v>
      </c>
      <c r="H238" s="244" t="str">
        <f>IF('รวมครุภัณฑ์ 70'!Q63="","",'รวมครุภัณฑ์ 70'!Q63)</f>
        <v/>
      </c>
      <c r="I238" s="244">
        <f>IF('รวมครุภัณฑ์ 70'!R63="","",'รวมครุภัณฑ์ 70'!R63)</f>
        <v>2</v>
      </c>
      <c r="J238" s="244"/>
      <c r="K238" s="245">
        <f>'[1]รวมครุภัณฑ์ 70 (data)'!L64</f>
        <v>120000</v>
      </c>
      <c r="L238" s="245" t="str">
        <f t="shared" si="0"/>
        <v>เพิ่มประสิทธิภาพ</v>
      </c>
    </row>
    <row r="239" spans="1:12">
      <c r="A239" s="241" t="s">
        <v>1549</v>
      </c>
      <c r="B239" s="244">
        <f>'[1]รวมครุภัณฑ์ 70 (data)'!B65</f>
        <v>2570</v>
      </c>
      <c r="C239" s="241" t="s">
        <v>447</v>
      </c>
      <c r="D239" s="244" t="str">
        <f>'[1]รวมครุภัณฑ์ 70 (data)'!C65</f>
        <v>ครุภัณฑ์โฆษณาและเผยแพร่</v>
      </c>
      <c r="E239" s="244" t="str">
        <f>'[1]รวมครุภัณฑ์ 70 (data)'!G65</f>
        <v xml:space="preserve">ไมค์สำหรับบันทึกเสียง ไมโครโฟนชนิด Dynamic </v>
      </c>
      <c r="F239" s="244" t="str">
        <f>'[1]รวมครุภัณฑ์ 70 (data)'!H65</f>
        <v>กปส.</v>
      </c>
      <c r="G239" s="244" t="str">
        <f>'[1]รวมครุภัณฑ์ 70 (data)'!J65</f>
        <v>กรุงเทพมหานคร</v>
      </c>
      <c r="H239" s="244" t="str">
        <f>IF('รวมครุภัณฑ์ 70'!Q64="","",'รวมครุภัณฑ์ 70'!Q64)</f>
        <v/>
      </c>
      <c r="I239" s="244">
        <f>IF('รวมครุภัณฑ์ 70'!R64="","",'รวมครุภัณฑ์ 70'!R64)</f>
        <v>2</v>
      </c>
      <c r="J239" s="244"/>
      <c r="K239" s="245">
        <f>'[1]รวมครุภัณฑ์ 70 (data)'!L65</f>
        <v>30000</v>
      </c>
      <c r="L239" s="245" t="str">
        <f t="shared" si="0"/>
        <v>เพิ่มประสิทธิภาพ</v>
      </c>
    </row>
    <row r="240" spans="1:12">
      <c r="A240" s="241" t="s">
        <v>1550</v>
      </c>
      <c r="B240" s="244">
        <f>'[1]รวมครุภัณฑ์ 70 (data)'!B66</f>
        <v>2570</v>
      </c>
      <c r="C240" s="241" t="s">
        <v>447</v>
      </c>
      <c r="D240" s="244" t="str">
        <f>'[1]รวมครุภัณฑ์ 70 (data)'!C66</f>
        <v>ครุภัณฑ์โฆษณาและเผยแพร่</v>
      </c>
      <c r="E240" s="244" t="str">
        <f>'[1]รวมครุภัณฑ์ 70 (data)'!G66</f>
        <v>สายไมโครโฟน แบบ XLR (M) -- XLR (F) ยาว 5 เมตร</v>
      </c>
      <c r="F240" s="244" t="str">
        <f>'[1]รวมครุภัณฑ์ 70 (data)'!H66</f>
        <v>กปส.</v>
      </c>
      <c r="G240" s="244" t="str">
        <f>'[1]รวมครุภัณฑ์ 70 (data)'!J66</f>
        <v>กรุงเทพมหานคร</v>
      </c>
      <c r="H240" s="244" t="str">
        <f>IF('รวมครุภัณฑ์ 70'!Q65="","",'รวมครุภัณฑ์ 70'!Q65)</f>
        <v/>
      </c>
      <c r="I240" s="244">
        <f>IF('รวมครุภัณฑ์ 70'!R65="","",'รวมครุภัณฑ์ 70'!R65)</f>
        <v>2</v>
      </c>
      <c r="J240" s="244"/>
      <c r="K240" s="245">
        <f>'[1]รวมครุภัณฑ์ 70 (data)'!L66</f>
        <v>1400</v>
      </c>
      <c r="L240" s="245" t="str">
        <f t="shared" si="0"/>
        <v>เพิ่มประสิทธิภาพ</v>
      </c>
    </row>
    <row r="241" spans="1:12">
      <c r="A241" s="241" t="s">
        <v>1551</v>
      </c>
      <c r="B241" s="244">
        <f>'[1]รวมครุภัณฑ์ 70 (data)'!B67</f>
        <v>2570</v>
      </c>
      <c r="C241" s="241" t="s">
        <v>447</v>
      </c>
      <c r="D241" s="244" t="str">
        <f>'[1]รวมครุภัณฑ์ 70 (data)'!C67</f>
        <v>ครุภัณฑ์โฆษณาและเผยแพร่</v>
      </c>
      <c r="E241" s="244" t="str">
        <f>'[1]รวมครุภัณฑ์ 70 (data)'!G67</f>
        <v>ลำโพงมอนิเตอร์ 6.5 นิ้ว</v>
      </c>
      <c r="F241" s="244" t="str">
        <f>'[1]รวมครุภัณฑ์ 70 (data)'!H67</f>
        <v>กปส.</v>
      </c>
      <c r="G241" s="244" t="str">
        <f>'[1]รวมครุภัณฑ์ 70 (data)'!J67</f>
        <v>กรุงเทพมหานคร</v>
      </c>
      <c r="H241" s="244" t="str">
        <f>IF('รวมครุภัณฑ์ 70'!Q66="","",'รวมครุภัณฑ์ 70'!Q66)</f>
        <v/>
      </c>
      <c r="I241" s="244">
        <f>IF('รวมครุภัณฑ์ 70'!R66="","",'รวมครุภัณฑ์ 70'!R66)</f>
        <v>1</v>
      </c>
      <c r="J241" s="244"/>
      <c r="K241" s="245">
        <f>'[1]รวมครุภัณฑ์ 70 (data)'!L67</f>
        <v>45000</v>
      </c>
      <c r="L241" s="245" t="str">
        <f t="shared" si="0"/>
        <v>เพิ่มประสิทธิภาพ</v>
      </c>
    </row>
    <row r="242" spans="1:12">
      <c r="A242" s="241" t="s">
        <v>1552</v>
      </c>
      <c r="B242" s="244">
        <f>'[1]รวมครุภัณฑ์ 70 (data)'!B68</f>
        <v>2570</v>
      </c>
      <c r="C242" s="241" t="s">
        <v>447</v>
      </c>
      <c r="D242" s="244" t="str">
        <f>'[1]รวมครุภัณฑ์ 70 (data)'!C68</f>
        <v>ครุภัณฑ์โฆษณาและเผยแพร่</v>
      </c>
      <c r="E242" s="244" t="str">
        <f>'[1]รวมครุภัณฑ์ 70 (data)'!G68</f>
        <v xml:space="preserve">ขาตั้งไมโครโฟน 3 ขา </v>
      </c>
      <c r="F242" s="244" t="str">
        <f>'[1]รวมครุภัณฑ์ 70 (data)'!H68</f>
        <v>กปส.</v>
      </c>
      <c r="G242" s="244" t="str">
        <f>'[1]รวมครุภัณฑ์ 70 (data)'!J68</f>
        <v>กรุงเทพมหานคร</v>
      </c>
      <c r="H242" s="244" t="str">
        <f>IF('รวมครุภัณฑ์ 70'!Q67="","",'รวมครุภัณฑ์ 70'!Q67)</f>
        <v/>
      </c>
      <c r="I242" s="244">
        <f>IF('รวมครุภัณฑ์ 70'!R67="","",'รวมครุภัณฑ์ 70'!R67)</f>
        <v>5</v>
      </c>
      <c r="J242" s="244"/>
      <c r="K242" s="245">
        <f>'[1]รวมครุภัณฑ์ 70 (data)'!L68</f>
        <v>10000</v>
      </c>
      <c r="L242" s="245" t="str">
        <f t="shared" ref="L242:L305" si="1">_xlfn.TEXTJOIN(", ",TRUE,
IF(H242&lt;&gt;"","ทดแทนครุภัณฑ์เดิม",""),
IF(I242&lt;&gt;"","เพิ่มประสิทธิภาพ",""))</f>
        <v>เพิ่มประสิทธิภาพ</v>
      </c>
    </row>
    <row r="243" spans="1:12">
      <c r="A243" s="241" t="s">
        <v>1553</v>
      </c>
      <c r="B243" s="244">
        <f>'[1]รวมครุภัณฑ์ 70 (data)'!B69</f>
        <v>2570</v>
      </c>
      <c r="C243" s="241" t="s">
        <v>447</v>
      </c>
      <c r="D243" s="244" t="str">
        <f>'[1]รวมครุภัณฑ์ 70 (data)'!C69</f>
        <v>ครุภัณฑ์โฆษณาและเผยแพร่</v>
      </c>
      <c r="E243" s="244" t="str">
        <f>'[1]รวมครุภัณฑ์ 70 (data)'!G69</f>
        <v>หูฟังสตูดิโอ</v>
      </c>
      <c r="F243" s="244" t="str">
        <f>'[1]รวมครุภัณฑ์ 70 (data)'!H69</f>
        <v>กปส.</v>
      </c>
      <c r="G243" s="244" t="str">
        <f>'[1]รวมครุภัณฑ์ 70 (data)'!J69</f>
        <v>กรุงเทพมหานคร</v>
      </c>
      <c r="H243" s="244" t="str">
        <f>IF('รวมครุภัณฑ์ 70'!Q68="","",'รวมครุภัณฑ์ 70'!Q68)</f>
        <v/>
      </c>
      <c r="I243" s="244">
        <f>IF('รวมครุภัณฑ์ 70'!R68="","",'รวมครุภัณฑ์ 70'!R68)</f>
        <v>1</v>
      </c>
      <c r="J243" s="244"/>
      <c r="K243" s="245">
        <f>'[1]รวมครุภัณฑ์ 70 (data)'!L69</f>
        <v>6000</v>
      </c>
      <c r="L243" s="245" t="str">
        <f t="shared" si="1"/>
        <v>เพิ่มประสิทธิภาพ</v>
      </c>
    </row>
    <row r="244" spans="1:12">
      <c r="A244" s="241" t="s">
        <v>1554</v>
      </c>
      <c r="B244" s="244">
        <f>'[1]รวมครุภัณฑ์ 70 (data)'!B70</f>
        <v>2570</v>
      </c>
      <c r="C244" s="241" t="s">
        <v>447</v>
      </c>
      <c r="D244" s="244" t="str">
        <f>'[1]รวมครุภัณฑ์ 70 (data)'!C70</f>
        <v>ครุภัณฑ์โฆษณาและเผยแพร่</v>
      </c>
      <c r="E244" s="244" t="str">
        <f>'[1]รวมครุภัณฑ์ 70 (data)'!G70</f>
        <v>ไมโครโฟน</v>
      </c>
      <c r="F244" s="244" t="str">
        <f>'[1]รวมครุภัณฑ์ 70 (data)'!H70</f>
        <v>กปส.</v>
      </c>
      <c r="G244" s="244" t="str">
        <f>'[1]รวมครุภัณฑ์ 70 (data)'!J70</f>
        <v>กรุงเทพมหานคร</v>
      </c>
      <c r="H244" s="244" t="str">
        <f>IF('รวมครุภัณฑ์ 70'!Q69="","",'รวมครุภัณฑ์ 70'!Q69)</f>
        <v/>
      </c>
      <c r="I244" s="244">
        <f>IF('รวมครุภัณฑ์ 70'!R69="","",'รวมครุภัณฑ์ 70'!R69)</f>
        <v>2</v>
      </c>
      <c r="J244" s="244"/>
      <c r="K244" s="245">
        <f>'[1]รวมครุภัณฑ์ 70 (data)'!L70</f>
        <v>14000</v>
      </c>
      <c r="L244" s="245" t="str">
        <f t="shared" si="1"/>
        <v>เพิ่มประสิทธิภาพ</v>
      </c>
    </row>
    <row r="245" spans="1:12">
      <c r="A245" s="241" t="s">
        <v>1555</v>
      </c>
      <c r="B245" s="244">
        <f>'[1]รวมครุภัณฑ์ 70 (data)'!B71</f>
        <v>2570</v>
      </c>
      <c r="C245" s="241" t="s">
        <v>447</v>
      </c>
      <c r="D245" s="244" t="str">
        <f>'[1]รวมครุภัณฑ์ 70 (data)'!C71</f>
        <v>ครุภัณฑ์โฆษณาและเผยแพร่</v>
      </c>
      <c r="E245" s="244" t="str">
        <f>'[1]รวมครุภัณฑ์ 70 (data)'!G71</f>
        <v>แฟลชสตูดิโอ</v>
      </c>
      <c r="F245" s="244" t="str">
        <f>'[1]รวมครุภัณฑ์ 70 (data)'!H71</f>
        <v>กปส.</v>
      </c>
      <c r="G245" s="244" t="str">
        <f>'[1]รวมครุภัณฑ์ 70 (data)'!J71</f>
        <v>กรุงเทพมหานคร</v>
      </c>
      <c r="H245" s="244" t="str">
        <f>IF('รวมครุภัณฑ์ 70'!Q70="","",'รวมครุภัณฑ์ 70'!Q70)</f>
        <v/>
      </c>
      <c r="I245" s="244">
        <f>IF('รวมครุภัณฑ์ 70'!R70="","",'รวมครุภัณฑ์ 70'!R70)</f>
        <v>2</v>
      </c>
      <c r="J245" s="244"/>
      <c r="K245" s="245">
        <f>'[1]รวมครุภัณฑ์ 70 (data)'!L71</f>
        <v>40000</v>
      </c>
      <c r="L245" s="245" t="str">
        <f t="shared" si="1"/>
        <v>เพิ่มประสิทธิภาพ</v>
      </c>
    </row>
    <row r="246" spans="1:12">
      <c r="A246" s="241" t="s">
        <v>1556</v>
      </c>
      <c r="B246" s="244">
        <f>'[1]รวมครุภัณฑ์ 70 (data)'!B72</f>
        <v>2570</v>
      </c>
      <c r="C246" s="241" t="s">
        <v>447</v>
      </c>
      <c r="D246" s="244" t="str">
        <f>'[1]รวมครุภัณฑ์ 70 (data)'!C72</f>
        <v>ครุภัณฑ์โฆษณาและเผยแพร่</v>
      </c>
      <c r="E246" s="244" t="str">
        <f>'[1]รวมครุภัณฑ์ 70 (data)'!G72</f>
        <v xml:space="preserve"> แฟลชทริกเกอร์ไร้สาย</v>
      </c>
      <c r="F246" s="244" t="str">
        <f>'[1]รวมครุภัณฑ์ 70 (data)'!H72</f>
        <v>กปส.</v>
      </c>
      <c r="G246" s="244" t="str">
        <f>'[1]รวมครุภัณฑ์ 70 (data)'!J72</f>
        <v>กรุงเทพมหานคร</v>
      </c>
      <c r="H246" s="244" t="str">
        <f>IF('รวมครุภัณฑ์ 70'!Q71="","",'รวมครุภัณฑ์ 70'!Q71)</f>
        <v/>
      </c>
      <c r="I246" s="244">
        <f>IF('รวมครุภัณฑ์ 70'!R71="","",'รวมครุภัณฑ์ 70'!R71)</f>
        <v>1</v>
      </c>
      <c r="J246" s="244"/>
      <c r="K246" s="245">
        <f>'[1]รวมครุภัณฑ์ 70 (data)'!L72</f>
        <v>3000</v>
      </c>
      <c r="L246" s="245" t="str">
        <f t="shared" si="1"/>
        <v>เพิ่มประสิทธิภาพ</v>
      </c>
    </row>
    <row r="247" spans="1:12">
      <c r="A247" s="241" t="s">
        <v>1557</v>
      </c>
      <c r="B247" s="244">
        <f>'[1]รวมครุภัณฑ์ 70 (data)'!B73</f>
        <v>2570</v>
      </c>
      <c r="C247" s="241" t="s">
        <v>447</v>
      </c>
      <c r="D247" s="244" t="str">
        <f>'[1]รวมครุภัณฑ์ 70 (data)'!C73</f>
        <v>ครุภัณฑ์โฆษณาและเผยแพร่</v>
      </c>
      <c r="E247" s="244" t="str">
        <f>'[1]รวมครุภัณฑ์ 70 (data)'!G73</f>
        <v>อุปกรณ์เสริมไฟสตูดิโอ</v>
      </c>
      <c r="F247" s="244" t="str">
        <f>'[1]รวมครุภัณฑ์ 70 (data)'!H73</f>
        <v>กปส.</v>
      </c>
      <c r="G247" s="244" t="str">
        <f>'[1]รวมครุภัณฑ์ 70 (data)'!J73</f>
        <v>กรุงเทพมหานคร</v>
      </c>
      <c r="H247" s="244" t="str">
        <f>IF('รวมครุภัณฑ์ 70'!Q72="","",'รวมครุภัณฑ์ 70'!Q72)</f>
        <v/>
      </c>
      <c r="I247" s="244">
        <f>IF('รวมครุภัณฑ์ 70'!R72="","",'รวมครุภัณฑ์ 70'!R72)</f>
        <v>2</v>
      </c>
      <c r="J247" s="244"/>
      <c r="K247" s="245">
        <f>'[1]รวมครุภัณฑ์ 70 (data)'!L73</f>
        <v>4000</v>
      </c>
      <c r="L247" s="245" t="str">
        <f t="shared" si="1"/>
        <v>เพิ่มประสิทธิภาพ</v>
      </c>
    </row>
    <row r="248" spans="1:12">
      <c r="A248" s="241" t="s">
        <v>1558</v>
      </c>
      <c r="B248" s="244">
        <f>'[1]รวมครุภัณฑ์ 70 (data)'!B74</f>
        <v>2570</v>
      </c>
      <c r="C248" s="241" t="s">
        <v>447</v>
      </c>
      <c r="D248" s="244" t="str">
        <f>'[1]รวมครุภัณฑ์ 70 (data)'!C74</f>
        <v>ครุภัณฑ์โฆษณาและเผยแพร่</v>
      </c>
      <c r="E248" s="244" t="str">
        <f>'[1]รวมครุภัณฑ์ 70 (data)'!G74</f>
        <v xml:space="preserve">ขาตั้งไฟ ขนาด 2.8m </v>
      </c>
      <c r="F248" s="244" t="str">
        <f>'[1]รวมครุภัณฑ์ 70 (data)'!H74</f>
        <v>กปส.</v>
      </c>
      <c r="G248" s="244" t="str">
        <f>'[1]รวมครุภัณฑ์ 70 (data)'!J74</f>
        <v>กรุงเทพมหานคร</v>
      </c>
      <c r="H248" s="244" t="str">
        <f>IF('รวมครุภัณฑ์ 70'!Q73="","",'รวมครุภัณฑ์ 70'!Q73)</f>
        <v/>
      </c>
      <c r="I248" s="244">
        <f>IF('รวมครุภัณฑ์ 70'!R73="","",'รวมครุภัณฑ์ 70'!R73)</f>
        <v>2</v>
      </c>
      <c r="J248" s="244"/>
      <c r="K248" s="245">
        <f>'[1]รวมครุภัณฑ์ 70 (data)'!L74</f>
        <v>5000</v>
      </c>
      <c r="L248" s="245" t="str">
        <f t="shared" si="1"/>
        <v>เพิ่มประสิทธิภาพ</v>
      </c>
    </row>
    <row r="249" spans="1:12">
      <c r="A249" s="241" t="s">
        <v>1559</v>
      </c>
      <c r="B249" s="244">
        <f>'[1]รวมครุภัณฑ์ 70 (data)'!B75</f>
        <v>2570</v>
      </c>
      <c r="C249" s="241" t="s">
        <v>447</v>
      </c>
      <c r="D249" s="244" t="str">
        <f>'[1]รวมครุภัณฑ์ 70 (data)'!C75</f>
        <v>ครุภัณฑ์โฆษณาและเผยแพร่</v>
      </c>
      <c r="E249" s="244" t="str">
        <f>'[1]รวมครุภัณฑ์ 70 (data)'!G75</f>
        <v>เครื่องคอมพิวเตอร์ สำหรับการออกแบบกราฟิก จอแสดงภาพขนาดไม่น้อยกว่า 24 นิ้ว</v>
      </c>
      <c r="F249" s="244" t="str">
        <f>'[1]รวมครุภัณฑ์ 70 (data)'!H75</f>
        <v>กปส.</v>
      </c>
      <c r="G249" s="244" t="str">
        <f>'[1]รวมครุภัณฑ์ 70 (data)'!J75</f>
        <v>กรุงเทพมหานคร</v>
      </c>
      <c r="H249" s="244" t="str">
        <f>IF('รวมครุภัณฑ์ 70'!Q74="","",'รวมครุภัณฑ์ 70'!Q74)</f>
        <v/>
      </c>
      <c r="I249" s="244">
        <f>IF('รวมครุภัณฑ์ 70'!R74="","",'รวมครุภัณฑ์ 70'!R74)</f>
        <v>2</v>
      </c>
      <c r="J249" s="244"/>
      <c r="K249" s="245">
        <f>'[1]รวมครุภัณฑ์ 70 (data)'!L75</f>
        <v>170000</v>
      </c>
      <c r="L249" s="245" t="str">
        <f t="shared" si="1"/>
        <v>เพิ่มประสิทธิภาพ</v>
      </c>
    </row>
    <row r="250" spans="1:12">
      <c r="A250" s="241" t="s">
        <v>1560</v>
      </c>
      <c r="B250" s="244">
        <f>'[1]รวมครุภัณฑ์ 70 (data)'!B76</f>
        <v>2570</v>
      </c>
      <c r="C250" s="241" t="s">
        <v>447</v>
      </c>
      <c r="D250" s="244" t="str">
        <f>'[1]รวมครุภัณฑ์ 70 (data)'!C76</f>
        <v>ครุภัณฑ์โฆษณาและเผยแพร่</v>
      </c>
      <c r="E250" s="244" t="str">
        <f>'[1]รวมครุภัณฑ์ 70 (data)'!G76</f>
        <v>จอแสดงภาพ ขนาดไม่น้อยกว่า 24 นิ้ว</v>
      </c>
      <c r="F250" s="244" t="str">
        <f>'[1]รวมครุภัณฑ์ 70 (data)'!H76</f>
        <v>กปส.</v>
      </c>
      <c r="G250" s="244" t="str">
        <f>'[1]รวมครุภัณฑ์ 70 (data)'!J76</f>
        <v>กรุงเทพมหานคร</v>
      </c>
      <c r="H250" s="244" t="str">
        <f>IF('รวมครุภัณฑ์ 70'!Q75="","",'รวมครุภัณฑ์ 70'!Q75)</f>
        <v/>
      </c>
      <c r="I250" s="244">
        <f>IF('รวมครุภัณฑ์ 70'!R75="","",'รวมครุภัณฑ์ 70'!R75)</f>
        <v>2</v>
      </c>
      <c r="J250" s="244"/>
      <c r="K250" s="245">
        <f>'[1]รวมครุภัณฑ์ 70 (data)'!L76</f>
        <v>9000</v>
      </c>
      <c r="L250" s="245" t="str">
        <f t="shared" si="1"/>
        <v>เพิ่มประสิทธิภาพ</v>
      </c>
    </row>
    <row r="251" spans="1:12">
      <c r="A251" s="241" t="s">
        <v>1561</v>
      </c>
      <c r="B251" s="244">
        <f>'[1]รวมครุภัณฑ์ 70 (data)'!B77</f>
        <v>2570</v>
      </c>
      <c r="C251" s="241" t="s">
        <v>447</v>
      </c>
      <c r="D251" s="244" t="str">
        <f>'[1]รวมครุภัณฑ์ 70 (data)'!C77</f>
        <v>ครุภัณฑ์โฆษณาและเผยแพร่</v>
      </c>
      <c r="E251" s="244" t="str">
        <f>'[1]รวมครุภัณฑ์ 70 (data)'!G77</f>
        <v>เครื่องคอมพิวเตอร์โน้ตบุ๊ก 
สำหรับการออกแบบกราฟิก</v>
      </c>
      <c r="F251" s="244" t="str">
        <f>'[1]รวมครุภัณฑ์ 70 (data)'!H77</f>
        <v>กปส.</v>
      </c>
      <c r="G251" s="244" t="str">
        <f>'[1]รวมครุภัณฑ์ 70 (data)'!J77</f>
        <v>กรุงเทพมหานคร</v>
      </c>
      <c r="H251" s="244" t="str">
        <f>IF('รวมครุภัณฑ์ 70'!Q76="","",'รวมครุภัณฑ์ 70'!Q76)</f>
        <v/>
      </c>
      <c r="I251" s="244">
        <f>IF('รวมครุภัณฑ์ 70'!R76="","",'รวมครุภัณฑ์ 70'!R76)</f>
        <v>2</v>
      </c>
      <c r="J251" s="244"/>
      <c r="K251" s="245">
        <f>'[1]รวมครุภัณฑ์ 70 (data)'!L77</f>
        <v>110000</v>
      </c>
      <c r="L251" s="245" t="str">
        <f t="shared" si="1"/>
        <v>เพิ่มประสิทธิภาพ</v>
      </c>
    </row>
    <row r="252" spans="1:12">
      <c r="A252" s="241" t="s">
        <v>1562</v>
      </c>
      <c r="B252" s="244">
        <f>'[1]รวมครุภัณฑ์ 70 (data)'!B78</f>
        <v>2570</v>
      </c>
      <c r="C252" s="241" t="s">
        <v>447</v>
      </c>
      <c r="D252" s="244" t="str">
        <f>'[1]รวมครุภัณฑ์ 70 (data)'!C78</f>
        <v>ครุภัณฑ์โฆษณาและเผยแพร่</v>
      </c>
      <c r="E252" s="244" t="str">
        <f>'[1]รวมครุภัณฑ์ 70 (data)'!G78</f>
        <v>เครื่องสำรองไฟฟ้า ขนาด 2 kVA</v>
      </c>
      <c r="F252" s="244" t="str">
        <f>'[1]รวมครุภัณฑ์ 70 (data)'!H78</f>
        <v>กปส.</v>
      </c>
      <c r="G252" s="244" t="str">
        <f>'[1]รวมครุภัณฑ์ 70 (data)'!J78</f>
        <v>กรุงเทพมหานคร</v>
      </c>
      <c r="H252" s="244" t="str">
        <f>IF('รวมครุภัณฑ์ 70'!Q77="","",'รวมครุภัณฑ์ 70'!Q77)</f>
        <v/>
      </c>
      <c r="I252" s="244">
        <f>IF('รวมครุภัณฑ์ 70'!R77="","",'รวมครุภัณฑ์ 70'!R77)</f>
        <v>2</v>
      </c>
      <c r="J252" s="244"/>
      <c r="K252" s="245">
        <f>'[1]รวมครุภัณฑ์ 70 (data)'!L78</f>
        <v>22000</v>
      </c>
      <c r="L252" s="245" t="str">
        <f t="shared" si="1"/>
        <v>เพิ่มประสิทธิภาพ</v>
      </c>
    </row>
    <row r="253" spans="1:12">
      <c r="A253" s="241" t="s">
        <v>1563</v>
      </c>
      <c r="B253" s="244">
        <f>'[1]รวมครุภัณฑ์ 70 (data)'!B79</f>
        <v>2570</v>
      </c>
      <c r="C253" s="241" t="s">
        <v>447</v>
      </c>
      <c r="D253" s="244" t="str">
        <f>'[1]รวมครุภัณฑ์ 70 (data)'!C79</f>
        <v>ครุภัณฑ์โฆษณาและเผยแพร่</v>
      </c>
      <c r="E253" s="244" t="str">
        <f>'[1]รวมครุภัณฑ์ 70 (data)'!G79</f>
        <v>จอแสดงผลแบบสัมผัส ขนาดไม่น้อยกว่า 65 นิ้ว</v>
      </c>
      <c r="F253" s="244" t="str">
        <f>'[1]รวมครุภัณฑ์ 70 (data)'!H79</f>
        <v>กปส.</v>
      </c>
      <c r="G253" s="244" t="str">
        <f>'[1]รวมครุภัณฑ์ 70 (data)'!J79</f>
        <v>กรุงเทพมหานคร</v>
      </c>
      <c r="H253" s="244" t="str">
        <f>IF('รวมครุภัณฑ์ 70'!Q78="","",'รวมครุภัณฑ์ 70'!Q78)</f>
        <v/>
      </c>
      <c r="I253" s="244">
        <f>IF('รวมครุภัณฑ์ 70'!R78="","",'รวมครุภัณฑ์ 70'!R78)</f>
        <v>2</v>
      </c>
      <c r="J253" s="244"/>
      <c r="K253" s="245">
        <f>'[1]รวมครุภัณฑ์ 70 (data)'!L79</f>
        <v>350000</v>
      </c>
      <c r="L253" s="245" t="str">
        <f t="shared" si="1"/>
        <v>เพิ่มประสิทธิภาพ</v>
      </c>
    </row>
    <row r="254" spans="1:12">
      <c r="A254" s="241" t="s">
        <v>1564</v>
      </c>
      <c r="B254" s="244">
        <f>'[1]รวมครุภัณฑ์ 70 (data)'!B80</f>
        <v>2570</v>
      </c>
      <c r="C254" s="241" t="s">
        <v>447</v>
      </c>
      <c r="D254" s="244" t="str">
        <f>'[1]รวมครุภัณฑ์ 70 (data)'!C80</f>
        <v>ครุภัณฑ์โฆษณาและเผยแพร่</v>
      </c>
      <c r="E254" s="244" t="str">
        <f>'[1]รวมครุภัณฑ์ 70 (data)'!G80</f>
        <v>ตู้คีออส (Digital Signage Kiosk) ขนาดไม่น้อยกว่า 55 นิ้ว</v>
      </c>
      <c r="F254" s="244" t="str">
        <f>'[1]รวมครุภัณฑ์ 70 (data)'!H80</f>
        <v>กปส.</v>
      </c>
      <c r="G254" s="244" t="str">
        <f>'[1]รวมครุภัณฑ์ 70 (data)'!J80</f>
        <v>กรุงเทพมหานคร</v>
      </c>
      <c r="H254" s="244" t="str">
        <f>IF('รวมครุภัณฑ์ 70'!Q79="","",'รวมครุภัณฑ์ 70'!Q79)</f>
        <v/>
      </c>
      <c r="I254" s="244">
        <f>IF('รวมครุภัณฑ์ 70'!R79="","",'รวมครุภัณฑ์ 70'!R79)</f>
        <v>2</v>
      </c>
      <c r="J254" s="244"/>
      <c r="K254" s="245">
        <f>'[1]รวมครุภัณฑ์ 70 (data)'!L80</f>
        <v>148000</v>
      </c>
      <c r="L254" s="245" t="str">
        <f t="shared" si="1"/>
        <v>เพิ่มประสิทธิภาพ</v>
      </c>
    </row>
    <row r="255" spans="1:12">
      <c r="A255" s="241" t="s">
        <v>1565</v>
      </c>
      <c r="B255" s="244">
        <f>'[1]รวมครุภัณฑ์ 70 (data)'!B81</f>
        <v>2570</v>
      </c>
      <c r="C255" s="241" t="s">
        <v>447</v>
      </c>
      <c r="D255" s="244" t="str">
        <f>'[1]รวมครุภัณฑ์ 70 (data)'!C81</f>
        <v>ครุภัณฑ์โฆษณาและเผยแพร่</v>
      </c>
      <c r="E255" s="244" t="str">
        <f>'[1]รวมครุภัณฑ์ 70 (data)'!G81</f>
        <v>โทรทัศน์แอล อีดี(LED TV) แบบ Smart TV</v>
      </c>
      <c r="F255" s="244" t="str">
        <f>'[1]รวมครุภัณฑ์ 70 (data)'!H81</f>
        <v>กปส.</v>
      </c>
      <c r="G255" s="244" t="str">
        <f>'[1]รวมครุภัณฑ์ 70 (data)'!J81</f>
        <v>กรุงเทพมหานคร</v>
      </c>
      <c r="H255" s="244" t="str">
        <f>IF('รวมครุภัณฑ์ 70'!Q80="","",'รวมครุภัณฑ์ 70'!Q80)</f>
        <v/>
      </c>
      <c r="I255" s="244">
        <f>IF('รวมครุภัณฑ์ 70'!R80="","",'รวมครุภัณฑ์ 70'!R80)</f>
        <v>1</v>
      </c>
      <c r="J255" s="244"/>
      <c r="K255" s="245">
        <f>'[1]รวมครุภัณฑ์ 70 (data)'!L81</f>
        <v>15000</v>
      </c>
      <c r="L255" s="245" t="str">
        <f t="shared" si="1"/>
        <v>เพิ่มประสิทธิภาพ</v>
      </c>
    </row>
    <row r="256" spans="1:12">
      <c r="A256" s="241" t="s">
        <v>1566</v>
      </c>
      <c r="B256" s="244">
        <f>'[1]รวมครุภัณฑ์ 70 (data)'!B82</f>
        <v>2570</v>
      </c>
      <c r="C256" s="241" t="s">
        <v>447</v>
      </c>
      <c r="D256" s="244" t="str">
        <f>'[1]รวมครุภัณฑ์ 70 (data)'!C82</f>
        <v>ครุภัณฑ์สำนักงาน</v>
      </c>
      <c r="E256" s="244" t="str">
        <f>'[1]รวมครุภัณฑ์ 70 (data)'!G82</f>
        <v xml:space="preserve"> เครื่องถ่ายเอกสารระบบดิจิตอล (ขาว-ดำ) ความเร็ว 40 แผ่นต่อนาที</v>
      </c>
      <c r="F256" s="244" t="str">
        <f>'[1]รวมครุภัณฑ์ 70 (data)'!H82</f>
        <v>พมจ.นราธิวาส</v>
      </c>
      <c r="G256" s="244" t="str">
        <f>'[1]รวมครุภัณฑ์ 70 (data)'!J82</f>
        <v>นราธิวาส</v>
      </c>
      <c r="H256" s="244" t="str">
        <f>IF('รวมครุภัณฑ์ 70'!Q81="","",'รวมครุภัณฑ์ 70'!Q81)</f>
        <v/>
      </c>
      <c r="I256" s="244">
        <f>IF('รวมครุภัณฑ์ 70'!R81="","",'รวมครุภัณฑ์ 70'!R81)</f>
        <v>1</v>
      </c>
      <c r="J256" s="244"/>
      <c r="K256" s="245">
        <f>'[1]รวมครุภัณฑ์ 70 (data)'!L82</f>
        <v>180000</v>
      </c>
      <c r="L256" s="245" t="str">
        <f t="shared" si="1"/>
        <v>เพิ่มประสิทธิภาพ</v>
      </c>
    </row>
    <row r="257" spans="1:12">
      <c r="A257" s="241" t="s">
        <v>1567</v>
      </c>
      <c r="B257" s="244">
        <f>'[1]รวมครุภัณฑ์ 70 (data)'!B83</f>
        <v>2570</v>
      </c>
      <c r="C257" s="241" t="s">
        <v>447</v>
      </c>
      <c r="D257" s="244" t="str">
        <f>'[1]รวมครุภัณฑ์ 70 (data)'!C83</f>
        <v>ครุภัณฑ์สำนักงาน</v>
      </c>
      <c r="E257" s="244" t="str">
        <f>'[1]รวมครุภัณฑ์ 70 (data)'!G83</f>
        <v xml:space="preserve"> เครื่องถ่ายเอกสารระบบดิจิตอล (ขาว-ดำ) ความเร็ว 40 แผ่นต่อนาที</v>
      </c>
      <c r="F257" s="244" t="str">
        <f>'[1]รวมครุภัณฑ์ 70 (data)'!H83</f>
        <v>พมจ.ลำพูน</v>
      </c>
      <c r="G257" s="244" t="str">
        <f>'[1]รวมครุภัณฑ์ 70 (data)'!J83</f>
        <v>ลำพูน</v>
      </c>
      <c r="H257" s="244" t="str">
        <f>IF('รวมครุภัณฑ์ 70'!Q82="","",'รวมครุภัณฑ์ 70'!Q82)</f>
        <v/>
      </c>
      <c r="I257" s="244">
        <f>IF('รวมครุภัณฑ์ 70'!R82="","",'รวมครุภัณฑ์ 70'!R82)</f>
        <v>1</v>
      </c>
      <c r="J257" s="244"/>
      <c r="K257" s="245">
        <f>'[1]รวมครุภัณฑ์ 70 (data)'!L83</f>
        <v>180000</v>
      </c>
      <c r="L257" s="245" t="str">
        <f t="shared" si="1"/>
        <v>เพิ่มประสิทธิภาพ</v>
      </c>
    </row>
    <row r="258" spans="1:12">
      <c r="A258" s="241" t="s">
        <v>1568</v>
      </c>
      <c r="B258" s="244">
        <f>'[1]รวมครุภัณฑ์ 70 (data)'!B84</f>
        <v>2570</v>
      </c>
      <c r="C258" s="241" t="s">
        <v>447</v>
      </c>
      <c r="D258" s="244" t="str">
        <f>'[1]รวมครุภัณฑ์ 70 (data)'!C84</f>
        <v>ครุภัณฑ์สำนักงาน</v>
      </c>
      <c r="E258" s="244" t="str">
        <f>'[1]รวมครุภัณฑ์ 70 (data)'!G84</f>
        <v xml:space="preserve"> เครื่องถ่ายเอกสารระบบดิจิตอล (ขาว-ดำ) ความเร็ว 50 แผ่นต่อนาที</v>
      </c>
      <c r="F258" s="244" t="str">
        <f>'[1]รวมครุภัณฑ์ 70 (data)'!H84</f>
        <v>พมจ.สมุทรสงคราม</v>
      </c>
      <c r="G258" s="244" t="str">
        <f>'[1]รวมครุภัณฑ์ 70 (data)'!J84</f>
        <v>สมุทรสงคราม</v>
      </c>
      <c r="H258" s="244" t="str">
        <f>IF('รวมครุภัณฑ์ 70'!Q83="","",'รวมครุภัณฑ์ 70'!Q83)</f>
        <v/>
      </c>
      <c r="I258" s="244">
        <f>IF('รวมครุภัณฑ์ 70'!R83="","",'รวมครุภัณฑ์ 70'!R83)</f>
        <v>1</v>
      </c>
      <c r="J258" s="244"/>
      <c r="K258" s="245">
        <f>'[1]รวมครุภัณฑ์ 70 (data)'!L84</f>
        <v>200000</v>
      </c>
      <c r="L258" s="245" t="str">
        <f t="shared" si="1"/>
        <v>เพิ่มประสิทธิภาพ</v>
      </c>
    </row>
    <row r="259" spans="1:12">
      <c r="A259" s="241" t="s">
        <v>1569</v>
      </c>
      <c r="B259" s="244">
        <f>'[1]รวมครุภัณฑ์ 70 (data)'!B85</f>
        <v>2570</v>
      </c>
      <c r="C259" s="241" t="s">
        <v>447</v>
      </c>
      <c r="D259" s="244" t="str">
        <f>'[1]รวมครุภัณฑ์ 70 (data)'!C85</f>
        <v>ครุภัณฑ์สำนักงาน</v>
      </c>
      <c r="E259" s="244" t="str">
        <f>'[1]รวมครุภัณฑ์ 70 (data)'!G85</f>
        <v xml:space="preserve"> เครื่องถ่ายเอกสารระบบดิจิตอล (ขาว-ดำ) ความเร็ว 50 แผ่นต่อนาที</v>
      </c>
      <c r="F259" s="244" t="str">
        <f>'[1]รวมครุภัณฑ์ 70 (data)'!H85</f>
        <v>พมจ.กาญจนบุรี</v>
      </c>
      <c r="G259" s="244" t="str">
        <f>'[1]รวมครุภัณฑ์ 70 (data)'!J85</f>
        <v>กาญจนบุรี</v>
      </c>
      <c r="H259" s="244">
        <f>IF('รวมครุภัณฑ์ 70'!Q84="","",'รวมครุภัณฑ์ 70'!Q84)</f>
        <v>1</v>
      </c>
      <c r="I259" s="244" t="str">
        <f>IF('รวมครุภัณฑ์ 70'!R84="","",'รวมครุภัณฑ์ 70'!R84)</f>
        <v/>
      </c>
      <c r="J259" s="244"/>
      <c r="K259" s="245">
        <f>'[1]รวมครุภัณฑ์ 70 (data)'!L85</f>
        <v>200000</v>
      </c>
      <c r="L259" s="245" t="str">
        <f t="shared" si="1"/>
        <v>ทดแทนครุภัณฑ์เดิม</v>
      </c>
    </row>
    <row r="260" spans="1:12">
      <c r="A260" s="241" t="s">
        <v>1570</v>
      </c>
      <c r="B260" s="244">
        <f>'[1]รวมครุภัณฑ์ 70 (data)'!B86</f>
        <v>2570</v>
      </c>
      <c r="C260" s="241" t="s">
        <v>447</v>
      </c>
      <c r="D260" s="244" t="str">
        <f>'[1]รวมครุภัณฑ์ 70 (data)'!C86</f>
        <v>ครุภัณฑ์สำนักงาน</v>
      </c>
      <c r="E260" s="244" t="str">
        <f>'[1]รวมครุภัณฑ์ 70 (data)'!G86</f>
        <v xml:space="preserve"> เครื่องถ่ายเอกสารระบบดิจิตอล (ขาว-ดำ) ความเร็ว 50 แผ่นต่อนาที</v>
      </c>
      <c r="F260" s="244" t="str">
        <f>'[1]รวมครุภัณฑ์ 70 (data)'!H86</f>
        <v>พมจ.ตาก</v>
      </c>
      <c r="G260" s="244" t="str">
        <f>'[1]รวมครุภัณฑ์ 70 (data)'!J86</f>
        <v>ตาก</v>
      </c>
      <c r="H260" s="244" t="str">
        <f>IF('รวมครุภัณฑ์ 70'!Q85="","",'รวมครุภัณฑ์ 70'!Q85)</f>
        <v/>
      </c>
      <c r="I260" s="244">
        <f>IF('รวมครุภัณฑ์ 70'!R85="","",'รวมครุภัณฑ์ 70'!R85)</f>
        <v>1</v>
      </c>
      <c r="J260" s="244"/>
      <c r="K260" s="245">
        <f>'[1]รวมครุภัณฑ์ 70 (data)'!L86</f>
        <v>200000</v>
      </c>
      <c r="L260" s="245" t="str">
        <f t="shared" si="1"/>
        <v>เพิ่มประสิทธิภาพ</v>
      </c>
    </row>
    <row r="261" spans="1:12">
      <c r="A261" s="241" t="s">
        <v>1571</v>
      </c>
      <c r="B261" s="244">
        <f>'[1]รวมครุภัณฑ์ 70 (data)'!B87</f>
        <v>2570</v>
      </c>
      <c r="C261" s="241" t="s">
        <v>447</v>
      </c>
      <c r="D261" s="244" t="str">
        <f>'[1]รวมครุภัณฑ์ 70 (data)'!C87</f>
        <v>ครุภัณฑ์สำนักงาน</v>
      </c>
      <c r="E261" s="244" t="str">
        <f>'[1]รวมครุภัณฑ์ 70 (data)'!G87</f>
        <v xml:space="preserve"> เครื่องถ่ายเอกสารระบบดิจิตอล (ขาว-ดำ และสี) ความเร็ว 30 แผ่นต่อนาที</v>
      </c>
      <c r="F261" s="244" t="str">
        <f>'[1]รวมครุภัณฑ์ 70 (data)'!H87</f>
        <v>พมจ.ชลบุรี</v>
      </c>
      <c r="G261" s="244" t="str">
        <f>'[1]รวมครุภัณฑ์ 70 (data)'!J87</f>
        <v>ชลบุรี</v>
      </c>
      <c r="H261" s="244" t="str">
        <f>IF('รวมครุภัณฑ์ 70'!Q86="","",'รวมครุภัณฑ์ 70'!Q86)</f>
        <v/>
      </c>
      <c r="I261" s="244">
        <f>IF('รวมครุภัณฑ์ 70'!R86="","",'รวมครุภัณฑ์ 70'!R86)</f>
        <v>1</v>
      </c>
      <c r="J261" s="244"/>
      <c r="K261" s="245">
        <f>'[1]รวมครุภัณฑ์ 70 (data)'!L87</f>
        <v>250000</v>
      </c>
      <c r="L261" s="245" t="str">
        <f t="shared" si="1"/>
        <v>เพิ่มประสิทธิภาพ</v>
      </c>
    </row>
    <row r="262" spans="1:12">
      <c r="A262" s="241" t="s">
        <v>1572</v>
      </c>
      <c r="B262" s="244">
        <f>'[1]รวมครุภัณฑ์ 70 (data)'!B88</f>
        <v>2570</v>
      </c>
      <c r="C262" s="241" t="s">
        <v>447</v>
      </c>
      <c r="D262" s="244" t="str">
        <f>'[1]รวมครุภัณฑ์ 70 (data)'!C88</f>
        <v>ครุภัณฑ์สำนักงาน</v>
      </c>
      <c r="E262" s="244" t="str">
        <f>'[1]รวมครุภัณฑ์ 70 (data)'!G88</f>
        <v xml:space="preserve"> เครื่องถ่ายเอกสารระบบดิจิตอล (ขาว-ดำ) ความเร็ว 30 แผ่นต่อนาที</v>
      </c>
      <c r="F262" s="244" t="str">
        <f>'[1]รวมครุภัณฑ์ 70 (data)'!H88</f>
        <v>พมจ.สระแก้ว</v>
      </c>
      <c r="G262" s="244" t="str">
        <f>'[1]รวมครุภัณฑ์ 70 (data)'!J88</f>
        <v>สระแก้ว</v>
      </c>
      <c r="H262" s="244">
        <f>IF('รวมครุภัณฑ์ 70'!Q87="","",'รวมครุภัณฑ์ 70'!Q87)</f>
        <v>1</v>
      </c>
      <c r="I262" s="244" t="str">
        <f>IF('รวมครุภัณฑ์ 70'!R87="","",'รวมครุภัณฑ์ 70'!R87)</f>
        <v/>
      </c>
      <c r="J262" s="244"/>
      <c r="K262" s="245">
        <f>'[1]รวมครุภัณฑ์ 70 (data)'!L88</f>
        <v>120000</v>
      </c>
      <c r="L262" s="245" t="str">
        <f t="shared" si="1"/>
        <v>ทดแทนครุภัณฑ์เดิม</v>
      </c>
    </row>
    <row r="263" spans="1:12">
      <c r="A263" s="241" t="s">
        <v>1573</v>
      </c>
      <c r="B263" s="244">
        <f>'[1]รวมครุภัณฑ์ 70 (data)'!B89</f>
        <v>2570</v>
      </c>
      <c r="C263" s="241" t="s">
        <v>447</v>
      </c>
      <c r="D263" s="244" t="str">
        <f>'[1]รวมครุภัณฑ์ 70 (data)'!C89</f>
        <v>ครุภัณฑ์สำนักงาน</v>
      </c>
      <c r="E263" s="244" t="str">
        <f>'[1]รวมครุภัณฑ์ 70 (data)'!G89</f>
        <v xml:space="preserve"> เครื่องถ่ายเอกสารระบบดิจิตอล (ขาว-ดำ) ความเร็ว 30 แผ่นต่อนาที</v>
      </c>
      <c r="F263" s="244" t="str">
        <f>'[1]รวมครุภัณฑ์ 70 (data)'!H89</f>
        <v>พมจ.อ่างทอง</v>
      </c>
      <c r="G263" s="244" t="str">
        <f>'[1]รวมครุภัณฑ์ 70 (data)'!J89</f>
        <v>อ่างทอง</v>
      </c>
      <c r="H263" s="244">
        <f>IF('รวมครุภัณฑ์ 70'!Q88="","",'รวมครุภัณฑ์ 70'!Q88)</f>
        <v>1</v>
      </c>
      <c r="I263" s="244" t="str">
        <f>IF('รวมครุภัณฑ์ 70'!R88="","",'รวมครุภัณฑ์ 70'!R88)</f>
        <v/>
      </c>
      <c r="J263" s="244"/>
      <c r="K263" s="245">
        <f>'[1]รวมครุภัณฑ์ 70 (data)'!L89</f>
        <v>120000</v>
      </c>
      <c r="L263" s="245" t="str">
        <f t="shared" si="1"/>
        <v>ทดแทนครุภัณฑ์เดิม</v>
      </c>
    </row>
    <row r="264" spans="1:12">
      <c r="A264" s="241" t="s">
        <v>1574</v>
      </c>
      <c r="B264" s="244">
        <f>'[1]รวมครุภัณฑ์ 70 (data)'!B90</f>
        <v>2570</v>
      </c>
      <c r="C264" s="241" t="s">
        <v>447</v>
      </c>
      <c r="D264" s="244" t="str">
        <f>'[1]รวมครุภัณฑ์ 70 (data)'!C90</f>
        <v>ครุภัณฑ์สำนักงาน</v>
      </c>
      <c r="E264" s="244" t="str">
        <f>'[1]รวมครุภัณฑ์ 70 (data)'!G90</f>
        <v xml:space="preserve"> เครื่องถ่ายเอกสารระบบดิจิตอล (ขาว-ดำ) ความเร็ว 30 แผ่นต่อนาที</v>
      </c>
      <c r="F264" s="244" t="str">
        <f>'[1]รวมครุภัณฑ์ 70 (data)'!H90</f>
        <v>พมจ.ยโสธร</v>
      </c>
      <c r="G264" s="244" t="str">
        <f>'[1]รวมครุภัณฑ์ 70 (data)'!J90</f>
        <v>ยโสธร</v>
      </c>
      <c r="H264" s="244" t="str">
        <f>IF('รวมครุภัณฑ์ 70'!Q89="","",'รวมครุภัณฑ์ 70'!Q89)</f>
        <v/>
      </c>
      <c r="I264" s="244">
        <f>IF('รวมครุภัณฑ์ 70'!R89="","",'รวมครุภัณฑ์ 70'!R89)</f>
        <v>1</v>
      </c>
      <c r="J264" s="244"/>
      <c r="K264" s="245">
        <f>'[1]รวมครุภัณฑ์ 70 (data)'!L90</f>
        <v>120000</v>
      </c>
      <c r="L264" s="245" t="str">
        <f t="shared" si="1"/>
        <v>เพิ่มประสิทธิภาพ</v>
      </c>
    </row>
    <row r="265" spans="1:12">
      <c r="A265" s="241" t="s">
        <v>1575</v>
      </c>
      <c r="B265" s="244">
        <f>'[1]รวมครุภัณฑ์ 70 (data)'!B91</f>
        <v>2570</v>
      </c>
      <c r="C265" s="241" t="s">
        <v>447</v>
      </c>
      <c r="D265" s="244" t="str">
        <f>'[1]รวมครุภัณฑ์ 70 (data)'!C91</f>
        <v>ครุภัณฑ์สำนักงาน</v>
      </c>
      <c r="E265" s="244" t="str">
        <f>'[1]รวมครุภัณฑ์ 70 (data)'!G91</f>
        <v>เครื่องพิมพ์สําเนาระบบดิจิทัล ความละเอียด 300 x 600 จุดต่อตารางนิ้ว</v>
      </c>
      <c r="F265" s="244" t="str">
        <f>'[1]รวมครุภัณฑ์ 70 (data)'!H91</f>
        <v>พมจ.นราธิวาส</v>
      </c>
      <c r="G265" s="244" t="str">
        <f>'[1]รวมครุภัณฑ์ 70 (data)'!J91</f>
        <v>นราธิวาส</v>
      </c>
      <c r="H265" s="244" t="str">
        <f>IF('รวมครุภัณฑ์ 70'!Q90="","",'รวมครุภัณฑ์ 70'!Q90)</f>
        <v/>
      </c>
      <c r="I265" s="244">
        <f>IF('รวมครุภัณฑ์ 70'!R90="","",'รวมครุภัณฑ์ 70'!R90)</f>
        <v>1</v>
      </c>
      <c r="J265" s="244"/>
      <c r="K265" s="245">
        <f>'[1]รวมครุภัณฑ์ 70 (data)'!L91</f>
        <v>180000</v>
      </c>
      <c r="L265" s="245" t="str">
        <f t="shared" si="1"/>
        <v>เพิ่มประสิทธิภาพ</v>
      </c>
    </row>
    <row r="266" spans="1:12">
      <c r="A266" s="241" t="s">
        <v>1576</v>
      </c>
      <c r="B266" s="244">
        <f>'[1]รวมครุภัณฑ์ 70 (data)'!B92</f>
        <v>2570</v>
      </c>
      <c r="C266" s="241" t="s">
        <v>447</v>
      </c>
      <c r="D266" s="244" t="str">
        <f>'[1]รวมครุภัณฑ์ 70 (data)'!C92</f>
        <v>ครุภัณฑ์สำนักงาน</v>
      </c>
      <c r="E266" s="244" t="str">
        <f>'[1]รวมครุภัณฑ์ 70 (data)'!G92</f>
        <v>เครื่องดูดฝุ่น ขนาด 15 ลิตร</v>
      </c>
      <c r="F266" s="244" t="str">
        <f>'[1]รวมครุภัณฑ์ 70 (data)'!H92</f>
        <v>พมจ.อุดรธานี</v>
      </c>
      <c r="G266" s="244" t="str">
        <f>'[1]รวมครุภัณฑ์ 70 (data)'!J92</f>
        <v>อุดรธานี</v>
      </c>
      <c r="H266" s="244" t="str">
        <f>IF('รวมครุภัณฑ์ 70'!Q91="","",'รวมครุภัณฑ์ 70'!Q91)</f>
        <v/>
      </c>
      <c r="I266" s="244">
        <f>IF('รวมครุภัณฑ์ 70'!R91="","",'รวมครุภัณฑ์ 70'!R91)</f>
        <v>1</v>
      </c>
      <c r="J266" s="244"/>
      <c r="K266" s="245">
        <f>'[1]รวมครุภัณฑ์ 70 (data)'!L92</f>
        <v>8600</v>
      </c>
      <c r="L266" s="245" t="str">
        <f t="shared" si="1"/>
        <v>เพิ่มประสิทธิภาพ</v>
      </c>
    </row>
    <row r="267" spans="1:12">
      <c r="A267" s="241" t="s">
        <v>1577</v>
      </c>
      <c r="B267" s="244">
        <f>'[1]รวมครุภัณฑ์ 70 (data)'!B93</f>
        <v>2570</v>
      </c>
      <c r="C267" s="241" t="s">
        <v>447</v>
      </c>
      <c r="D267" s="244" t="str">
        <f>'[1]รวมครุภัณฑ์ 70 (data)'!C93</f>
        <v>ครุภัณฑ์สำนักงาน</v>
      </c>
      <c r="E267" s="244" t="str">
        <f>'[1]รวมครุภัณฑ์ 70 (data)'!G93</f>
        <v>เครื่องดูดฝุ่น ขนาด 15 ลิตร</v>
      </c>
      <c r="F267" s="244" t="str">
        <f>'[1]รวมครุภัณฑ์ 70 (data)'!H93</f>
        <v>พมจ.ลพบุรี</v>
      </c>
      <c r="G267" s="244" t="str">
        <f>'[1]รวมครุภัณฑ์ 70 (data)'!J93</f>
        <v>ลพบุรี</v>
      </c>
      <c r="H267" s="244" t="str">
        <f>IF('รวมครุภัณฑ์ 70'!Q92="","",'รวมครุภัณฑ์ 70'!Q92)</f>
        <v/>
      </c>
      <c r="I267" s="244">
        <f>IF('รวมครุภัณฑ์ 70'!R92="","",'รวมครุภัณฑ์ 70'!R92)</f>
        <v>1</v>
      </c>
      <c r="J267" s="244"/>
      <c r="K267" s="245">
        <f>'[1]รวมครุภัณฑ์ 70 (data)'!L93</f>
        <v>8000</v>
      </c>
      <c r="L267" s="245" t="str">
        <f t="shared" si="1"/>
        <v>เพิ่มประสิทธิภาพ</v>
      </c>
    </row>
    <row r="268" spans="1:12">
      <c r="A268" s="241" t="s">
        <v>1578</v>
      </c>
      <c r="B268" s="244">
        <f>'[1]รวมครุภัณฑ์ 70 (data)'!B94</f>
        <v>2570</v>
      </c>
      <c r="C268" s="241" t="s">
        <v>447</v>
      </c>
      <c r="D268" s="244" t="str">
        <f>'[1]รวมครุภัณฑ์ 70 (data)'!C94</f>
        <v>ครุภัณฑ์สำนักงาน</v>
      </c>
      <c r="E268" s="244" t="str">
        <f>'[1]รวมครุภัณฑ์ 70 (data)'!G94</f>
        <v>เครื่องดูดฝุ่น ขนาด 15 ลิตร</v>
      </c>
      <c r="F268" s="244" t="str">
        <f>'[1]รวมครุภัณฑ์ 70 (data)'!H94</f>
        <v>พมจ.ระนอง</v>
      </c>
      <c r="G268" s="244" t="str">
        <f>'[1]รวมครุภัณฑ์ 70 (data)'!J94</f>
        <v>ระนอง</v>
      </c>
      <c r="H268" s="244" t="str">
        <f>IF('รวมครุภัณฑ์ 70'!Q93="","",'รวมครุภัณฑ์ 70'!Q93)</f>
        <v/>
      </c>
      <c r="I268" s="244">
        <f>IF('รวมครุภัณฑ์ 70'!R93="","",'รวมครุภัณฑ์ 70'!R93)</f>
        <v>1</v>
      </c>
      <c r="J268" s="244"/>
      <c r="K268" s="245">
        <f>'[1]รวมครุภัณฑ์ 70 (data)'!L94</f>
        <v>8600</v>
      </c>
      <c r="L268" s="245" t="str">
        <f t="shared" si="1"/>
        <v>เพิ่มประสิทธิภาพ</v>
      </c>
    </row>
    <row r="269" spans="1:12">
      <c r="A269" s="241" t="s">
        <v>1579</v>
      </c>
      <c r="B269" s="244">
        <f>'[1]รวมครุภัณฑ์ 70 (data)'!B95</f>
        <v>2570</v>
      </c>
      <c r="C269" s="241" t="s">
        <v>447</v>
      </c>
      <c r="D269" s="244" t="str">
        <f>'[1]รวมครุภัณฑ์ 70 (data)'!C95</f>
        <v>ครุภัณฑ์สำนักงาน</v>
      </c>
      <c r="E269" s="244" t="str">
        <f>'[1]รวมครุภัณฑ์ 70 (data)'!G95</f>
        <v>เครื่องดูดฝุ่น ขนาด 15 ลิตร</v>
      </c>
      <c r="F269" s="244" t="str">
        <f>'[1]รวมครุภัณฑ์ 70 (data)'!H95</f>
        <v>พมจ.เลย</v>
      </c>
      <c r="G269" s="244" t="str">
        <f>'[1]รวมครุภัณฑ์ 70 (data)'!J95</f>
        <v>เลย</v>
      </c>
      <c r="H269" s="244" t="str">
        <f>IF('รวมครุภัณฑ์ 70'!Q94="","",'รวมครุภัณฑ์ 70'!Q94)</f>
        <v/>
      </c>
      <c r="I269" s="244">
        <f>IF('รวมครุภัณฑ์ 70'!R94="","",'รวมครุภัณฑ์ 70'!R94)</f>
        <v>1</v>
      </c>
      <c r="J269" s="244"/>
      <c r="K269" s="245">
        <f>'[1]รวมครุภัณฑ์ 70 (data)'!L95</f>
        <v>8600</v>
      </c>
      <c r="L269" s="245" t="str">
        <f t="shared" si="1"/>
        <v>เพิ่มประสิทธิภาพ</v>
      </c>
    </row>
    <row r="270" spans="1:12">
      <c r="A270" s="241" t="s">
        <v>1580</v>
      </c>
      <c r="B270" s="244">
        <f>'[1]รวมครุภัณฑ์ 70 (data)'!B96</f>
        <v>2570</v>
      </c>
      <c r="C270" s="241" t="s">
        <v>447</v>
      </c>
      <c r="D270" s="244" t="str">
        <f>'[1]รวมครุภัณฑ์ 70 (data)'!C96</f>
        <v>ครุภัณฑ์สำนักงาน</v>
      </c>
      <c r="E270" s="244" t="str">
        <f>'[1]รวมครุภัณฑ์ 70 (data)'!G96</f>
        <v>เครื่องดูดฝุ่น ขนาด 25 ลิตร</v>
      </c>
      <c r="F270" s="244" t="str">
        <f>'[1]รวมครุภัณฑ์ 70 (data)'!H96</f>
        <v>พมจ.เชียงใหม่</v>
      </c>
      <c r="G270" s="244" t="str">
        <f>'[1]รวมครุภัณฑ์ 70 (data)'!J96</f>
        <v>เชียงใหม่</v>
      </c>
      <c r="H270" s="244" t="str">
        <f>IF('รวมครุภัณฑ์ 70'!Q95="","",'รวมครุภัณฑ์ 70'!Q95)</f>
        <v/>
      </c>
      <c r="I270" s="244">
        <f>IF('รวมครุภัณฑ์ 70'!R95="","",'รวมครุภัณฑ์ 70'!R95)</f>
        <v>1</v>
      </c>
      <c r="J270" s="244"/>
      <c r="K270" s="245">
        <f>'[1]รวมครุภัณฑ์ 70 (data)'!L96</f>
        <v>13700</v>
      </c>
      <c r="L270" s="245" t="str">
        <f t="shared" si="1"/>
        <v>เพิ่มประสิทธิภาพ</v>
      </c>
    </row>
    <row r="271" spans="1:12">
      <c r="A271" s="241" t="s">
        <v>1581</v>
      </c>
      <c r="B271" s="244">
        <f>'[1]รวมครุภัณฑ์ 70 (data)'!B97</f>
        <v>2570</v>
      </c>
      <c r="C271" s="241" t="s">
        <v>447</v>
      </c>
      <c r="D271" s="244" t="str">
        <f>'[1]รวมครุภัณฑ์ 70 (data)'!C97</f>
        <v>ครุภัณฑ์สำนักงาน</v>
      </c>
      <c r="E271" s="244" t="str">
        <f>'[1]รวมครุภัณฑ์ 70 (data)'!G97</f>
        <v>เครื่องดูดฝุ่น ขนาด 25 ลิตร</v>
      </c>
      <c r="F271" s="244" t="str">
        <f>'[1]รวมครุภัณฑ์ 70 (data)'!H97</f>
        <v>พมจ.อุตรดิตถ์</v>
      </c>
      <c r="G271" s="244" t="str">
        <f>'[1]รวมครุภัณฑ์ 70 (data)'!J97</f>
        <v>อุตรดิตถ์</v>
      </c>
      <c r="H271" s="244" t="str">
        <f>IF('รวมครุภัณฑ์ 70'!Q96="","",'รวมครุภัณฑ์ 70'!Q96)</f>
        <v/>
      </c>
      <c r="I271" s="244">
        <f>IF('รวมครุภัณฑ์ 70'!R96="","",'รวมครุภัณฑ์ 70'!R96)</f>
        <v>1</v>
      </c>
      <c r="J271" s="244"/>
      <c r="K271" s="245">
        <f>'[1]รวมครุภัณฑ์ 70 (data)'!L97</f>
        <v>13700</v>
      </c>
      <c r="L271" s="245" t="str">
        <f t="shared" si="1"/>
        <v>เพิ่มประสิทธิภาพ</v>
      </c>
    </row>
    <row r="272" spans="1:12">
      <c r="A272" s="241" t="s">
        <v>1582</v>
      </c>
      <c r="B272" s="244">
        <f>'[1]รวมครุภัณฑ์ 70 (data)'!B98</f>
        <v>2570</v>
      </c>
      <c r="C272" s="241" t="s">
        <v>447</v>
      </c>
      <c r="D272" s="244" t="str">
        <f>'[1]รวมครุภัณฑ์ 70 (data)'!C98</f>
        <v>ครุภัณฑ์สำนักงาน</v>
      </c>
      <c r="E272" s="244" t="str">
        <f>'[1]รวมครุภัณฑ์ 70 (data)'!G98</f>
        <v>เครื่องดูดฝุ่น ขนาด 25 ลิตร</v>
      </c>
      <c r="F272" s="244" t="str">
        <f>'[1]รวมครุภัณฑ์ 70 (data)'!H98</f>
        <v>พมจ.ลำปาง</v>
      </c>
      <c r="G272" s="244" t="str">
        <f>'[1]รวมครุภัณฑ์ 70 (data)'!J98</f>
        <v>ลำปาง</v>
      </c>
      <c r="H272" s="244" t="str">
        <f>IF('รวมครุภัณฑ์ 70'!Q97="","",'รวมครุภัณฑ์ 70'!Q97)</f>
        <v/>
      </c>
      <c r="I272" s="244">
        <f>IF('รวมครุภัณฑ์ 70'!R97="","",'รวมครุภัณฑ์ 70'!R97)</f>
        <v>1</v>
      </c>
      <c r="J272" s="244"/>
      <c r="K272" s="245">
        <f>'[1]รวมครุภัณฑ์ 70 (data)'!L98</f>
        <v>13700</v>
      </c>
      <c r="L272" s="245" t="str">
        <f t="shared" si="1"/>
        <v>เพิ่มประสิทธิภาพ</v>
      </c>
    </row>
    <row r="273" spans="1:12">
      <c r="A273" s="241" t="s">
        <v>1583</v>
      </c>
      <c r="B273" s="244">
        <f>'[1]รวมครุภัณฑ์ 70 (data)'!B99</f>
        <v>2570</v>
      </c>
      <c r="C273" s="241" t="s">
        <v>447</v>
      </c>
      <c r="D273" s="244" t="str">
        <f>'[1]รวมครุภัณฑ์ 70 (data)'!C99</f>
        <v>ครุภัณฑ์สำนักงาน</v>
      </c>
      <c r="E273" s="244" t="str">
        <f>'[1]รวมครุภัณฑ์ 70 (data)'!G99</f>
        <v>เครื่องดูดฝุ่น ขนาด 25 ลิตร</v>
      </c>
      <c r="F273" s="244" t="str">
        <f>'[1]รวมครุภัณฑ์ 70 (data)'!H99</f>
        <v>พมจ.นครราชสีมา</v>
      </c>
      <c r="G273" s="244" t="str">
        <f>'[1]รวมครุภัณฑ์ 70 (data)'!J99</f>
        <v>นครราชสีมา</v>
      </c>
      <c r="H273" s="244" t="str">
        <f>IF('รวมครุภัณฑ์ 70'!Q98="","",'รวมครุภัณฑ์ 70'!Q98)</f>
        <v/>
      </c>
      <c r="I273" s="244">
        <f>IF('รวมครุภัณฑ์ 70'!R98="","",'รวมครุภัณฑ์ 70'!R98)</f>
        <v>1</v>
      </c>
      <c r="J273" s="244"/>
      <c r="K273" s="245">
        <f>'[1]รวมครุภัณฑ์ 70 (data)'!L99</f>
        <v>13700</v>
      </c>
      <c r="L273" s="245" t="str">
        <f t="shared" si="1"/>
        <v>เพิ่มประสิทธิภาพ</v>
      </c>
    </row>
    <row r="274" spans="1:12">
      <c r="A274" s="241" t="s">
        <v>1584</v>
      </c>
      <c r="B274" s="244">
        <f>'[1]รวมครุภัณฑ์ 70 (data)'!B100</f>
        <v>2570</v>
      </c>
      <c r="C274" s="241" t="s">
        <v>447</v>
      </c>
      <c r="D274" s="244" t="str">
        <f>'[1]รวมครุภัณฑ์ 70 (data)'!C100</f>
        <v>ครุภัณฑ์สำนักงาน</v>
      </c>
      <c r="E274" s="244" t="str">
        <f>'[1]รวมครุภัณฑ์ 70 (data)'!G100</f>
        <v>เครื่องดูดฝุ่น ขนาด 25 ลิตร</v>
      </c>
      <c r="F274" s="244" t="str">
        <f>'[1]รวมครุภัณฑ์ 70 (data)'!H100</f>
        <v>พมจ.ลำพูน</v>
      </c>
      <c r="G274" s="244" t="str">
        <f>'[1]รวมครุภัณฑ์ 70 (data)'!J100</f>
        <v>ลำพูน</v>
      </c>
      <c r="H274" s="244" t="str">
        <f>IF('รวมครุภัณฑ์ 70'!Q99="","",'รวมครุภัณฑ์ 70'!Q99)</f>
        <v/>
      </c>
      <c r="I274" s="244">
        <f>IF('รวมครุภัณฑ์ 70'!R99="","",'รวมครุภัณฑ์ 70'!R99)</f>
        <v>1</v>
      </c>
      <c r="J274" s="244"/>
      <c r="K274" s="245">
        <f>'[1]รวมครุภัณฑ์ 70 (data)'!L100</f>
        <v>13800</v>
      </c>
      <c r="L274" s="245" t="str">
        <f t="shared" si="1"/>
        <v>เพิ่มประสิทธิภาพ</v>
      </c>
    </row>
    <row r="275" spans="1:12">
      <c r="A275" s="241" t="s">
        <v>1585</v>
      </c>
      <c r="B275" s="244">
        <f>'[1]รวมครุภัณฑ์ 70 (data)'!B101</f>
        <v>2570</v>
      </c>
      <c r="C275" s="241" t="s">
        <v>447</v>
      </c>
      <c r="D275" s="244" t="str">
        <f>'[1]รวมครุภัณฑ์ 70 (data)'!C101</f>
        <v>ครุภัณฑ์สำนักงาน</v>
      </c>
      <c r="E275" s="244" t="str">
        <f>'[1]รวมครุภัณฑ์ 70 (data)'!G101</f>
        <v>เครื่องดูดฝุ่น ขนาด 25 ลิตร</v>
      </c>
      <c r="F275" s="244" t="str">
        <f>'[1]รวมครุภัณฑ์ 70 (data)'!H101</f>
        <v>พมจ.ตาก</v>
      </c>
      <c r="G275" s="244" t="str">
        <f>'[1]รวมครุภัณฑ์ 70 (data)'!J101</f>
        <v>ตาก</v>
      </c>
      <c r="H275" s="244" t="str">
        <f>IF('รวมครุภัณฑ์ 70'!Q100="","",'รวมครุภัณฑ์ 70'!Q100)</f>
        <v/>
      </c>
      <c r="I275" s="244">
        <f>IF('รวมครุภัณฑ์ 70'!R100="","",'รวมครุภัณฑ์ 70'!R100)</f>
        <v>1</v>
      </c>
      <c r="J275" s="244"/>
      <c r="K275" s="245">
        <f>'[1]รวมครุภัณฑ์ 70 (data)'!L101</f>
        <v>13700</v>
      </c>
      <c r="L275" s="245" t="str">
        <f t="shared" si="1"/>
        <v>เพิ่มประสิทธิภาพ</v>
      </c>
    </row>
    <row r="276" spans="1:12">
      <c r="A276" s="241" t="s">
        <v>1586</v>
      </c>
      <c r="B276" s="244">
        <f>'[1]รวมครุภัณฑ์ 70 (data)'!B102</f>
        <v>2570</v>
      </c>
      <c r="C276" s="241" t="s">
        <v>447</v>
      </c>
      <c r="D276" s="244" t="str">
        <f>'[1]รวมครุภัณฑ์ 70 (data)'!C102</f>
        <v>ครุภัณฑ์สำนักงาน</v>
      </c>
      <c r="E276" s="244" t="str">
        <f>'[1]รวมครุภัณฑ์ 70 (data)'!G102</f>
        <v>เครื่องขัดพื้น</v>
      </c>
      <c r="F276" s="244" t="str">
        <f>'[1]รวมครุภัณฑ์ 70 (data)'!H102</f>
        <v>พมจ.เลย</v>
      </c>
      <c r="G276" s="244" t="str">
        <f>'[1]รวมครุภัณฑ์ 70 (data)'!J102</f>
        <v>เลย</v>
      </c>
      <c r="H276" s="244" t="str">
        <f>IF('รวมครุภัณฑ์ 70'!Q101="","",'รวมครุภัณฑ์ 70'!Q101)</f>
        <v/>
      </c>
      <c r="I276" s="244">
        <f>IF('รวมครุภัณฑ์ 70'!R101="","",'รวมครุภัณฑ์ 70'!R101)</f>
        <v>1</v>
      </c>
      <c r="J276" s="244"/>
      <c r="K276" s="245">
        <f>'[1]รวมครุภัณฑ์ 70 (data)'!L102</f>
        <v>21000</v>
      </c>
      <c r="L276" s="245" t="str">
        <f t="shared" si="1"/>
        <v>เพิ่มประสิทธิภาพ</v>
      </c>
    </row>
    <row r="277" spans="1:12">
      <c r="A277" s="241" t="s">
        <v>1587</v>
      </c>
      <c r="B277" s="244">
        <f>'[1]รวมครุภัณฑ์ 70 (data)'!B103</f>
        <v>2570</v>
      </c>
      <c r="C277" s="241" t="s">
        <v>447</v>
      </c>
      <c r="D277" s="244" t="str">
        <f>'[1]รวมครุภัณฑ์ 70 (data)'!C103</f>
        <v>ครุภัณฑ์สำนักงาน</v>
      </c>
      <c r="E277" s="244" t="str">
        <f>'[1]รวมครุภัณฑ์ 70 (data)'!G103</f>
        <v>เครื่องทําลายเอกสาร แบบตัดละเอียด ทําลายครั้งละ 30 แผ่น</v>
      </c>
      <c r="F277" s="244" t="str">
        <f>'[1]รวมครุภัณฑ์ 70 (data)'!H103</f>
        <v>พมจ.ประจวบคีรีขันธ์</v>
      </c>
      <c r="G277" s="244" t="str">
        <f>'[1]รวมครุภัณฑ์ 70 (data)'!J103</f>
        <v>ประจวบคีรีขันธ์</v>
      </c>
      <c r="H277" s="244" t="str">
        <f>IF('รวมครุภัณฑ์ 70'!Q102="","",'รวมครุภัณฑ์ 70'!Q102)</f>
        <v/>
      </c>
      <c r="I277" s="244">
        <f>IF('รวมครุภัณฑ์ 70'!R102="","",'รวมครุภัณฑ์ 70'!R102)</f>
        <v>1</v>
      </c>
      <c r="J277" s="244"/>
      <c r="K277" s="245">
        <f>'[1]รวมครุภัณฑ์ 70 (data)'!L103</f>
        <v>67000</v>
      </c>
      <c r="L277" s="245" t="str">
        <f t="shared" si="1"/>
        <v>เพิ่มประสิทธิภาพ</v>
      </c>
    </row>
    <row r="278" spans="1:12">
      <c r="A278" s="241" t="s">
        <v>1588</v>
      </c>
      <c r="B278" s="244">
        <f>'[1]รวมครุภัณฑ์ 70 (data)'!B104</f>
        <v>2570</v>
      </c>
      <c r="C278" s="241" t="s">
        <v>447</v>
      </c>
      <c r="D278" s="244" t="str">
        <f>'[1]รวมครุภัณฑ์ 70 (data)'!C104</f>
        <v>ครุภัณฑ์สำนักงาน</v>
      </c>
      <c r="E278" s="244" t="str">
        <f>'[1]รวมครุภัณฑ์ 70 (data)'!G104</f>
        <v>เครื่องทําลายเอกสาร แบบตัดละเอียด ทําลายครั้งละ 30 แผ่น</v>
      </c>
      <c r="F278" s="244" t="str">
        <f>'[1]รวมครุภัณฑ์ 70 (data)'!H104</f>
        <v>พมจ.นครนายก</v>
      </c>
      <c r="G278" s="244" t="str">
        <f>'[1]รวมครุภัณฑ์ 70 (data)'!J104</f>
        <v>นครนายก</v>
      </c>
      <c r="H278" s="244">
        <f>IF('รวมครุภัณฑ์ 70'!Q103="","",'รวมครุภัณฑ์ 70'!Q103)</f>
        <v>1</v>
      </c>
      <c r="I278" s="244" t="str">
        <f>IF('รวมครุภัณฑ์ 70'!R103="","",'รวมครุภัณฑ์ 70'!R103)</f>
        <v/>
      </c>
      <c r="J278" s="244"/>
      <c r="K278" s="245">
        <f>'[1]รวมครุภัณฑ์ 70 (data)'!L104</f>
        <v>67000</v>
      </c>
      <c r="L278" s="245" t="str">
        <f t="shared" si="1"/>
        <v>ทดแทนครุภัณฑ์เดิม</v>
      </c>
    </row>
    <row r="279" spans="1:12">
      <c r="A279" s="241" t="s">
        <v>1589</v>
      </c>
      <c r="B279" s="244">
        <f>'[1]รวมครุภัณฑ์ 70 (data)'!B105</f>
        <v>2570</v>
      </c>
      <c r="C279" s="241" t="s">
        <v>447</v>
      </c>
      <c r="D279" s="244" t="str">
        <f>'[1]รวมครุภัณฑ์ 70 (data)'!C105</f>
        <v>ครุภัณฑ์สำนักงาน</v>
      </c>
      <c r="E279" s="244" t="str">
        <f>'[1]รวมครุภัณฑ์ 70 (data)'!G105</f>
        <v>เครื่องทําลายเอกสาร แบบตัดละเอียด ทําลายครั้งละ 30 แผ่น</v>
      </c>
      <c r="F279" s="244" t="str">
        <f>'[1]รวมครุภัณฑ์ 70 (data)'!H105</f>
        <v>พมจ.ปทุมธานี</v>
      </c>
      <c r="G279" s="244" t="str">
        <f>'[1]รวมครุภัณฑ์ 70 (data)'!J105</f>
        <v>ปทุมธานี</v>
      </c>
      <c r="H279" s="244">
        <f>IF('รวมครุภัณฑ์ 70'!Q104="","",'รวมครุภัณฑ์ 70'!Q104)</f>
        <v>1</v>
      </c>
      <c r="I279" s="244" t="str">
        <f>IF('รวมครุภัณฑ์ 70'!R104="","",'รวมครุภัณฑ์ 70'!R104)</f>
        <v/>
      </c>
      <c r="J279" s="244"/>
      <c r="K279" s="245">
        <f>'[1]รวมครุภัณฑ์ 70 (data)'!L105</f>
        <v>67000</v>
      </c>
      <c r="L279" s="245" t="str">
        <f t="shared" si="1"/>
        <v>ทดแทนครุภัณฑ์เดิม</v>
      </c>
    </row>
    <row r="280" spans="1:12">
      <c r="A280" s="241" t="s">
        <v>1590</v>
      </c>
      <c r="B280" s="244">
        <f>'[1]รวมครุภัณฑ์ 70 (data)'!B106</f>
        <v>2570</v>
      </c>
      <c r="C280" s="241" t="s">
        <v>447</v>
      </c>
      <c r="D280" s="244" t="str">
        <f>'[1]รวมครุภัณฑ์ 70 (data)'!C106</f>
        <v>ครุภัณฑ์สำนักงาน</v>
      </c>
      <c r="E280" s="244" t="str">
        <f>'[1]รวมครุภัณฑ์ 70 (data)'!G106</f>
        <v>เครื่องทําลายเอกสาร แบบตัดละเอียด ทําลายครั้งละ 30 แผ่น</v>
      </c>
      <c r="F280" s="244" t="str">
        <f>'[1]รวมครุภัณฑ์ 70 (data)'!H106</f>
        <v>พมจ.อุตรดิตถ์</v>
      </c>
      <c r="G280" s="244" t="str">
        <f>'[1]รวมครุภัณฑ์ 70 (data)'!J106</f>
        <v>อุตรดิตถ์</v>
      </c>
      <c r="H280" s="244" t="str">
        <f>IF('รวมครุภัณฑ์ 70'!Q105="","",'รวมครุภัณฑ์ 70'!Q105)</f>
        <v/>
      </c>
      <c r="I280" s="244">
        <f>IF('รวมครุภัณฑ์ 70'!R105="","",'รวมครุภัณฑ์ 70'!R105)</f>
        <v>1</v>
      </c>
      <c r="J280" s="244"/>
      <c r="K280" s="245">
        <f>'[1]รวมครุภัณฑ์ 70 (data)'!L106</f>
        <v>67000</v>
      </c>
      <c r="L280" s="245" t="str">
        <f t="shared" si="1"/>
        <v>เพิ่มประสิทธิภาพ</v>
      </c>
    </row>
    <row r="281" spans="1:12">
      <c r="A281" s="241" t="s">
        <v>1591</v>
      </c>
      <c r="B281" s="244">
        <f>'[1]รวมครุภัณฑ์ 70 (data)'!B107</f>
        <v>2570</v>
      </c>
      <c r="C281" s="241" t="s">
        <v>447</v>
      </c>
      <c r="D281" s="244" t="str">
        <f>'[1]รวมครุภัณฑ์ 70 (data)'!C107</f>
        <v>ครุภัณฑ์สำนักงาน</v>
      </c>
      <c r="E281" s="244" t="str">
        <f>'[1]รวมครุภัณฑ์ 70 (data)'!G107</f>
        <v>เครื่องทําลายเอกสาร แบบตัดละเอียด ทําลายครั้งละ 30 แผ่น</v>
      </c>
      <c r="F281" s="244" t="str">
        <f>'[1]รวมครุภัณฑ์ 70 (data)'!H107</f>
        <v>พมจ.นครสวรรค์</v>
      </c>
      <c r="G281" s="244" t="str">
        <f>'[1]รวมครุภัณฑ์ 70 (data)'!J107</f>
        <v>นครสวรรค์</v>
      </c>
      <c r="H281" s="244" t="str">
        <f>IF('รวมครุภัณฑ์ 70'!Q106="","",'รวมครุภัณฑ์ 70'!Q106)</f>
        <v/>
      </c>
      <c r="I281" s="244">
        <f>IF('รวมครุภัณฑ์ 70'!R106="","",'รวมครุภัณฑ์ 70'!R106)</f>
        <v>2</v>
      </c>
      <c r="J281" s="244"/>
      <c r="K281" s="245">
        <f>'[1]รวมครุภัณฑ์ 70 (data)'!L107</f>
        <v>126000</v>
      </c>
      <c r="L281" s="245" t="str">
        <f t="shared" si="1"/>
        <v>เพิ่มประสิทธิภาพ</v>
      </c>
    </row>
    <row r="282" spans="1:12">
      <c r="A282" s="241" t="s">
        <v>1592</v>
      </c>
      <c r="B282" s="244">
        <f>'[1]รวมครุภัณฑ์ 70 (data)'!B108</f>
        <v>2570</v>
      </c>
      <c r="C282" s="241" t="s">
        <v>447</v>
      </c>
      <c r="D282" s="244" t="str">
        <f>'[1]รวมครุภัณฑ์ 70 (data)'!C108</f>
        <v>ครุภัณฑ์สำนักงาน</v>
      </c>
      <c r="E282" s="244" t="str">
        <f>'[1]รวมครุภัณฑ์ 70 (data)'!G108</f>
        <v>เครื่องทําลายเอกสาร แบบตัดละเอียด ทําลายครั้งละ 30 แผ่น</v>
      </c>
      <c r="F282" s="244" t="str">
        <f>'[1]รวมครุภัณฑ์ 70 (data)'!H108</f>
        <v>พมจ.หนองบัวลำภู</v>
      </c>
      <c r="G282" s="244" t="str">
        <f>'[1]รวมครุภัณฑ์ 70 (data)'!J108</f>
        <v>หนองบัวลำภู</v>
      </c>
      <c r="H282" s="244" t="str">
        <f>IF('รวมครุภัณฑ์ 70'!Q107="","",'รวมครุภัณฑ์ 70'!Q107)</f>
        <v/>
      </c>
      <c r="I282" s="244">
        <f>IF('รวมครุภัณฑ์ 70'!R107="","",'รวมครุภัณฑ์ 70'!R107)</f>
        <v>1</v>
      </c>
      <c r="J282" s="244"/>
      <c r="K282" s="245">
        <f>'[1]รวมครุภัณฑ์ 70 (data)'!L108</f>
        <v>67000</v>
      </c>
      <c r="L282" s="245" t="str">
        <f t="shared" si="1"/>
        <v>เพิ่มประสิทธิภาพ</v>
      </c>
    </row>
    <row r="283" spans="1:12">
      <c r="A283" s="241" t="s">
        <v>1593</v>
      </c>
      <c r="B283" s="244">
        <f>'[1]รวมครุภัณฑ์ 70 (data)'!B109</f>
        <v>2570</v>
      </c>
      <c r="C283" s="241" t="s">
        <v>447</v>
      </c>
      <c r="D283" s="244" t="str">
        <f>'[1]รวมครุภัณฑ์ 70 (data)'!C109</f>
        <v>ครุภัณฑ์สำนักงาน</v>
      </c>
      <c r="E283" s="244" t="str">
        <f>'[1]รวมครุภัณฑ์ 70 (data)'!G109</f>
        <v>เครื่องทําลายเอกสาร แบบตัดละเอียด ทําลายครั้งละ 30 แผ่น</v>
      </c>
      <c r="F283" s="244" t="str">
        <f>'[1]รวมครุภัณฑ์ 70 (data)'!H109</f>
        <v>พมจ.นครราชสีมา</v>
      </c>
      <c r="G283" s="244" t="str">
        <f>'[1]รวมครุภัณฑ์ 70 (data)'!J109</f>
        <v>นครราชสีมา</v>
      </c>
      <c r="H283" s="244" t="str">
        <f>IF('รวมครุภัณฑ์ 70'!Q108="","",'รวมครุภัณฑ์ 70'!Q108)</f>
        <v/>
      </c>
      <c r="I283" s="244">
        <f>IF('รวมครุภัณฑ์ 70'!R108="","",'รวมครุภัณฑ์ 70'!R108)</f>
        <v>1</v>
      </c>
      <c r="J283" s="244"/>
      <c r="K283" s="245">
        <f>'[1]รวมครุภัณฑ์ 70 (data)'!L109</f>
        <v>67000</v>
      </c>
      <c r="L283" s="245" t="str">
        <f t="shared" si="1"/>
        <v>เพิ่มประสิทธิภาพ</v>
      </c>
    </row>
    <row r="284" spans="1:12">
      <c r="A284" s="241" t="s">
        <v>1594</v>
      </c>
      <c r="B284" s="244">
        <f>'[1]รวมครุภัณฑ์ 70 (data)'!B110</f>
        <v>2570</v>
      </c>
      <c r="C284" s="241" t="s">
        <v>447</v>
      </c>
      <c r="D284" s="244" t="str">
        <f>'[1]รวมครุภัณฑ์ 70 (data)'!C110</f>
        <v>ครุภัณฑ์สำนักงาน</v>
      </c>
      <c r="E284" s="244" t="str">
        <f>'[1]รวมครุภัณฑ์ 70 (data)'!G110</f>
        <v>เครื่องทําลายเอกสาร แบบตัดละเอียด ทําลายครั้งละ 30 แผ่น</v>
      </c>
      <c r="F284" s="244" t="str">
        <f>'[1]รวมครุภัณฑ์ 70 (data)'!H110</f>
        <v>พมจ.ภูเก็ต</v>
      </c>
      <c r="G284" s="244" t="str">
        <f>'[1]รวมครุภัณฑ์ 70 (data)'!J110</f>
        <v>ภูเก็ต</v>
      </c>
      <c r="H284" s="244" t="str">
        <f>IF('รวมครุภัณฑ์ 70'!Q109="","",'รวมครุภัณฑ์ 70'!Q109)</f>
        <v/>
      </c>
      <c r="I284" s="244">
        <f>IF('รวมครุภัณฑ์ 70'!R109="","",'รวมครุภัณฑ์ 70'!R109)</f>
        <v>1</v>
      </c>
      <c r="J284" s="244"/>
      <c r="K284" s="245">
        <f>'[1]รวมครุภัณฑ์ 70 (data)'!L110</f>
        <v>67000</v>
      </c>
      <c r="L284" s="245" t="str">
        <f t="shared" si="1"/>
        <v>เพิ่มประสิทธิภาพ</v>
      </c>
    </row>
    <row r="285" spans="1:12">
      <c r="A285" s="241" t="s">
        <v>1595</v>
      </c>
      <c r="B285" s="244">
        <f>'[1]รวมครุภัณฑ์ 70 (data)'!B111</f>
        <v>2570</v>
      </c>
      <c r="C285" s="241" t="s">
        <v>447</v>
      </c>
      <c r="D285" s="244" t="str">
        <f>'[1]รวมครุภัณฑ์ 70 (data)'!C111</f>
        <v>ครุภัณฑ์สำนักงาน</v>
      </c>
      <c r="E285" s="244" t="str">
        <f>'[1]รวมครุภัณฑ์ 70 (data)'!G111</f>
        <v>เครื่องทําลายเอกสาร แบบตัดละเอียด ทําลายครั้งละ 30 แผ่น</v>
      </c>
      <c r="F285" s="244" t="str">
        <f>'[1]รวมครุภัณฑ์ 70 (data)'!H111</f>
        <v>พมจ.สตูล</v>
      </c>
      <c r="G285" s="244" t="str">
        <f>'[1]รวมครุภัณฑ์ 70 (data)'!J111</f>
        <v>สตูล</v>
      </c>
      <c r="H285" s="244" t="str">
        <f>IF('รวมครุภัณฑ์ 70'!Q110="","",'รวมครุภัณฑ์ 70'!Q110)</f>
        <v/>
      </c>
      <c r="I285" s="244">
        <f>IF('รวมครุภัณฑ์ 70'!R110="","",'รวมครุภัณฑ์ 70'!R110)</f>
        <v>1</v>
      </c>
      <c r="J285" s="244"/>
      <c r="K285" s="245">
        <f>'[1]รวมครุภัณฑ์ 70 (data)'!L111</f>
        <v>67000</v>
      </c>
      <c r="L285" s="245" t="str">
        <f t="shared" si="1"/>
        <v>เพิ่มประสิทธิภาพ</v>
      </c>
    </row>
    <row r="286" spans="1:12">
      <c r="A286" s="241" t="s">
        <v>1596</v>
      </c>
      <c r="B286" s="244">
        <f>'[1]รวมครุภัณฑ์ 70 (data)'!B112</f>
        <v>2570</v>
      </c>
      <c r="C286" s="241" t="s">
        <v>447</v>
      </c>
      <c r="D286" s="244" t="str">
        <f>'[1]รวมครุภัณฑ์ 70 (data)'!C112</f>
        <v>ครุภัณฑ์สำนักงาน</v>
      </c>
      <c r="E286" s="244" t="str">
        <f>'[1]รวมครุภัณฑ์ 70 (data)'!G112</f>
        <v>เครื่องทําลายเอกสาร แบบตัดละเอียด ทําลายครั้งละ 30 แผ่น</v>
      </c>
      <c r="F286" s="244" t="str">
        <f>'[1]รวมครุภัณฑ์ 70 (data)'!H112</f>
        <v>พมจ.ลำพูน</v>
      </c>
      <c r="G286" s="244" t="str">
        <f>'[1]รวมครุภัณฑ์ 70 (data)'!J112</f>
        <v>ลำพูน</v>
      </c>
      <c r="H286" s="244" t="str">
        <f>IF('รวมครุภัณฑ์ 70'!Q111="","",'รวมครุภัณฑ์ 70'!Q111)</f>
        <v/>
      </c>
      <c r="I286" s="244">
        <f>IF('รวมครุภัณฑ์ 70'!R111="","",'รวมครุภัณฑ์ 70'!R111)</f>
        <v>1</v>
      </c>
      <c r="J286" s="244"/>
      <c r="K286" s="245">
        <f>'[1]รวมครุภัณฑ์ 70 (data)'!L112</f>
        <v>67000</v>
      </c>
      <c r="L286" s="245" t="str">
        <f t="shared" si="1"/>
        <v>เพิ่มประสิทธิภาพ</v>
      </c>
    </row>
    <row r="287" spans="1:12">
      <c r="A287" s="241" t="s">
        <v>1597</v>
      </c>
      <c r="B287" s="244">
        <f>'[1]รวมครุภัณฑ์ 70 (data)'!B113</f>
        <v>2570</v>
      </c>
      <c r="C287" s="241" t="s">
        <v>447</v>
      </c>
      <c r="D287" s="244" t="str">
        <f>'[1]รวมครุภัณฑ์ 70 (data)'!C113</f>
        <v>ครุภัณฑ์สำนักงาน</v>
      </c>
      <c r="E287" s="244" t="str">
        <f>'[1]รวมครุภัณฑ์ 70 (data)'!G113</f>
        <v>เครื่องทําลายเอกสาร แบบตัดละเอียด ทําลายครั้งละ 30 แผ่น</v>
      </c>
      <c r="F287" s="244" t="str">
        <f>'[1]รวมครุภัณฑ์ 70 (data)'!H113</f>
        <v>พมจ.ชุมพร</v>
      </c>
      <c r="G287" s="244" t="str">
        <f>'[1]รวมครุภัณฑ์ 70 (data)'!J113</f>
        <v>ชุมพร</v>
      </c>
      <c r="H287" s="244" t="str">
        <f>IF('รวมครุภัณฑ์ 70'!Q112="","",'รวมครุภัณฑ์ 70'!Q112)</f>
        <v/>
      </c>
      <c r="I287" s="244">
        <f>IF('รวมครุภัณฑ์ 70'!R112="","",'รวมครุภัณฑ์ 70'!R112)</f>
        <v>1</v>
      </c>
      <c r="J287" s="244"/>
      <c r="K287" s="245">
        <f>'[1]รวมครุภัณฑ์ 70 (data)'!L113</f>
        <v>67000</v>
      </c>
      <c r="L287" s="245" t="str">
        <f t="shared" si="1"/>
        <v>เพิ่มประสิทธิภาพ</v>
      </c>
    </row>
    <row r="288" spans="1:12">
      <c r="A288" s="241" t="s">
        <v>1598</v>
      </c>
      <c r="B288" s="244">
        <f>'[1]รวมครุภัณฑ์ 70 (data)'!B114</f>
        <v>2570</v>
      </c>
      <c r="C288" s="241" t="s">
        <v>447</v>
      </c>
      <c r="D288" s="244" t="str">
        <f>'[1]รวมครุภัณฑ์ 70 (data)'!C114</f>
        <v>ครุภัณฑ์สำนักงาน</v>
      </c>
      <c r="E288" s="244" t="str">
        <f>'[1]รวมครุภัณฑ์ 70 (data)'!G114</f>
        <v>เครื่องทําลายเอกสาร แบบตัดละเอียด ทําลายครั้งละ 30 แผ่น</v>
      </c>
      <c r="F288" s="244" t="str">
        <f>'[1]รวมครุภัณฑ์ 70 (data)'!H114</f>
        <v>พมจ.มหาสารคาม</v>
      </c>
      <c r="G288" s="244" t="str">
        <f>'[1]รวมครุภัณฑ์ 70 (data)'!J114</f>
        <v>มหาสารคาม</v>
      </c>
      <c r="H288" s="244" t="str">
        <f>IF('รวมครุภัณฑ์ 70'!Q113="","",'รวมครุภัณฑ์ 70'!Q113)</f>
        <v/>
      </c>
      <c r="I288" s="244">
        <f>IF('รวมครุภัณฑ์ 70'!R113="","",'รวมครุภัณฑ์ 70'!R113)</f>
        <v>1</v>
      </c>
      <c r="J288" s="244"/>
      <c r="K288" s="245">
        <f>'[1]รวมครุภัณฑ์ 70 (data)'!L114</f>
        <v>67000</v>
      </c>
      <c r="L288" s="245" t="str">
        <f t="shared" si="1"/>
        <v>เพิ่มประสิทธิภาพ</v>
      </c>
    </row>
    <row r="289" spans="1:12">
      <c r="A289" s="241" t="s">
        <v>1599</v>
      </c>
      <c r="B289" s="244">
        <f>'[1]รวมครุภัณฑ์ 70 (data)'!B115</f>
        <v>2570</v>
      </c>
      <c r="C289" s="241" t="s">
        <v>447</v>
      </c>
      <c r="D289" s="244" t="str">
        <f>'[1]รวมครุภัณฑ์ 70 (data)'!C115</f>
        <v>ครุภัณฑ์สำนักงาน</v>
      </c>
      <c r="E289" s="244" t="str">
        <f>'[1]รวมครุภัณฑ์ 70 (data)'!G115</f>
        <v>เครื่องทําลายเอกสาร แบบตัดละเอียด ทําลายครั้งละ 20 แผ่น</v>
      </c>
      <c r="F289" s="244" t="str">
        <f>'[1]รวมครุภัณฑ์ 70 (data)'!H115</f>
        <v>พมจ.ยโสธร</v>
      </c>
      <c r="G289" s="244" t="str">
        <f>'[1]รวมครุภัณฑ์ 70 (data)'!J115</f>
        <v>ยโสธร</v>
      </c>
      <c r="H289" s="244" t="str">
        <f>IF('รวมครุภัณฑ์ 70'!Q114="","",'รวมครุภัณฑ์ 70'!Q114)</f>
        <v/>
      </c>
      <c r="I289" s="244">
        <f>IF('รวมครุภัณฑ์ 70'!R114="","",'รวมครุภัณฑ์ 70'!R114)</f>
        <v>1</v>
      </c>
      <c r="J289" s="244"/>
      <c r="K289" s="245">
        <f>'[1]รวมครุภัณฑ์ 70 (data)'!L115</f>
        <v>42600</v>
      </c>
      <c r="L289" s="245" t="str">
        <f t="shared" si="1"/>
        <v>เพิ่มประสิทธิภาพ</v>
      </c>
    </row>
    <row r="290" spans="1:12">
      <c r="A290" s="241" t="s">
        <v>1600</v>
      </c>
      <c r="B290" s="244">
        <f>'[1]รวมครุภัณฑ์ 70 (data)'!B116</f>
        <v>2570</v>
      </c>
      <c r="C290" s="241" t="s">
        <v>447</v>
      </c>
      <c r="D290" s="244" t="str">
        <f>'[1]รวมครุภัณฑ์ 70 (data)'!C116</f>
        <v>ครุภัณฑ์สำนักงาน</v>
      </c>
      <c r="E290" s="244" t="str">
        <f>'[1]รวมครุภัณฑ์ 70 (data)'!G116</f>
        <v>เครื่องทําลายเอกสาร แบบตัดละเอียด ทําลายครั้งละ 20 แผ่น</v>
      </c>
      <c r="F290" s="244" t="str">
        <f>'[1]รวมครุภัณฑ์ 70 (data)'!H116</f>
        <v>พมจ.สิงห์บุรี</v>
      </c>
      <c r="G290" s="244" t="str">
        <f>'[1]รวมครุภัณฑ์ 70 (data)'!J116</f>
        <v>สิงห์บุรี</v>
      </c>
      <c r="H290" s="244" t="str">
        <f>IF('รวมครุภัณฑ์ 70'!Q115="","",'รวมครุภัณฑ์ 70'!Q115)</f>
        <v/>
      </c>
      <c r="I290" s="244">
        <f>IF('รวมครุภัณฑ์ 70'!R115="","",'รวมครุภัณฑ์ 70'!R115)</f>
        <v>1</v>
      </c>
      <c r="J290" s="244"/>
      <c r="K290" s="245">
        <f>'[1]รวมครุภัณฑ์ 70 (data)'!L116</f>
        <v>42600</v>
      </c>
      <c r="L290" s="245" t="str">
        <f t="shared" si="1"/>
        <v>เพิ่มประสิทธิภาพ</v>
      </c>
    </row>
    <row r="291" spans="1:12">
      <c r="A291" s="241" t="s">
        <v>1601</v>
      </c>
      <c r="B291" s="244">
        <f>'[1]รวมครุภัณฑ์ 70 (data)'!B117</f>
        <v>2570</v>
      </c>
      <c r="C291" s="241" t="s">
        <v>447</v>
      </c>
      <c r="D291" s="244" t="str">
        <f>'[1]รวมครุภัณฑ์ 70 (data)'!C117</f>
        <v>ครุภัณฑ์สำนักงาน</v>
      </c>
      <c r="E291" s="244" t="str">
        <f>'[1]รวมครุภัณฑ์ 70 (data)'!G117</f>
        <v>เครื่องทําลายเอกสาร แบบตัดละเอียด ทําลายครั้งละ 20 แผ่น</v>
      </c>
      <c r="F291" s="244" t="str">
        <f>'[1]รวมครุภัณฑ์ 70 (data)'!H117</f>
        <v>พมจ.อุทัยธานี</v>
      </c>
      <c r="G291" s="244" t="str">
        <f>'[1]รวมครุภัณฑ์ 70 (data)'!J117</f>
        <v>อุทัยธานี</v>
      </c>
      <c r="H291" s="244" t="str">
        <f>IF('รวมครุภัณฑ์ 70'!Q116="","",'รวมครุภัณฑ์ 70'!Q116)</f>
        <v/>
      </c>
      <c r="I291" s="244">
        <f>IF('รวมครุภัณฑ์ 70'!R116="","",'รวมครุภัณฑ์ 70'!R116)</f>
        <v>1</v>
      </c>
      <c r="J291" s="244"/>
      <c r="K291" s="245">
        <f>'[1]รวมครุภัณฑ์ 70 (data)'!L117</f>
        <v>42600</v>
      </c>
      <c r="L291" s="245" t="str">
        <f t="shared" si="1"/>
        <v>เพิ่มประสิทธิภาพ</v>
      </c>
    </row>
    <row r="292" spans="1:12">
      <c r="A292" s="241" t="s">
        <v>1602</v>
      </c>
      <c r="B292" s="244">
        <f>'[1]รวมครุภัณฑ์ 70 (data)'!B118</f>
        <v>2570</v>
      </c>
      <c r="C292" s="241" t="s">
        <v>447</v>
      </c>
      <c r="D292" s="244" t="str">
        <f>'[1]รวมครุภัณฑ์ 70 (data)'!C118</f>
        <v>ครุภัณฑ์สำนักงาน</v>
      </c>
      <c r="E292" s="244" t="str">
        <f>'[1]รวมครุภัณฑ์ 70 (data)'!G118</f>
        <v>เครื่องทําลายเอกสาร แบบตัดละเอียด ทําลายครั้งละ 20 แผ่น</v>
      </c>
      <c r="F292" s="244" t="str">
        <f>'[1]รวมครุภัณฑ์ 70 (data)'!H118</f>
        <v>พมจ.สระแก้ว</v>
      </c>
      <c r="G292" s="244" t="str">
        <f>'[1]รวมครุภัณฑ์ 70 (data)'!J118</f>
        <v>สระแก้ว</v>
      </c>
      <c r="H292" s="244" t="str">
        <f>IF('รวมครุภัณฑ์ 70'!Q117="","",'รวมครุภัณฑ์ 70'!Q117)</f>
        <v/>
      </c>
      <c r="I292" s="244">
        <f>IF('รวมครุภัณฑ์ 70'!R117="","",'รวมครุภัณฑ์ 70'!R117)</f>
        <v>1</v>
      </c>
      <c r="J292" s="244"/>
      <c r="K292" s="245">
        <f>'[1]รวมครุภัณฑ์ 70 (data)'!L118</f>
        <v>42600</v>
      </c>
      <c r="L292" s="245" t="str">
        <f t="shared" si="1"/>
        <v>เพิ่มประสิทธิภาพ</v>
      </c>
    </row>
    <row r="293" spans="1:12">
      <c r="A293" s="241" t="s">
        <v>1603</v>
      </c>
      <c r="B293" s="244">
        <f>'[1]รวมครุภัณฑ์ 70 (data)'!B119</f>
        <v>2570</v>
      </c>
      <c r="C293" s="241" t="s">
        <v>447</v>
      </c>
      <c r="D293" s="244" t="str">
        <f>'[1]รวมครุภัณฑ์ 70 (data)'!C119</f>
        <v>ครุภัณฑ์สำนักงาน</v>
      </c>
      <c r="E293" s="244" t="str">
        <f>'[1]รวมครุภัณฑ์ 70 (data)'!G119</f>
        <v>เครื่องทําลายเอกสาร แบบตัดละเอียด ทําลายครั้งละ 20 แผ่น</v>
      </c>
      <c r="F293" s="244" t="str">
        <f>'[1]รวมครุภัณฑ์ 70 (data)'!H119</f>
        <v>พมจ.อำนาจเจริญ</v>
      </c>
      <c r="G293" s="244" t="str">
        <f>'[1]รวมครุภัณฑ์ 70 (data)'!J119</f>
        <v>อำนาจเจริญ</v>
      </c>
      <c r="H293" s="244" t="str">
        <f>IF('รวมครุภัณฑ์ 70'!Q118="","",'รวมครุภัณฑ์ 70'!Q118)</f>
        <v/>
      </c>
      <c r="I293" s="244">
        <f>IF('รวมครุภัณฑ์ 70'!R118="","",'รวมครุภัณฑ์ 70'!R118)</f>
        <v>1</v>
      </c>
      <c r="J293" s="244"/>
      <c r="K293" s="245">
        <f>'[1]รวมครุภัณฑ์ 70 (data)'!L119</f>
        <v>42600</v>
      </c>
      <c r="L293" s="245" t="str">
        <f t="shared" si="1"/>
        <v>เพิ่มประสิทธิภาพ</v>
      </c>
    </row>
    <row r="294" spans="1:12">
      <c r="A294" s="241" t="s">
        <v>1604</v>
      </c>
      <c r="B294" s="244">
        <f>'[1]รวมครุภัณฑ์ 70 (data)'!B120</f>
        <v>2570</v>
      </c>
      <c r="C294" s="241" t="s">
        <v>447</v>
      </c>
      <c r="D294" s="244" t="str">
        <f>'[1]รวมครุภัณฑ์ 70 (data)'!C120</f>
        <v>ครุภัณฑ์สำนักงาน</v>
      </c>
      <c r="E294" s="244" t="str">
        <f>'[1]รวมครุภัณฑ์ 70 (data)'!G120</f>
        <v>เครื่องทําลายเอกสาร แบบตัดตรง ทําลายครั้งละ 20 แผ่น</v>
      </c>
      <c r="F294" s="244" t="str">
        <f>'[1]รวมครุภัณฑ์ 70 (data)'!H120</f>
        <v>พมจ.นครราชสีมา</v>
      </c>
      <c r="G294" s="244" t="str">
        <f>'[1]รวมครุภัณฑ์ 70 (data)'!J120</f>
        <v>นครราชสีมา</v>
      </c>
      <c r="H294" s="244" t="str">
        <f>IF('รวมครุภัณฑ์ 70'!Q119="","",'รวมครุภัณฑ์ 70'!Q119)</f>
        <v/>
      </c>
      <c r="I294" s="244">
        <f>IF('รวมครุภัณฑ์ 70'!R119="","",'รวมครุภัณฑ์ 70'!R119)</f>
        <v>2</v>
      </c>
      <c r="J294" s="244"/>
      <c r="K294" s="245">
        <f>'[1]รวมครุภัณฑ์ 70 (data)'!L120</f>
        <v>59400</v>
      </c>
      <c r="L294" s="245" t="str">
        <f t="shared" si="1"/>
        <v>เพิ่มประสิทธิภาพ</v>
      </c>
    </row>
    <row r="295" spans="1:12">
      <c r="A295" s="241" t="s">
        <v>1605</v>
      </c>
      <c r="B295" s="244">
        <f>'[1]รวมครุภัณฑ์ 70 (data)'!B121</f>
        <v>2570</v>
      </c>
      <c r="C295" s="241" t="s">
        <v>447</v>
      </c>
      <c r="D295" s="244" t="str">
        <f>'[1]รวมครุภัณฑ์ 70 (data)'!C121</f>
        <v>ครุภัณฑ์สำนักงาน</v>
      </c>
      <c r="E295" s="244" t="str">
        <f>'[1]รวมครุภัณฑ์ 70 (data)'!G121</f>
        <v>เครื่องทําลายเอกสาร แบบตัดตรง ทําลายครั้งละ 20 แผ่น</v>
      </c>
      <c r="F295" s="244" t="str">
        <f>'[1]รวมครุภัณฑ์ 70 (data)'!H121</f>
        <v>พมจ.นนทบุรี</v>
      </c>
      <c r="G295" s="244" t="str">
        <f>'[1]รวมครุภัณฑ์ 70 (data)'!J121</f>
        <v>นนทบุรี</v>
      </c>
      <c r="H295" s="244">
        <f>IF('รวมครุภัณฑ์ 70'!Q120="","",'รวมครุภัณฑ์ 70'!Q120)</f>
        <v>1</v>
      </c>
      <c r="I295" s="244" t="str">
        <f>IF('รวมครุภัณฑ์ 70'!R120="","",'รวมครุภัณฑ์ 70'!R120)</f>
        <v/>
      </c>
      <c r="J295" s="244"/>
      <c r="K295" s="245">
        <f>'[1]รวมครุภัณฑ์ 70 (data)'!L121</f>
        <v>29700</v>
      </c>
      <c r="L295" s="245" t="str">
        <f t="shared" si="1"/>
        <v>ทดแทนครุภัณฑ์เดิม</v>
      </c>
    </row>
    <row r="296" spans="1:12">
      <c r="A296" s="241" t="s">
        <v>1606</v>
      </c>
      <c r="B296" s="244">
        <f>'[1]รวมครุภัณฑ์ 70 (data)'!B122</f>
        <v>2570</v>
      </c>
      <c r="C296" s="241" t="s">
        <v>447</v>
      </c>
      <c r="D296" s="244" t="str">
        <f>'[1]รวมครุภัณฑ์ 70 (data)'!C122</f>
        <v>ครุภัณฑ์สำนักงาน</v>
      </c>
      <c r="E296" s="244" t="str">
        <f>'[1]รวมครุภัณฑ์ 70 (data)'!G122</f>
        <v>เครื่องทําลายเอกสาร แบบตัดตรง ทําลายครั้งละ 20 แผ่น</v>
      </c>
      <c r="F296" s="244" t="str">
        <f>'[1]รวมครุภัณฑ์ 70 (data)'!H122</f>
        <v>พมจ.สมุทรปราการ</v>
      </c>
      <c r="G296" s="244" t="str">
        <f>'[1]รวมครุภัณฑ์ 70 (data)'!J122</f>
        <v>สมุทรปราการ</v>
      </c>
      <c r="H296" s="244" t="str">
        <f>IF('รวมครุภัณฑ์ 70'!Q121="","",'รวมครุภัณฑ์ 70'!Q121)</f>
        <v/>
      </c>
      <c r="I296" s="244">
        <f>IF('รวมครุภัณฑ์ 70'!R121="","",'รวมครุภัณฑ์ 70'!R121)</f>
        <v>1</v>
      </c>
      <c r="J296" s="244"/>
      <c r="K296" s="245">
        <f>'[1]รวมครุภัณฑ์ 70 (data)'!L122</f>
        <v>29700</v>
      </c>
      <c r="L296" s="245" t="str">
        <f t="shared" si="1"/>
        <v>เพิ่มประสิทธิภาพ</v>
      </c>
    </row>
    <row r="297" spans="1:12">
      <c r="A297" s="241" t="s">
        <v>1607</v>
      </c>
      <c r="B297" s="244">
        <f>'[1]รวมครุภัณฑ์ 70 (data)'!B123</f>
        <v>2570</v>
      </c>
      <c r="C297" s="241" t="s">
        <v>447</v>
      </c>
      <c r="D297" s="244" t="str">
        <f>'[1]รวมครุภัณฑ์ 70 (data)'!C123</f>
        <v>ครุภัณฑ์สำนักงาน</v>
      </c>
      <c r="E297" s="244" t="str">
        <f>'[1]รวมครุภัณฑ์ 70 (data)'!G123</f>
        <v>เครื่องทําลายเอกสาร แบบตัดตรง ทําลายครั้งละ 20 แผ่น</v>
      </c>
      <c r="F297" s="244" t="str">
        <f>'[1]รวมครุภัณฑ์ 70 (data)'!H123</f>
        <v>พมจ.ยโสธร</v>
      </c>
      <c r="G297" s="244" t="str">
        <f>'[1]รวมครุภัณฑ์ 70 (data)'!J123</f>
        <v>ยโสธร</v>
      </c>
      <c r="H297" s="244" t="str">
        <f>IF('รวมครุภัณฑ์ 70'!Q122="","",'รวมครุภัณฑ์ 70'!Q122)</f>
        <v/>
      </c>
      <c r="I297" s="244">
        <f>IF('รวมครุภัณฑ์ 70'!R122="","",'รวมครุภัณฑ์ 70'!R122)</f>
        <v>1</v>
      </c>
      <c r="J297" s="244"/>
      <c r="K297" s="245">
        <f>'[1]รวมครุภัณฑ์ 70 (data)'!L123</f>
        <v>29700</v>
      </c>
      <c r="L297" s="245" t="str">
        <f t="shared" si="1"/>
        <v>เพิ่มประสิทธิภาพ</v>
      </c>
    </row>
    <row r="298" spans="1:12">
      <c r="A298" s="241" t="s">
        <v>1608</v>
      </c>
      <c r="B298" s="244">
        <f>'[1]รวมครุภัณฑ์ 70 (data)'!B124</f>
        <v>2570</v>
      </c>
      <c r="C298" s="241" t="s">
        <v>447</v>
      </c>
      <c r="D298" s="244" t="str">
        <f>'[1]รวมครุภัณฑ์ 70 (data)'!C124</f>
        <v>ครุภัณฑ์สำนักงาน</v>
      </c>
      <c r="E298" s="244" t="str">
        <f>'[1]รวมครุภัณฑ์ 70 (data)'!G124</f>
        <v>เครื่องทําลายเอกสาร แบบตัดตรง ทําลายครั้งละ 20 แผ่น</v>
      </c>
      <c r="F298" s="244" t="str">
        <f>'[1]รวมครุภัณฑ์ 70 (data)'!H124</f>
        <v>พมจ.มุกดาหาร</v>
      </c>
      <c r="G298" s="244" t="str">
        <f>'[1]รวมครุภัณฑ์ 70 (data)'!J124</f>
        <v>มุกดาหาร</v>
      </c>
      <c r="H298" s="244" t="str">
        <f>IF('รวมครุภัณฑ์ 70'!Q123="","",'รวมครุภัณฑ์ 70'!Q123)</f>
        <v/>
      </c>
      <c r="I298" s="244">
        <f>IF('รวมครุภัณฑ์ 70'!R123="","",'รวมครุภัณฑ์ 70'!R123)</f>
        <v>1</v>
      </c>
      <c r="J298" s="244"/>
      <c r="K298" s="245">
        <f>'[1]รวมครุภัณฑ์ 70 (data)'!L124</f>
        <v>29700</v>
      </c>
      <c r="L298" s="245" t="str">
        <f t="shared" si="1"/>
        <v>เพิ่มประสิทธิภาพ</v>
      </c>
    </row>
    <row r="299" spans="1:12">
      <c r="A299" s="241" t="s">
        <v>1609</v>
      </c>
      <c r="B299" s="244">
        <f>'[1]รวมครุภัณฑ์ 70 (data)'!B125</f>
        <v>2570</v>
      </c>
      <c r="C299" s="241" t="s">
        <v>447</v>
      </c>
      <c r="D299" s="244" t="str">
        <f>'[1]รวมครุภัณฑ์ 70 (data)'!C125</f>
        <v>ครุภัณฑ์สำนักงาน</v>
      </c>
      <c r="E299" s="244" t="str">
        <f>'[1]รวมครุภัณฑ์ 70 (data)'!G125</f>
        <v>เครื่องทําลายเอกสาร แบบตัดตรง ทําลายครั้งละ 30 แผ่น</v>
      </c>
      <c r="F299" s="244" t="str">
        <f>'[1]รวมครุภัณฑ์ 70 (data)'!H125</f>
        <v>พมจ.กาญจนบุรี</v>
      </c>
      <c r="G299" s="244" t="str">
        <f>'[1]รวมครุภัณฑ์ 70 (data)'!J125</f>
        <v>กาญจนบุรี</v>
      </c>
      <c r="H299" s="244" t="str">
        <f>IF('รวมครุภัณฑ์ 70'!Q124="","",'รวมครุภัณฑ์ 70'!Q124)</f>
        <v/>
      </c>
      <c r="I299" s="244">
        <f>IF('รวมครุภัณฑ์ 70'!R124="","",'รวมครุภัณฑ์ 70'!R124)</f>
        <v>1</v>
      </c>
      <c r="J299" s="244"/>
      <c r="K299" s="245">
        <f>'[1]รวมครุภัณฑ์ 70 (data)'!L125</f>
        <v>63000</v>
      </c>
      <c r="L299" s="245" t="str">
        <f t="shared" si="1"/>
        <v>เพิ่มประสิทธิภาพ</v>
      </c>
    </row>
    <row r="300" spans="1:12">
      <c r="A300" s="241" t="s">
        <v>1610</v>
      </c>
      <c r="B300" s="244">
        <f>'[1]รวมครุภัณฑ์ 70 (data)'!B126</f>
        <v>2570</v>
      </c>
      <c r="C300" s="241" t="s">
        <v>447</v>
      </c>
      <c r="D300" s="244" t="str">
        <f>'[1]รวมครุภัณฑ์ 70 (data)'!C126</f>
        <v>ครุภัณฑ์สำนักงาน</v>
      </c>
      <c r="E300" s="244" t="str">
        <f>'[1]รวมครุภัณฑ์ 70 (data)'!G126</f>
        <v>เครื่องทําลายเอกสาร แบบตัดตรง ทําลายครั้งละ 30 แผ่น</v>
      </c>
      <c r="F300" s="244" t="str">
        <f>'[1]รวมครุภัณฑ์ 70 (data)'!H126</f>
        <v>พมจ.มุกดาหาร</v>
      </c>
      <c r="G300" s="244" t="str">
        <f>'[1]รวมครุภัณฑ์ 70 (data)'!J126</f>
        <v>มุกดาหาร</v>
      </c>
      <c r="H300" s="244" t="str">
        <f>IF('รวมครุภัณฑ์ 70'!Q125="","",'รวมครุภัณฑ์ 70'!Q125)</f>
        <v/>
      </c>
      <c r="I300" s="244">
        <f>IF('รวมครุภัณฑ์ 70'!R125="","",'รวมครุภัณฑ์ 70'!R125)</f>
        <v>1</v>
      </c>
      <c r="J300" s="244"/>
      <c r="K300" s="245">
        <f>'[1]รวมครุภัณฑ์ 70 (data)'!L126</f>
        <v>63000</v>
      </c>
      <c r="L300" s="245" t="str">
        <f t="shared" si="1"/>
        <v>เพิ่มประสิทธิภาพ</v>
      </c>
    </row>
    <row r="301" spans="1:12">
      <c r="A301" s="241" t="s">
        <v>1611</v>
      </c>
      <c r="B301" s="244">
        <f>'[1]รวมครุภัณฑ์ 70 (data)'!B127</f>
        <v>2570</v>
      </c>
      <c r="C301" s="241" t="s">
        <v>447</v>
      </c>
      <c r="D301" s="244" t="str">
        <f>'[1]รวมครุภัณฑ์ 70 (data)'!C127</f>
        <v>ครุภัณฑ์สำนักงาน</v>
      </c>
      <c r="E301" s="244" t="str">
        <f>'[1]รวมครุภัณฑ์ 70 (data)'!G127</f>
        <v>เครื่องทําลายเอกสาร แบบตัดตรง ทําลายครั้งละ 10 แผ่น</v>
      </c>
      <c r="F301" s="244" t="str">
        <f>'[1]รวมครุภัณฑ์ 70 (data)'!H127</f>
        <v>พมจ.ยโสธร</v>
      </c>
      <c r="G301" s="244" t="str">
        <f>'[1]รวมครุภัณฑ์ 70 (data)'!J127</f>
        <v>ยโสธร</v>
      </c>
      <c r="H301" s="244">
        <f>IF('รวมครุภัณฑ์ 70'!Q126="","",'รวมครุภัณฑ์ 70'!Q126)</f>
        <v>1</v>
      </c>
      <c r="I301" s="244" t="str">
        <f>IF('รวมครุภัณฑ์ 70'!R126="","",'รวมครุภัณฑ์ 70'!R126)</f>
        <v/>
      </c>
      <c r="J301" s="244"/>
      <c r="K301" s="245">
        <f>'[1]รวมครุภัณฑ์ 70 (data)'!L127</f>
        <v>18200</v>
      </c>
      <c r="L301" s="245" t="str">
        <f t="shared" si="1"/>
        <v>ทดแทนครุภัณฑ์เดิม</v>
      </c>
    </row>
    <row r="302" spans="1:12">
      <c r="A302" s="241" t="s">
        <v>1612</v>
      </c>
      <c r="B302" s="244">
        <f>'[1]รวมครุภัณฑ์ 70 (data)'!B128</f>
        <v>2570</v>
      </c>
      <c r="C302" s="241" t="s">
        <v>447</v>
      </c>
      <c r="D302" s="244" t="str">
        <f>'[1]รวมครุภัณฑ์ 70 (data)'!C128</f>
        <v>ครุภัณฑ์สำนักงาน</v>
      </c>
      <c r="E302" s="244" t="str">
        <f>'[1]รวมครุภัณฑ์ 70 (data)'!G128</f>
        <v>เครื่องเจาะกระดาษไฟฟ้าและเข้าเล่มมือโยก</v>
      </c>
      <c r="F302" s="244" t="str">
        <f>'[1]รวมครุภัณฑ์ 70 (data)'!H128</f>
        <v>พมจ.เลย</v>
      </c>
      <c r="G302" s="244" t="str">
        <f>'[1]รวมครุภัณฑ์ 70 (data)'!J128</f>
        <v>เลย</v>
      </c>
      <c r="H302" s="244" t="str">
        <f>IF('รวมครุภัณฑ์ 70'!Q127="","",'รวมครุภัณฑ์ 70'!Q127)</f>
        <v/>
      </c>
      <c r="I302" s="244">
        <f>IF('รวมครุภัณฑ์ 70'!R127="","",'รวมครุภัณฑ์ 70'!R127)</f>
        <v>1</v>
      </c>
      <c r="J302" s="244"/>
      <c r="K302" s="245">
        <f>'[1]รวมครุภัณฑ์ 70 (data)'!L128</f>
        <v>18200</v>
      </c>
      <c r="L302" s="245" t="str">
        <f t="shared" si="1"/>
        <v>เพิ่มประสิทธิภาพ</v>
      </c>
    </row>
    <row r="303" spans="1:12">
      <c r="A303" s="241" t="s">
        <v>1613</v>
      </c>
      <c r="B303" s="244">
        <f>'[1]รวมครุภัณฑ์ 70 (data)'!B129</f>
        <v>2570</v>
      </c>
      <c r="C303" s="241" t="s">
        <v>447</v>
      </c>
      <c r="D303" s="244" t="str">
        <f>'[1]รวมครุภัณฑ์ 70 (data)'!C129</f>
        <v>ครุภัณฑ์สำนักงาน</v>
      </c>
      <c r="E303" s="244" t="str">
        <f>'[1]รวมครุภัณฑ์ 70 (data)'!G129</f>
        <v>ตู้เหล็ก แบบ 2 บาน</v>
      </c>
      <c r="F303" s="244" t="str">
        <f>'[1]รวมครุภัณฑ์ 70 (data)'!H129</f>
        <v>พมจ.ปทุมธานี</v>
      </c>
      <c r="G303" s="244" t="str">
        <f>'[1]รวมครุภัณฑ์ 70 (data)'!J129</f>
        <v>ปทุมธานี</v>
      </c>
      <c r="H303" s="244">
        <f>IF('รวมครุภัณฑ์ 70'!Q128="","",'รวมครุภัณฑ์ 70'!Q128)</f>
        <v>8</v>
      </c>
      <c r="I303" s="244" t="str">
        <f>IF('รวมครุภัณฑ์ 70'!R128="","",'รวมครุภัณฑ์ 70'!R128)</f>
        <v/>
      </c>
      <c r="J303" s="244"/>
      <c r="K303" s="245">
        <f>'[1]รวมครุภัณฑ์ 70 (data)'!L129</f>
        <v>52800</v>
      </c>
      <c r="L303" s="245" t="str">
        <f t="shared" si="1"/>
        <v>ทดแทนครุภัณฑ์เดิม</v>
      </c>
    </row>
    <row r="304" spans="1:12">
      <c r="A304" s="241" t="s">
        <v>1614</v>
      </c>
      <c r="B304" s="244">
        <f>'[1]รวมครุภัณฑ์ 70 (data)'!B130</f>
        <v>2570</v>
      </c>
      <c r="C304" s="241" t="s">
        <v>447</v>
      </c>
      <c r="D304" s="244" t="str">
        <f>'[1]รวมครุภัณฑ์ 70 (data)'!C130</f>
        <v>ครุภัณฑ์สำนักงาน</v>
      </c>
      <c r="E304" s="244" t="str">
        <f>'[1]รวมครุภัณฑ์ 70 (data)'!G130</f>
        <v>ตู้เหล็ก แบบ 2 บาน</v>
      </c>
      <c r="F304" s="244" t="str">
        <f>'[1]รวมครุภัณฑ์ 70 (data)'!H130</f>
        <v>พมจ.นครนายก</v>
      </c>
      <c r="G304" s="244" t="str">
        <f>'[1]รวมครุภัณฑ์ 70 (data)'!J130</f>
        <v>นครนายก</v>
      </c>
      <c r="H304" s="244">
        <f>IF('รวมครุภัณฑ์ 70'!Q129="","",'รวมครุภัณฑ์ 70'!Q129)</f>
        <v>6</v>
      </c>
      <c r="I304" s="244" t="str">
        <f>IF('รวมครุภัณฑ์ 70'!R129="","",'รวมครุภัณฑ์ 70'!R129)</f>
        <v/>
      </c>
      <c r="J304" s="244"/>
      <c r="K304" s="245">
        <f>'[1]รวมครุภัณฑ์ 70 (data)'!L130</f>
        <v>39600</v>
      </c>
      <c r="L304" s="245" t="str">
        <f t="shared" si="1"/>
        <v>ทดแทนครุภัณฑ์เดิม</v>
      </c>
    </row>
    <row r="305" spans="1:12">
      <c r="A305" s="241" t="s">
        <v>1615</v>
      </c>
      <c r="B305" s="244">
        <f>'[1]รวมครุภัณฑ์ 70 (data)'!B131</f>
        <v>2570</v>
      </c>
      <c r="C305" s="241" t="s">
        <v>447</v>
      </c>
      <c r="D305" s="244" t="str">
        <f>'[1]รวมครุภัณฑ์ 70 (data)'!C131</f>
        <v>ครุภัณฑ์สำนักงาน</v>
      </c>
      <c r="E305" s="244" t="str">
        <f>'[1]รวมครุภัณฑ์ 70 (data)'!G131</f>
        <v>ตู้เหล็ก แบบ 2 บาน</v>
      </c>
      <c r="F305" s="244" t="str">
        <f>'[1]รวมครุภัณฑ์ 70 (data)'!H131</f>
        <v>พมจ.หนองบัวลำภู</v>
      </c>
      <c r="G305" s="244" t="str">
        <f>'[1]รวมครุภัณฑ์ 70 (data)'!J131</f>
        <v>หนองบัวลำภู</v>
      </c>
      <c r="H305" s="244" t="str">
        <f>IF('รวมครุภัณฑ์ 70'!Q130="","",'รวมครุภัณฑ์ 70'!Q130)</f>
        <v/>
      </c>
      <c r="I305" s="244">
        <f>IF('รวมครุภัณฑ์ 70'!R130="","",'รวมครุภัณฑ์ 70'!R130)</f>
        <v>10</v>
      </c>
      <c r="J305" s="244"/>
      <c r="K305" s="245">
        <f>'[1]รวมครุภัณฑ์ 70 (data)'!L131</f>
        <v>66000</v>
      </c>
      <c r="L305" s="245" t="str">
        <f t="shared" si="1"/>
        <v>เพิ่มประสิทธิภาพ</v>
      </c>
    </row>
    <row r="306" spans="1:12">
      <c r="A306" s="241" t="s">
        <v>1616</v>
      </c>
      <c r="B306" s="244">
        <f>'[1]รวมครุภัณฑ์ 70 (data)'!B132</f>
        <v>2570</v>
      </c>
      <c r="C306" s="241" t="s">
        <v>447</v>
      </c>
      <c r="D306" s="244" t="str">
        <f>'[1]รวมครุภัณฑ์ 70 (data)'!C132</f>
        <v>ครุภัณฑ์สำนักงาน</v>
      </c>
      <c r="E306" s="244" t="str">
        <f>'[1]รวมครุภัณฑ์ 70 (data)'!G132</f>
        <v>ตู้เหล็ก แบบ 2 บาน</v>
      </c>
      <c r="F306" s="244" t="str">
        <f>'[1]รวมครุภัณฑ์ 70 (data)'!H132</f>
        <v>พมจ.ชลบุรี</v>
      </c>
      <c r="G306" s="244" t="str">
        <f>'[1]รวมครุภัณฑ์ 70 (data)'!J132</f>
        <v>ชลบุรี</v>
      </c>
      <c r="H306" s="244" t="str">
        <f>IF('รวมครุภัณฑ์ 70'!Q131="","",'รวมครุภัณฑ์ 70'!Q131)</f>
        <v/>
      </c>
      <c r="I306" s="244">
        <f>IF('รวมครุภัณฑ์ 70'!R131="","",'รวมครุภัณฑ์ 70'!R131)</f>
        <v>5</v>
      </c>
      <c r="J306" s="244"/>
      <c r="K306" s="245">
        <f>'[1]รวมครุภัณฑ์ 70 (data)'!L132</f>
        <v>33000</v>
      </c>
      <c r="L306" s="245" t="str">
        <f t="shared" ref="L306:L369" si="2">_xlfn.TEXTJOIN(", ",TRUE,
IF(H306&lt;&gt;"","ทดแทนครุภัณฑ์เดิม",""),
IF(I306&lt;&gt;"","เพิ่มประสิทธิภาพ",""))</f>
        <v>เพิ่มประสิทธิภาพ</v>
      </c>
    </row>
    <row r="307" spans="1:12">
      <c r="A307" s="241" t="s">
        <v>1617</v>
      </c>
      <c r="B307" s="244">
        <f>'[1]รวมครุภัณฑ์ 70 (data)'!B133</f>
        <v>2570</v>
      </c>
      <c r="C307" s="241" t="s">
        <v>447</v>
      </c>
      <c r="D307" s="244" t="str">
        <f>'[1]รวมครุภัณฑ์ 70 (data)'!C133</f>
        <v>ครุภัณฑ์สำนักงาน</v>
      </c>
      <c r="E307" s="244" t="str">
        <f>'[1]รวมครุภัณฑ์ 70 (data)'!G133</f>
        <v>ตู้เหล็ก แบบ 2 บาน</v>
      </c>
      <c r="F307" s="244" t="str">
        <f>'[1]รวมครุภัณฑ์ 70 (data)'!H133</f>
        <v>พมจ.อำนาจเจริญ</v>
      </c>
      <c r="G307" s="244" t="str">
        <f>'[1]รวมครุภัณฑ์ 70 (data)'!J133</f>
        <v>อำนาจเจริญ</v>
      </c>
      <c r="H307" s="244" t="str">
        <f>IF('รวมครุภัณฑ์ 70'!Q132="","",'รวมครุภัณฑ์ 70'!Q132)</f>
        <v/>
      </c>
      <c r="I307" s="244">
        <f>IF('รวมครุภัณฑ์ 70'!R132="","",'รวมครุภัณฑ์ 70'!R132)</f>
        <v>5</v>
      </c>
      <c r="J307" s="244"/>
      <c r="K307" s="245">
        <f>'[1]รวมครุภัณฑ์ 70 (data)'!L133</f>
        <v>33000</v>
      </c>
      <c r="L307" s="245" t="str">
        <f t="shared" si="2"/>
        <v>เพิ่มประสิทธิภาพ</v>
      </c>
    </row>
    <row r="308" spans="1:12">
      <c r="A308" s="241" t="s">
        <v>1618</v>
      </c>
      <c r="B308" s="244">
        <f>'[1]รวมครุภัณฑ์ 70 (data)'!B134</f>
        <v>2570</v>
      </c>
      <c r="C308" s="241" t="s">
        <v>447</v>
      </c>
      <c r="D308" s="244" t="str">
        <f>'[1]รวมครุภัณฑ์ 70 (data)'!C134</f>
        <v>ครุภัณฑ์สำนักงาน</v>
      </c>
      <c r="E308" s="244" t="str">
        <f>'[1]รวมครุภัณฑ์ 70 (data)'!G134</f>
        <v>ตู้เหล็ก แบบ 2 บาน</v>
      </c>
      <c r="F308" s="244" t="str">
        <f>'[1]รวมครุภัณฑ์ 70 (data)'!H134</f>
        <v>พมจ.หนองบัวลำภู</v>
      </c>
      <c r="G308" s="244" t="str">
        <f>'[1]รวมครุภัณฑ์ 70 (data)'!J134</f>
        <v>หนองบัวลำภู</v>
      </c>
      <c r="H308" s="244" t="str">
        <f>IF('รวมครุภัณฑ์ 70'!Q133="","",'รวมครุภัณฑ์ 70'!Q133)</f>
        <v/>
      </c>
      <c r="I308" s="244">
        <f>IF('รวมครุภัณฑ์ 70'!R133="","",'รวมครุภัณฑ์ 70'!R133)</f>
        <v>10</v>
      </c>
      <c r="J308" s="244"/>
      <c r="K308" s="245">
        <f>'[1]รวมครุภัณฑ์ 70 (data)'!L134</f>
        <v>66000</v>
      </c>
      <c r="L308" s="245" t="str">
        <f t="shared" si="2"/>
        <v>เพิ่มประสิทธิภาพ</v>
      </c>
    </row>
    <row r="309" spans="1:12">
      <c r="A309" s="241" t="s">
        <v>1619</v>
      </c>
      <c r="B309" s="244">
        <f>'[1]รวมครุภัณฑ์ 70 (data)'!B135</f>
        <v>2570</v>
      </c>
      <c r="C309" s="241" t="s">
        <v>447</v>
      </c>
      <c r="D309" s="244" t="str">
        <f>'[1]รวมครุภัณฑ์ 70 (data)'!C135</f>
        <v>ครุภัณฑ์สำนักงาน</v>
      </c>
      <c r="E309" s="244" t="str">
        <f>'[1]รวมครุภัณฑ์ 70 (data)'!G135</f>
        <v>ตู้เหล็ก แบบ 2 บาน</v>
      </c>
      <c r="F309" s="244" t="str">
        <f>'[1]รวมครุภัณฑ์ 70 (data)'!H135</f>
        <v>พมจ.เลย</v>
      </c>
      <c r="G309" s="244" t="str">
        <f>'[1]รวมครุภัณฑ์ 70 (data)'!J135</f>
        <v>เลย</v>
      </c>
      <c r="H309" s="244" t="str">
        <f>IF('รวมครุภัณฑ์ 70'!Q134="","",'รวมครุภัณฑ์ 70'!Q134)</f>
        <v/>
      </c>
      <c r="I309" s="244">
        <f>IF('รวมครุภัณฑ์ 70'!R134="","",'รวมครุภัณฑ์ 70'!R134)</f>
        <v>2</v>
      </c>
      <c r="J309" s="244"/>
      <c r="K309" s="245">
        <f>'[1]รวมครุภัณฑ์ 70 (data)'!L135</f>
        <v>13200</v>
      </c>
      <c r="L309" s="245" t="str">
        <f t="shared" si="2"/>
        <v>เพิ่มประสิทธิภาพ</v>
      </c>
    </row>
    <row r="310" spans="1:12">
      <c r="A310" s="241" t="s">
        <v>1620</v>
      </c>
      <c r="B310" s="244">
        <f>'[1]รวมครุภัณฑ์ 70 (data)'!B136</f>
        <v>2570</v>
      </c>
      <c r="C310" s="241" t="s">
        <v>447</v>
      </c>
      <c r="D310" s="244" t="str">
        <f>'[1]รวมครุภัณฑ์ 70 (data)'!C136</f>
        <v>ครุภัณฑ์สำนักงาน</v>
      </c>
      <c r="E310" s="244" t="str">
        <f>'[1]รวมครุภัณฑ์ 70 (data)'!G136</f>
        <v>ตู้เหล็ก แบบ 4 ลิ้นชัก</v>
      </c>
      <c r="F310" s="244" t="str">
        <f>'[1]รวมครุภัณฑ์ 70 (data)'!H136</f>
        <v>พมจ.หนองบัวลำภู</v>
      </c>
      <c r="G310" s="244" t="str">
        <f>'[1]รวมครุภัณฑ์ 70 (data)'!J136</f>
        <v>หนองบัวลำภู</v>
      </c>
      <c r="H310" s="244" t="str">
        <f>IF('รวมครุภัณฑ์ 70'!Q135="","",'รวมครุภัณฑ์ 70'!Q135)</f>
        <v/>
      </c>
      <c r="I310" s="244">
        <f>IF('รวมครุภัณฑ์ 70'!R135="","",'รวมครุภัณฑ์ 70'!R135)</f>
        <v>10</v>
      </c>
      <c r="J310" s="244"/>
      <c r="K310" s="245">
        <f>'[1]รวมครุภัณฑ์ 70 (data)'!L136</f>
        <v>72000</v>
      </c>
      <c r="L310" s="245" t="str">
        <f t="shared" si="2"/>
        <v>เพิ่มประสิทธิภาพ</v>
      </c>
    </row>
    <row r="311" spans="1:12">
      <c r="A311" s="241" t="s">
        <v>1621</v>
      </c>
      <c r="B311" s="244">
        <f>'[1]รวมครุภัณฑ์ 70 (data)'!B137</f>
        <v>2570</v>
      </c>
      <c r="C311" s="241" t="s">
        <v>447</v>
      </c>
      <c r="D311" s="244" t="str">
        <f>'[1]รวมครุภัณฑ์ 70 (data)'!C137</f>
        <v>ครุภัณฑ์สำนักงาน</v>
      </c>
      <c r="E311" s="244" t="str">
        <f>'[1]รวมครุภัณฑ์ 70 (data)'!G137</f>
        <v>ตู้เหล็ก แบบ 4 ลิ้นชัก</v>
      </c>
      <c r="F311" s="244" t="str">
        <f>'[1]รวมครุภัณฑ์ 70 (data)'!H137</f>
        <v>พมจ.กาฬสินธุ์</v>
      </c>
      <c r="G311" s="244" t="str">
        <f>'[1]รวมครุภัณฑ์ 70 (data)'!J137</f>
        <v>กาฬสินธุ์</v>
      </c>
      <c r="H311" s="244" t="str">
        <f>IF('รวมครุภัณฑ์ 70'!Q136="","",'รวมครุภัณฑ์ 70'!Q136)</f>
        <v/>
      </c>
      <c r="I311" s="244">
        <f>IF('รวมครุภัณฑ์ 70'!R136="","",'รวมครุภัณฑ์ 70'!R136)</f>
        <v>2</v>
      </c>
      <c r="J311" s="244"/>
      <c r="K311" s="245">
        <f>'[1]รวมครุภัณฑ์ 70 (data)'!L137</f>
        <v>14400</v>
      </c>
      <c r="L311" s="245" t="str">
        <f t="shared" si="2"/>
        <v>เพิ่มประสิทธิภาพ</v>
      </c>
    </row>
    <row r="312" spans="1:12">
      <c r="A312" s="241" t="s">
        <v>1622</v>
      </c>
      <c r="B312" s="244">
        <f>'[1]รวมครุภัณฑ์ 70 (data)'!B138</f>
        <v>2570</v>
      </c>
      <c r="C312" s="241" t="s">
        <v>447</v>
      </c>
      <c r="D312" s="244" t="str">
        <f>'[1]รวมครุภัณฑ์ 70 (data)'!C138</f>
        <v>ครุภัณฑ์สำนักงาน</v>
      </c>
      <c r="E312" s="244" t="str">
        <f>'[1]รวมครุภัณฑ์ 70 (data)'!G138</f>
        <v>ตู้เหล็ก แบบ 4 ลิ้นชัก</v>
      </c>
      <c r="F312" s="244" t="str">
        <f>'[1]รวมครุภัณฑ์ 70 (data)'!H138</f>
        <v>พมจ.อำนาจเจริญ</v>
      </c>
      <c r="G312" s="244" t="str">
        <f>'[1]รวมครุภัณฑ์ 70 (data)'!J138</f>
        <v>อำนาจเจริญ</v>
      </c>
      <c r="H312" s="244" t="str">
        <f>IF('รวมครุภัณฑ์ 70'!Q137="","",'รวมครุภัณฑ์ 70'!Q137)</f>
        <v/>
      </c>
      <c r="I312" s="244">
        <f>IF('รวมครุภัณฑ์ 70'!R137="","",'รวมครุภัณฑ์ 70'!R137)</f>
        <v>5</v>
      </c>
      <c r="J312" s="244"/>
      <c r="K312" s="245">
        <f>'[1]รวมครุภัณฑ์ 70 (data)'!L138</f>
        <v>36000</v>
      </c>
      <c r="L312" s="245" t="str">
        <f t="shared" si="2"/>
        <v>เพิ่มประสิทธิภาพ</v>
      </c>
    </row>
    <row r="313" spans="1:12">
      <c r="A313" s="241" t="s">
        <v>1623</v>
      </c>
      <c r="B313" s="244">
        <f>'[1]รวมครุภัณฑ์ 70 (data)'!B139</f>
        <v>2570</v>
      </c>
      <c r="C313" s="241" t="s">
        <v>447</v>
      </c>
      <c r="D313" s="244" t="str">
        <f>'[1]รวมครุภัณฑ์ 70 (data)'!C139</f>
        <v>ครุภัณฑ์สำนักงาน</v>
      </c>
      <c r="E313" s="244" t="str">
        <f>'[1]รวมครุภัณฑ์ 70 (data)'!G139</f>
        <v xml:space="preserve">โต๊ะทำงานเหล็กสำหรับเจ้าหน้าที่ ขนาด 4 ฟุต </v>
      </c>
      <c r="F313" s="244" t="str">
        <f>'[1]รวมครุภัณฑ์ 70 (data)'!H139</f>
        <v>พมจ.ตราด</v>
      </c>
      <c r="G313" s="244" t="str">
        <f>'[1]รวมครุภัณฑ์ 70 (data)'!J139</f>
        <v>ตราด</v>
      </c>
      <c r="H313" s="244" t="str">
        <f>IF('รวมครุภัณฑ์ 70'!Q138="","",'รวมครุภัณฑ์ 70'!Q138)</f>
        <v/>
      </c>
      <c r="I313" s="244">
        <f>IF('รวมครุภัณฑ์ 70'!R138="","",'รวมครุภัณฑ์ 70'!R138)</f>
        <v>10</v>
      </c>
      <c r="J313" s="244"/>
      <c r="K313" s="245">
        <f>'[1]รวมครุภัณฑ์ 70 (data)'!L139</f>
        <v>62900</v>
      </c>
      <c r="L313" s="245" t="str">
        <f t="shared" si="2"/>
        <v>เพิ่มประสิทธิภาพ</v>
      </c>
    </row>
    <row r="314" spans="1:12">
      <c r="A314" s="241" t="s">
        <v>1624</v>
      </c>
      <c r="B314" s="244">
        <f>'[1]รวมครุภัณฑ์ 70 (data)'!B140</f>
        <v>2570</v>
      </c>
      <c r="C314" s="241" t="s">
        <v>447</v>
      </c>
      <c r="D314" s="244" t="str">
        <f>'[1]รวมครุภัณฑ์ 70 (data)'!C140</f>
        <v>ครุภัณฑ์สำนักงาน</v>
      </c>
      <c r="E314" s="244" t="str">
        <f>'[1]รวมครุภัณฑ์ 70 (data)'!G140</f>
        <v xml:space="preserve">โต๊ะทำงานเหล็กสำหรับเจ้าหน้าที่ ขนาด 4 ฟุต </v>
      </c>
      <c r="F314" s="244" t="str">
        <f>'[1]รวมครุภัณฑ์ 70 (data)'!H140</f>
        <v>พมจ.นนทบุรี</v>
      </c>
      <c r="G314" s="244" t="str">
        <f>'[1]รวมครุภัณฑ์ 70 (data)'!J140</f>
        <v>นนทบุรี</v>
      </c>
      <c r="H314" s="244" t="str">
        <f>IF('รวมครุภัณฑ์ 70'!Q139="","",'รวมครุภัณฑ์ 70'!Q139)</f>
        <v/>
      </c>
      <c r="I314" s="244">
        <f>IF('รวมครุภัณฑ์ 70'!R139="","",'รวมครุภัณฑ์ 70'!R139)</f>
        <v>25</v>
      </c>
      <c r="J314" s="244"/>
      <c r="K314" s="245">
        <f>'[1]รวมครุภัณฑ์ 70 (data)'!L140</f>
        <v>150000</v>
      </c>
      <c r="L314" s="245" t="str">
        <f t="shared" si="2"/>
        <v>เพิ่มประสิทธิภาพ</v>
      </c>
    </row>
    <row r="315" spans="1:12">
      <c r="A315" s="241" t="s">
        <v>1625</v>
      </c>
      <c r="B315" s="244">
        <f>'[1]รวมครุภัณฑ์ 70 (data)'!B141</f>
        <v>2570</v>
      </c>
      <c r="C315" s="241" t="s">
        <v>447</v>
      </c>
      <c r="D315" s="244" t="str">
        <f>'[1]รวมครุภัณฑ์ 70 (data)'!C141</f>
        <v>ครุภัณฑ์สำนักงาน</v>
      </c>
      <c r="E315" s="244" t="str">
        <f>'[1]รวมครุภัณฑ์ 70 (data)'!G141</f>
        <v xml:space="preserve">โต๊ะทำงานเหล็กสำหรับเจ้าหน้าที่ ขนาด 4 ฟุต </v>
      </c>
      <c r="F315" s="244" t="str">
        <f>'[1]รวมครุภัณฑ์ 70 (data)'!H141</f>
        <v>พมจ.นราธิวาส</v>
      </c>
      <c r="G315" s="244" t="str">
        <f>'[1]รวมครุภัณฑ์ 70 (data)'!J141</f>
        <v>นราธิวาส</v>
      </c>
      <c r="H315" s="244" t="str">
        <f>IF('รวมครุภัณฑ์ 70'!Q140="","",'รวมครุภัณฑ์ 70'!Q140)</f>
        <v/>
      </c>
      <c r="I315" s="244">
        <f>IF('รวมครุภัณฑ์ 70'!R140="","",'รวมครุภัณฑ์ 70'!R140)</f>
        <v>20</v>
      </c>
      <c r="J315" s="244"/>
      <c r="K315" s="245">
        <f>'[1]รวมครุภัณฑ์ 70 (data)'!L141</f>
        <v>89880</v>
      </c>
      <c r="L315" s="245" t="str">
        <f t="shared" si="2"/>
        <v>เพิ่มประสิทธิภาพ</v>
      </c>
    </row>
    <row r="316" spans="1:12">
      <c r="A316" s="241" t="s">
        <v>1626</v>
      </c>
      <c r="B316" s="244">
        <f>'[1]รวมครุภัณฑ์ 70 (data)'!B142</f>
        <v>2570</v>
      </c>
      <c r="C316" s="241" t="s">
        <v>447</v>
      </c>
      <c r="D316" s="244" t="str">
        <f>'[1]รวมครุภัณฑ์ 70 (data)'!C142</f>
        <v>ครุภัณฑ์สำนักงาน</v>
      </c>
      <c r="E316" s="244" t="str">
        <f>'[1]รวมครุภัณฑ์ 70 (data)'!G142</f>
        <v xml:space="preserve">โต๊ะทำงานเหล็กสำหรับเจ้าหน้าที่ ขนาด 4 ฟุต </v>
      </c>
      <c r="F316" s="244" t="str">
        <f>'[1]รวมครุภัณฑ์ 70 (data)'!H142</f>
        <v>พมจ.อุดรธานี</v>
      </c>
      <c r="G316" s="244" t="str">
        <f>'[1]รวมครุภัณฑ์ 70 (data)'!J142</f>
        <v>อุดรธานี</v>
      </c>
      <c r="H316" s="244">
        <f>IF('รวมครุภัณฑ์ 70'!Q141="","",'รวมครุภัณฑ์ 70'!Q141)</f>
        <v>18</v>
      </c>
      <c r="I316" s="244" t="str">
        <f>IF('รวมครุภัณฑ์ 70'!R141="","",'รวมครุภัณฑ์ 70'!R141)</f>
        <v/>
      </c>
      <c r="J316" s="244"/>
      <c r="K316" s="245">
        <f>'[1]รวมครุภัณฑ์ 70 (data)'!L142</f>
        <v>140400</v>
      </c>
      <c r="L316" s="245" t="str">
        <f t="shared" si="2"/>
        <v>ทดแทนครุภัณฑ์เดิม</v>
      </c>
    </row>
    <row r="317" spans="1:12">
      <c r="A317" s="241" t="s">
        <v>1627</v>
      </c>
      <c r="B317" s="244">
        <f>'[1]รวมครุภัณฑ์ 70 (data)'!B143</f>
        <v>2570</v>
      </c>
      <c r="C317" s="241" t="s">
        <v>447</v>
      </c>
      <c r="D317" s="244" t="str">
        <f>'[1]รวมครุภัณฑ์ 70 (data)'!C143</f>
        <v>ครุภัณฑ์สำนักงาน</v>
      </c>
      <c r="E317" s="244" t="str">
        <f>'[1]รวมครุภัณฑ์ 70 (data)'!G143</f>
        <v xml:space="preserve">โต๊ะทำงานเหล็กสำหรับเจ้าหน้าที่ ขนาด 4 ฟุต </v>
      </c>
      <c r="F317" s="244" t="str">
        <f>'[1]รวมครุภัณฑ์ 70 (data)'!H143</f>
        <v>พมจ.นครราชสีมา</v>
      </c>
      <c r="G317" s="244" t="str">
        <f>'[1]รวมครุภัณฑ์ 70 (data)'!J143</f>
        <v>นครราชสีมา</v>
      </c>
      <c r="H317" s="244">
        <f>IF('รวมครุภัณฑ์ 70'!Q142="","",'รวมครุภัณฑ์ 70'!Q142)</f>
        <v>9</v>
      </c>
      <c r="I317" s="244">
        <f>IF('รวมครุภัณฑ์ 70'!R142="","",'รวมครุภัณฑ์ 70'!R142)</f>
        <v>21</v>
      </c>
      <c r="J317" s="244"/>
      <c r="K317" s="245">
        <f>'[1]รวมครุภัณฑ์ 70 (data)'!L143</f>
        <v>165000</v>
      </c>
      <c r="L317" s="245" t="str">
        <f t="shared" si="2"/>
        <v>ทดแทนครุภัณฑ์เดิม, เพิ่มประสิทธิภาพ</v>
      </c>
    </row>
    <row r="318" spans="1:12">
      <c r="A318" s="241" t="s">
        <v>1628</v>
      </c>
      <c r="B318" s="244">
        <f>'[1]รวมครุภัณฑ์ 70 (data)'!B144</f>
        <v>2570</v>
      </c>
      <c r="C318" s="241" t="s">
        <v>447</v>
      </c>
      <c r="D318" s="244" t="str">
        <f>'[1]รวมครุภัณฑ์ 70 (data)'!C144</f>
        <v>ครุภัณฑ์สำนักงาน</v>
      </c>
      <c r="E318" s="244" t="str">
        <f>'[1]รวมครุภัณฑ์ 70 (data)'!G144</f>
        <v>โต๊ะทำงานสำหรับเจ้าหน้าที่</v>
      </c>
      <c r="F318" s="244" t="str">
        <f>'[1]รวมครุภัณฑ์ 70 (data)'!H144</f>
        <v>พมจ.ปทุมธานี</v>
      </c>
      <c r="G318" s="244" t="str">
        <f>'[1]รวมครุภัณฑ์ 70 (data)'!J144</f>
        <v>ปทุมธานี</v>
      </c>
      <c r="H318" s="244">
        <f>IF('รวมครุภัณฑ์ 70'!Q143="","",'รวมครุภัณฑ์ 70'!Q143)</f>
        <v>33</v>
      </c>
      <c r="I318" s="244" t="str">
        <f>IF('รวมครุภัณฑ์ 70'!R143="","",'รวมครุภัณฑ์ 70'!R143)</f>
        <v/>
      </c>
      <c r="J318" s="244"/>
      <c r="K318" s="245">
        <f>'[1]รวมครุภัณฑ์ 70 (data)'!L144</f>
        <v>247500</v>
      </c>
      <c r="L318" s="245" t="str">
        <f t="shared" si="2"/>
        <v>ทดแทนครุภัณฑ์เดิม</v>
      </c>
    </row>
    <row r="319" spans="1:12">
      <c r="A319" s="241" t="s">
        <v>1629</v>
      </c>
      <c r="B319" s="244">
        <f>'[1]รวมครุภัณฑ์ 70 (data)'!B145</f>
        <v>2570</v>
      </c>
      <c r="C319" s="241" t="s">
        <v>447</v>
      </c>
      <c r="D319" s="244" t="str">
        <f>'[1]รวมครุภัณฑ์ 70 (data)'!C145</f>
        <v>ครุภัณฑ์สำนักงาน</v>
      </c>
      <c r="E319" s="244" t="str">
        <f>'[1]รวมครุภัณฑ์ 70 (data)'!G145</f>
        <v>โต๊ะทำงานสำหรับเจ้าหน้าที่</v>
      </c>
      <c r="F319" s="244" t="str">
        <f>'[1]รวมครุภัณฑ์ 70 (data)'!H145</f>
        <v>พมจ.อุดรธานี</v>
      </c>
      <c r="G319" s="244" t="str">
        <f>'[1]รวมครุภัณฑ์ 70 (data)'!J145</f>
        <v>อุดรธานี</v>
      </c>
      <c r="H319" s="244">
        <f>IF('รวมครุภัณฑ์ 70'!Q144="","",'รวมครุภัณฑ์ 70'!Q144)</f>
        <v>9</v>
      </c>
      <c r="I319" s="244" t="str">
        <f>IF('รวมครุภัณฑ์ 70'!R144="","",'รวมครุภัณฑ์ 70'!R144)</f>
        <v/>
      </c>
      <c r="J319" s="244"/>
      <c r="K319" s="245">
        <f>'[1]รวมครุภัณฑ์ 70 (data)'!L145</f>
        <v>35100</v>
      </c>
      <c r="L319" s="245" t="str">
        <f t="shared" si="2"/>
        <v>ทดแทนครุภัณฑ์เดิม</v>
      </c>
    </row>
    <row r="320" spans="1:12">
      <c r="A320" s="241" t="s">
        <v>1630</v>
      </c>
      <c r="B320" s="244">
        <f>'[1]รวมครุภัณฑ์ 70 (data)'!B146</f>
        <v>2570</v>
      </c>
      <c r="C320" s="241" t="s">
        <v>447</v>
      </c>
      <c r="D320" s="244" t="str">
        <f>'[1]รวมครุภัณฑ์ 70 (data)'!C146</f>
        <v>ครุภัณฑ์สำนักงาน</v>
      </c>
      <c r="E320" s="244" t="str">
        <f>'[1]รวมครุภัณฑ์ 70 (data)'!G146</f>
        <v>โต๊ะทำงานสำหรับเจ้าหน้าที่</v>
      </c>
      <c r="F320" s="244" t="str">
        <f>'[1]รวมครุภัณฑ์ 70 (data)'!H146</f>
        <v>พมจ.ลำปาง</v>
      </c>
      <c r="G320" s="244" t="str">
        <f>'[1]รวมครุภัณฑ์ 70 (data)'!J146</f>
        <v>ลำปาง</v>
      </c>
      <c r="H320" s="244">
        <f>IF('รวมครุภัณฑ์ 70'!Q145="","",'รวมครุภัณฑ์ 70'!Q145)</f>
        <v>1</v>
      </c>
      <c r="I320" s="244" t="str">
        <f>IF('รวมครุภัณฑ์ 70'!R145="","",'รวมครุภัณฑ์ 70'!R145)</f>
        <v/>
      </c>
      <c r="J320" s="244"/>
      <c r="K320" s="245">
        <f>'[1]รวมครุภัณฑ์ 70 (data)'!L146</f>
        <v>3500</v>
      </c>
      <c r="L320" s="245" t="str">
        <f t="shared" si="2"/>
        <v>ทดแทนครุภัณฑ์เดิม</v>
      </c>
    </row>
    <row r="321" spans="1:12">
      <c r="A321" s="241" t="s">
        <v>1631</v>
      </c>
      <c r="B321" s="244">
        <f>'[1]รวมครุภัณฑ์ 70 (data)'!B147</f>
        <v>2570</v>
      </c>
      <c r="C321" s="241" t="s">
        <v>447</v>
      </c>
      <c r="D321" s="244" t="str">
        <f>'[1]รวมครุภัณฑ์ 70 (data)'!C147</f>
        <v>ครุภัณฑ์สำนักงาน</v>
      </c>
      <c r="E321" s="244" t="str">
        <f>'[1]รวมครุภัณฑ์ 70 (data)'!G147</f>
        <v>โต๊ะทำงานสำหรับเจ้าหน้าที่</v>
      </c>
      <c r="F321" s="244" t="str">
        <f>'[1]รวมครุภัณฑ์ 70 (data)'!H147</f>
        <v>พมจ.ชลบุรี</v>
      </c>
      <c r="G321" s="244" t="str">
        <f>'[1]รวมครุภัณฑ์ 70 (data)'!J147</f>
        <v>ชลบุรี</v>
      </c>
      <c r="H321" s="244" t="str">
        <f>IF('รวมครุภัณฑ์ 70'!Q146="","",'รวมครุภัณฑ์ 70'!Q146)</f>
        <v/>
      </c>
      <c r="I321" s="244">
        <f>IF('รวมครุภัณฑ์ 70'!R146="","",'รวมครุภัณฑ์ 70'!R146)</f>
        <v>24</v>
      </c>
      <c r="J321" s="244"/>
      <c r="K321" s="245">
        <f>'[1]รวมครุภัณฑ์ 70 (data)'!L147</f>
        <v>132000</v>
      </c>
      <c r="L321" s="245" t="str">
        <f t="shared" si="2"/>
        <v>เพิ่มประสิทธิภาพ</v>
      </c>
    </row>
    <row r="322" spans="1:12">
      <c r="A322" s="241" t="s">
        <v>1632</v>
      </c>
      <c r="B322" s="244">
        <f>'[1]รวมครุภัณฑ์ 70 (data)'!B148</f>
        <v>2570</v>
      </c>
      <c r="C322" s="241" t="s">
        <v>447</v>
      </c>
      <c r="D322" s="244" t="str">
        <f>'[1]รวมครุภัณฑ์ 70 (data)'!C148</f>
        <v>ครุภัณฑ์สำนักงาน</v>
      </c>
      <c r="E322" s="244" t="str">
        <f>'[1]รวมครุภัณฑ์ 70 (data)'!G148</f>
        <v>โต๊ะทำงานสำหรับเจ้าหน้าที่</v>
      </c>
      <c r="F322" s="244" t="str">
        <f>'[1]รวมครุภัณฑ์ 70 (data)'!H148</f>
        <v>พมจ.สุโขทัย</v>
      </c>
      <c r="G322" s="244" t="str">
        <f>'[1]รวมครุภัณฑ์ 70 (data)'!J148</f>
        <v>สุโขทัย</v>
      </c>
      <c r="H322" s="244">
        <f>IF('รวมครุภัณฑ์ 70'!Q147="","",'รวมครุภัณฑ์ 70'!Q147)</f>
        <v>4</v>
      </c>
      <c r="I322" s="244">
        <f>IF('รวมครุภัณฑ์ 70'!R147="","",'รวมครุภัณฑ์ 70'!R147)</f>
        <v>7</v>
      </c>
      <c r="J322" s="244"/>
      <c r="K322" s="245">
        <f>'[1]รวมครุภัณฑ์ 70 (data)'!L148</f>
        <v>74030</v>
      </c>
      <c r="L322" s="245" t="str">
        <f t="shared" si="2"/>
        <v>ทดแทนครุภัณฑ์เดิม, เพิ่มประสิทธิภาพ</v>
      </c>
    </row>
    <row r="323" spans="1:12">
      <c r="A323" s="241" t="s">
        <v>1633</v>
      </c>
      <c r="B323" s="244">
        <f>'[1]รวมครุภัณฑ์ 70 (data)'!B149</f>
        <v>2570</v>
      </c>
      <c r="C323" s="241" t="s">
        <v>447</v>
      </c>
      <c r="D323" s="244" t="str">
        <f>'[1]รวมครุภัณฑ์ 70 (data)'!C149</f>
        <v>ครุภัณฑ์สำนักงาน</v>
      </c>
      <c r="E323" s="244" t="str">
        <f>'[1]รวมครุภัณฑ์ 70 (data)'!G149</f>
        <v>โต๊ะทำงานสำหรับเจ้าหน้าที่</v>
      </c>
      <c r="F323" s="244" t="str">
        <f>'[1]รวมครุภัณฑ์ 70 (data)'!H149</f>
        <v>พมจ.สุพรรณบุรี</v>
      </c>
      <c r="G323" s="244" t="str">
        <f>'[1]รวมครุภัณฑ์ 70 (data)'!J149</f>
        <v>สุพรรณบุรี</v>
      </c>
      <c r="H323" s="244" t="str">
        <f>IF('รวมครุภัณฑ์ 70'!Q148="","",'รวมครุภัณฑ์ 70'!Q148)</f>
        <v/>
      </c>
      <c r="I323" s="244">
        <f>IF('รวมครุภัณฑ์ 70'!R148="","",'รวมครุภัณฑ์ 70'!R148)</f>
        <v>10</v>
      </c>
      <c r="J323" s="244"/>
      <c r="K323" s="245">
        <f>'[1]รวมครุภัณฑ์ 70 (data)'!L149</f>
        <v>79500</v>
      </c>
      <c r="L323" s="245" t="str">
        <f t="shared" si="2"/>
        <v>เพิ่มประสิทธิภาพ</v>
      </c>
    </row>
    <row r="324" spans="1:12">
      <c r="A324" s="241" t="s">
        <v>1634</v>
      </c>
      <c r="B324" s="244">
        <f>'[1]รวมครุภัณฑ์ 70 (data)'!B150</f>
        <v>2570</v>
      </c>
      <c r="C324" s="241" t="s">
        <v>447</v>
      </c>
      <c r="D324" s="244" t="str">
        <f>'[1]รวมครุภัณฑ์ 70 (data)'!C150</f>
        <v>ครุภัณฑ์สำนักงาน</v>
      </c>
      <c r="E324" s="244" t="str">
        <f>'[1]รวมครุภัณฑ์ 70 (data)'!G150</f>
        <v>โต๊ะทำงานสำหรับเจ้าหน้าที่</v>
      </c>
      <c r="F324" s="244" t="str">
        <f>'[1]รวมครุภัณฑ์ 70 (data)'!H150</f>
        <v>พมจ.อ่างทอง</v>
      </c>
      <c r="G324" s="244" t="str">
        <f>'[1]รวมครุภัณฑ์ 70 (data)'!J150</f>
        <v>อ่างทอง</v>
      </c>
      <c r="H324" s="244">
        <f>IF('รวมครุภัณฑ์ 70'!Q149="","",'รวมครุภัณฑ์ 70'!Q149)</f>
        <v>10</v>
      </c>
      <c r="I324" s="244" t="str">
        <f>IF('รวมครุภัณฑ์ 70'!R149="","",'รวมครุภัณฑ์ 70'!R149)</f>
        <v/>
      </c>
      <c r="J324" s="244"/>
      <c r="K324" s="245">
        <f>'[1]รวมครุภัณฑ์ 70 (data)'!L150</f>
        <v>38000</v>
      </c>
      <c r="L324" s="245" t="str">
        <f t="shared" si="2"/>
        <v>ทดแทนครุภัณฑ์เดิม</v>
      </c>
    </row>
    <row r="325" spans="1:12">
      <c r="A325" s="241" t="s">
        <v>1635</v>
      </c>
      <c r="B325" s="244">
        <f>'[1]รวมครุภัณฑ์ 70 (data)'!B151</f>
        <v>2570</v>
      </c>
      <c r="C325" s="241" t="s">
        <v>447</v>
      </c>
      <c r="D325" s="244" t="str">
        <f>'[1]รวมครุภัณฑ์ 70 (data)'!C151</f>
        <v>ครุภัณฑ์สำนักงาน</v>
      </c>
      <c r="E325" s="244" t="str">
        <f>'[1]รวมครุภัณฑ์ 70 (data)'!G151</f>
        <v>โต๊ะทำงานสำหรับเจ้าหน้าที่</v>
      </c>
      <c r="F325" s="244" t="str">
        <f>'[1]รวมครุภัณฑ์ 70 (data)'!H151</f>
        <v>พมจ.เชียงราย</v>
      </c>
      <c r="G325" s="244" t="str">
        <f>'[1]รวมครุภัณฑ์ 70 (data)'!J151</f>
        <v>เชียงราย</v>
      </c>
      <c r="H325" s="244" t="str">
        <f>IF('รวมครุภัณฑ์ 70'!Q150="","",'รวมครุภัณฑ์ 70'!Q150)</f>
        <v/>
      </c>
      <c r="I325" s="244">
        <f>IF('รวมครุภัณฑ์ 70'!R150="","",'รวมครุภัณฑ์ 70'!R150)</f>
        <v>10</v>
      </c>
      <c r="J325" s="244"/>
      <c r="K325" s="245">
        <f>'[1]รวมครุภัณฑ์ 70 (data)'!L151</f>
        <v>50000</v>
      </c>
      <c r="L325" s="245" t="str">
        <f t="shared" si="2"/>
        <v>เพิ่มประสิทธิภาพ</v>
      </c>
    </row>
    <row r="326" spans="1:12">
      <c r="A326" s="241" t="s">
        <v>1636</v>
      </c>
      <c r="B326" s="244">
        <f>'[1]รวมครุภัณฑ์ 70 (data)'!B152</f>
        <v>2570</v>
      </c>
      <c r="C326" s="241" t="s">
        <v>447</v>
      </c>
      <c r="D326" s="244" t="str">
        <f>'[1]รวมครุภัณฑ์ 70 (data)'!C152</f>
        <v>ครุภัณฑ์สำนักงาน</v>
      </c>
      <c r="E326" s="244" t="str">
        <f>'[1]รวมครุภัณฑ์ 70 (data)'!G152</f>
        <v>โต๊ะประชุมพร้อมเก้าอี้</v>
      </c>
      <c r="F326" s="244" t="str">
        <f>'[1]รวมครุภัณฑ์ 70 (data)'!H152</f>
        <v>พมจ.สุโขทัย</v>
      </c>
      <c r="G326" s="244" t="str">
        <f>'[1]รวมครุภัณฑ์ 70 (data)'!J152</f>
        <v>สุโขทัย</v>
      </c>
      <c r="H326" s="244">
        <f>IF('รวมครุภัณฑ์ 70'!Q151="","",'รวมครุภัณฑ์ 70'!Q151)</f>
        <v>1</v>
      </c>
      <c r="I326" s="244" t="str">
        <f>IF('รวมครุภัณฑ์ 70'!R151="","",'รวมครุภัณฑ์ 70'!R151)</f>
        <v/>
      </c>
      <c r="J326" s="244"/>
      <c r="K326" s="245">
        <f>'[1]รวมครุภัณฑ์ 70 (data)'!L152</f>
        <v>110570</v>
      </c>
      <c r="L326" s="245" t="str">
        <f t="shared" si="2"/>
        <v>ทดแทนครุภัณฑ์เดิม</v>
      </c>
    </row>
    <row r="327" spans="1:12">
      <c r="A327" s="241" t="s">
        <v>1637</v>
      </c>
      <c r="B327" s="244">
        <f>'[1]รวมครุภัณฑ์ 70 (data)'!B153</f>
        <v>2570</v>
      </c>
      <c r="C327" s="241" t="s">
        <v>447</v>
      </c>
      <c r="D327" s="244" t="str">
        <f>'[1]รวมครุภัณฑ์ 70 (data)'!C153</f>
        <v>ครุภัณฑ์สำนักงาน</v>
      </c>
      <c r="E327" s="244" t="str">
        <f>'[1]รวมครุภัณฑ์ 70 (data)'!G153</f>
        <v>โต๊ะห้องประชุม</v>
      </c>
      <c r="F327" s="244" t="str">
        <f>'[1]รวมครุภัณฑ์ 70 (data)'!H153</f>
        <v>พมจ.ตราด</v>
      </c>
      <c r="G327" s="244" t="str">
        <f>'[1]รวมครุภัณฑ์ 70 (data)'!J153</f>
        <v>ตราด</v>
      </c>
      <c r="H327" s="244" t="str">
        <f>IF('รวมครุภัณฑ์ 70'!Q152="","",'รวมครุภัณฑ์ 70'!Q152)</f>
        <v/>
      </c>
      <c r="I327" s="244">
        <f>IF('รวมครุภัณฑ์ 70'!R152="","",'รวมครุภัณฑ์ 70'!R152)</f>
        <v>2</v>
      </c>
      <c r="J327" s="244"/>
      <c r="K327" s="245">
        <f>'[1]รวมครุภัณฑ์ 70 (data)'!L153</f>
        <v>13980</v>
      </c>
      <c r="L327" s="245" t="str">
        <f t="shared" si="2"/>
        <v>เพิ่มประสิทธิภาพ</v>
      </c>
    </row>
    <row r="328" spans="1:12">
      <c r="A328" s="241" t="s">
        <v>1638</v>
      </c>
      <c r="B328" s="244">
        <f>'[1]รวมครุภัณฑ์ 70 (data)'!B154</f>
        <v>2570</v>
      </c>
      <c r="C328" s="241" t="s">
        <v>447</v>
      </c>
      <c r="D328" s="244" t="str">
        <f>'[1]รวมครุภัณฑ์ 70 (data)'!C154</f>
        <v>ครุภัณฑ์สำนักงาน</v>
      </c>
      <c r="E328" s="244" t="str">
        <f>'[1]รวมครุภัณฑ์ 70 (data)'!G154</f>
        <v>โต๊ะห้องประชุม</v>
      </c>
      <c r="F328" s="244" t="str">
        <f>'[1]รวมครุภัณฑ์ 70 (data)'!H154</f>
        <v>พมจ.ตรัง</v>
      </c>
      <c r="G328" s="244" t="str">
        <f>'[1]รวมครุภัณฑ์ 70 (data)'!J154</f>
        <v>ตรัง</v>
      </c>
      <c r="H328" s="244" t="str">
        <f>IF('รวมครุภัณฑ์ 70'!Q153="","",'รวมครุภัณฑ์ 70'!Q153)</f>
        <v/>
      </c>
      <c r="I328" s="244">
        <f>IF('รวมครุภัณฑ์ 70'!R153="","",'รวมครุภัณฑ์ 70'!R153)</f>
        <v>2</v>
      </c>
      <c r="J328" s="244"/>
      <c r="K328" s="245">
        <f>'[1]รวมครุภัณฑ์ 70 (data)'!L154</f>
        <v>9800</v>
      </c>
      <c r="L328" s="245" t="str">
        <f t="shared" si="2"/>
        <v>เพิ่มประสิทธิภาพ</v>
      </c>
    </row>
    <row r="329" spans="1:12">
      <c r="A329" s="241" t="s">
        <v>1639</v>
      </c>
      <c r="B329" s="244">
        <f>'[1]รวมครุภัณฑ์ 70 (data)'!B155</f>
        <v>2570</v>
      </c>
      <c r="C329" s="241" t="s">
        <v>447</v>
      </c>
      <c r="D329" s="244" t="str">
        <f>'[1]รวมครุภัณฑ์ 70 (data)'!C155</f>
        <v>ครุภัณฑ์สำนักงาน</v>
      </c>
      <c r="E329" s="244" t="str">
        <f>'[1]รวมครุภัณฑ์ 70 (data)'!G155</f>
        <v>โต๊ะห้องประชุม</v>
      </c>
      <c r="F329" s="244" t="str">
        <f>'[1]รวมครุภัณฑ์ 70 (data)'!H155</f>
        <v>พมจ.มหาสารคาม</v>
      </c>
      <c r="G329" s="244" t="str">
        <f>'[1]รวมครุภัณฑ์ 70 (data)'!J155</f>
        <v>มหาสารคาม</v>
      </c>
      <c r="H329" s="244" t="str">
        <f>IF('รวมครุภัณฑ์ 70'!Q154="","",'รวมครุภัณฑ์ 70'!Q154)</f>
        <v/>
      </c>
      <c r="I329" s="244">
        <f>IF('รวมครุภัณฑ์ 70'!R154="","",'รวมครุภัณฑ์ 70'!R154)</f>
        <v>8</v>
      </c>
      <c r="J329" s="244"/>
      <c r="K329" s="245">
        <f>'[1]รวมครุภัณฑ์ 70 (data)'!L155</f>
        <v>22400</v>
      </c>
      <c r="L329" s="245" t="str">
        <f t="shared" si="2"/>
        <v>เพิ่มประสิทธิภาพ</v>
      </c>
    </row>
    <row r="330" spans="1:12">
      <c r="A330" s="241" t="s">
        <v>1640</v>
      </c>
      <c r="B330" s="244">
        <f>'[1]รวมครุภัณฑ์ 70 (data)'!B156</f>
        <v>2570</v>
      </c>
      <c r="C330" s="241" t="s">
        <v>447</v>
      </c>
      <c r="D330" s="244" t="str">
        <f>'[1]รวมครุภัณฑ์ 70 (data)'!C156</f>
        <v>ครุภัณฑ์สำนักงาน</v>
      </c>
      <c r="E330" s="244" t="str">
        <f>'[1]รวมครุภัณฑ์ 70 (data)'!G156</f>
        <v>โต๊ะห้องประชุมโล่ง</v>
      </c>
      <c r="F330" s="244" t="str">
        <f>'[1]รวมครุภัณฑ์ 70 (data)'!H156</f>
        <v>พมจ.มหาสารคาม</v>
      </c>
      <c r="G330" s="244" t="str">
        <f>'[1]รวมครุภัณฑ์ 70 (data)'!J156</f>
        <v>มหาสารคาม</v>
      </c>
      <c r="H330" s="244" t="str">
        <f>IF('รวมครุภัณฑ์ 70'!Q155="","",'รวมครุภัณฑ์ 70'!Q155)</f>
        <v/>
      </c>
      <c r="I330" s="244">
        <f>IF('รวมครุภัณฑ์ 70'!R155="","",'รวมครุภัณฑ์ 70'!R155)</f>
        <v>1</v>
      </c>
      <c r="J330" s="244"/>
      <c r="K330" s="245">
        <f>'[1]รวมครุภัณฑ์ 70 (data)'!L156</f>
        <v>2200</v>
      </c>
      <c r="L330" s="245" t="str">
        <f t="shared" si="2"/>
        <v>เพิ่มประสิทธิภาพ</v>
      </c>
    </row>
    <row r="331" spans="1:12">
      <c r="A331" s="241" t="s">
        <v>1641</v>
      </c>
      <c r="B331" s="244">
        <f>'[1]รวมครุภัณฑ์ 70 (data)'!B157</f>
        <v>2570</v>
      </c>
      <c r="C331" s="241" t="s">
        <v>447</v>
      </c>
      <c r="D331" s="244" t="str">
        <f>'[1]รวมครุภัณฑ์ 70 (data)'!C157</f>
        <v>ครุภัณฑ์สำนักงาน</v>
      </c>
      <c r="E331" s="244" t="str">
        <f>'[1]รวมครุภัณฑ์ 70 (data)'!G157</f>
        <v>โต๊ะพับอเนกประสงค์หน้าขาวขาโครเมียม ขนาด 60x150x75 cm</v>
      </c>
      <c r="F331" s="244" t="str">
        <f>'[1]รวมครุภัณฑ์ 70 (data)'!H157</f>
        <v>พมจ.ศรีสะเกษ</v>
      </c>
      <c r="G331" s="244" t="str">
        <f>'[1]รวมครุภัณฑ์ 70 (data)'!J157</f>
        <v>ศรีสะเกษ</v>
      </c>
      <c r="H331" s="244">
        <f>IF('รวมครุภัณฑ์ 70'!Q156="","",'รวมครุภัณฑ์ 70'!Q156)</f>
        <v>5</v>
      </c>
      <c r="I331" s="244">
        <f>IF('รวมครุภัณฑ์ 70'!R156="","",'รวมครุภัณฑ์ 70'!R156)</f>
        <v>5</v>
      </c>
      <c r="J331" s="244"/>
      <c r="K331" s="245">
        <f>'[1]รวมครุภัณฑ์ 70 (data)'!L157</f>
        <v>18000</v>
      </c>
      <c r="L331" s="245" t="str">
        <f t="shared" si="2"/>
        <v>ทดแทนครุภัณฑ์เดิม, เพิ่มประสิทธิภาพ</v>
      </c>
    </row>
    <row r="332" spans="1:12">
      <c r="A332" s="241" t="s">
        <v>1642</v>
      </c>
      <c r="B332" s="244">
        <f>'[1]รวมครุภัณฑ์ 70 (data)'!B158</f>
        <v>2570</v>
      </c>
      <c r="C332" s="241" t="s">
        <v>447</v>
      </c>
      <c r="D332" s="244" t="str">
        <f>'[1]รวมครุภัณฑ์ 70 (data)'!C158</f>
        <v>ครุภัณฑ์สำนักงาน</v>
      </c>
      <c r="E332" s="244" t="str">
        <f>'[1]รวมครุภัณฑ์ 70 (data)'!G158</f>
        <v>เก้าอี้สำหรับผู้บริหาร</v>
      </c>
      <c r="F332" s="244" t="str">
        <f>'[1]รวมครุภัณฑ์ 70 (data)'!H158</f>
        <v>พมจ.ราชบุรี</v>
      </c>
      <c r="G332" s="244" t="str">
        <f>'[1]รวมครุภัณฑ์ 70 (data)'!J158</f>
        <v>ราชบุรี</v>
      </c>
      <c r="H332" s="244">
        <f>IF('รวมครุภัณฑ์ 70'!Q157="","",'รวมครุภัณฑ์ 70'!Q157)</f>
        <v>1</v>
      </c>
      <c r="I332" s="244" t="str">
        <f>IF('รวมครุภัณฑ์ 70'!R157="","",'รวมครุภัณฑ์ 70'!R157)</f>
        <v/>
      </c>
      <c r="J332" s="244"/>
      <c r="K332" s="245">
        <f>'[1]รวมครุภัณฑ์ 70 (data)'!L158</f>
        <v>13900</v>
      </c>
      <c r="L332" s="245" t="str">
        <f t="shared" si="2"/>
        <v>ทดแทนครุภัณฑ์เดิม</v>
      </c>
    </row>
    <row r="333" spans="1:12">
      <c r="A333" s="241" t="s">
        <v>1643</v>
      </c>
      <c r="B333" s="244">
        <f>'[1]รวมครุภัณฑ์ 70 (data)'!B159</f>
        <v>2570</v>
      </c>
      <c r="C333" s="241" t="s">
        <v>447</v>
      </c>
      <c r="D333" s="244" t="str">
        <f>'[1]รวมครุภัณฑ์ 70 (data)'!C159</f>
        <v>ครุภัณฑ์สำนักงาน</v>
      </c>
      <c r="E333" s="244" t="str">
        <f>'[1]รวมครุภัณฑ์ 70 (data)'!G159</f>
        <v>เก้าอี้ทำงานสำหรับเจ้าหน้าที่</v>
      </c>
      <c r="F333" s="244" t="str">
        <f>'[1]รวมครุภัณฑ์ 70 (data)'!H159</f>
        <v>พมจ.ตราด</v>
      </c>
      <c r="G333" s="244" t="str">
        <f>'[1]รวมครุภัณฑ์ 70 (data)'!J159</f>
        <v>ตราด</v>
      </c>
      <c r="H333" s="244" t="str">
        <f>IF('รวมครุภัณฑ์ 70'!Q158="","",'รวมครุภัณฑ์ 70'!Q158)</f>
        <v/>
      </c>
      <c r="I333" s="244">
        <f>IF('รวมครุภัณฑ์ 70'!R158="","",'รวมครุภัณฑ์ 70'!R158)</f>
        <v>15</v>
      </c>
      <c r="J333" s="244"/>
      <c r="K333" s="245">
        <f>'[1]รวมครุภัณฑ์ 70 (data)'!L159</f>
        <v>52350</v>
      </c>
      <c r="L333" s="245" t="str">
        <f t="shared" si="2"/>
        <v>เพิ่มประสิทธิภาพ</v>
      </c>
    </row>
    <row r="334" spans="1:12">
      <c r="A334" s="241" t="s">
        <v>1644</v>
      </c>
      <c r="B334" s="244">
        <f>'[1]รวมครุภัณฑ์ 70 (data)'!B160</f>
        <v>2570</v>
      </c>
      <c r="C334" s="241" t="s">
        <v>447</v>
      </c>
      <c r="D334" s="244" t="str">
        <f>'[1]รวมครุภัณฑ์ 70 (data)'!C160</f>
        <v>ครุภัณฑ์สำนักงาน</v>
      </c>
      <c r="E334" s="244" t="str">
        <f>'[1]รวมครุภัณฑ์ 70 (data)'!G160</f>
        <v>เก้าอี้ทำงานสำหรับเจ้าหน้าที่</v>
      </c>
      <c r="F334" s="244" t="str">
        <f>'[1]รวมครุภัณฑ์ 70 (data)'!H160</f>
        <v>พมจ.มุกดาหาร</v>
      </c>
      <c r="G334" s="244" t="str">
        <f>'[1]รวมครุภัณฑ์ 70 (data)'!J160</f>
        <v>มุกดาหาร</v>
      </c>
      <c r="H334" s="244">
        <f>IF('รวมครุภัณฑ์ 70'!Q159="","",'รวมครุภัณฑ์ 70'!Q159)</f>
        <v>12</v>
      </c>
      <c r="I334" s="244" t="str">
        <f>IF('รวมครุภัณฑ์ 70'!R159="","",'รวมครุภัณฑ์ 70'!R159)</f>
        <v/>
      </c>
      <c r="J334" s="244"/>
      <c r="K334" s="245">
        <f>'[1]รวมครุภัณฑ์ 70 (data)'!L160</f>
        <v>42000</v>
      </c>
      <c r="L334" s="245" t="str">
        <f t="shared" si="2"/>
        <v>ทดแทนครุภัณฑ์เดิม</v>
      </c>
    </row>
    <row r="335" spans="1:12">
      <c r="A335" s="241" t="s">
        <v>1645</v>
      </c>
      <c r="B335" s="244">
        <f>'[1]รวมครุภัณฑ์ 70 (data)'!B161</f>
        <v>2570</v>
      </c>
      <c r="C335" s="241" t="s">
        <v>447</v>
      </c>
      <c r="D335" s="244" t="str">
        <f>'[1]รวมครุภัณฑ์ 70 (data)'!C161</f>
        <v>ครุภัณฑ์สำนักงาน</v>
      </c>
      <c r="E335" s="244" t="str">
        <f>'[1]รวมครุภัณฑ์ 70 (data)'!G161</f>
        <v>เก้าอี้ทำงานสำหรับเจ้าหน้าที่</v>
      </c>
      <c r="F335" s="244" t="str">
        <f>'[1]รวมครุภัณฑ์ 70 (data)'!H161</f>
        <v>พมจ.อุบลราชธานี</v>
      </c>
      <c r="G335" s="244" t="str">
        <f>'[1]รวมครุภัณฑ์ 70 (data)'!J161</f>
        <v>อุบลราชธานี</v>
      </c>
      <c r="H335" s="244">
        <f>IF('รวมครุภัณฑ์ 70'!Q160="","",'รวมครุภัณฑ์ 70'!Q160)</f>
        <v>40</v>
      </c>
      <c r="I335" s="244" t="str">
        <f>IF('รวมครุภัณฑ์ 70'!R160="","",'รวมครุภัณฑ์ 70'!R160)</f>
        <v/>
      </c>
      <c r="J335" s="244"/>
      <c r="K335" s="245">
        <f>'[1]รวมครุภัณฑ์ 70 (data)'!L161</f>
        <v>116000</v>
      </c>
      <c r="L335" s="245" t="str">
        <f t="shared" si="2"/>
        <v>ทดแทนครุภัณฑ์เดิม</v>
      </c>
    </row>
    <row r="336" spans="1:12">
      <c r="A336" s="241" t="s">
        <v>1646</v>
      </c>
      <c r="B336" s="244">
        <f>'[1]รวมครุภัณฑ์ 70 (data)'!B162</f>
        <v>2570</v>
      </c>
      <c r="C336" s="241" t="s">
        <v>447</v>
      </c>
      <c r="D336" s="244" t="str">
        <f>'[1]รวมครุภัณฑ์ 70 (data)'!C162</f>
        <v>ครุภัณฑ์สำนักงาน</v>
      </c>
      <c r="E336" s="244" t="str">
        <f>'[1]รวมครุภัณฑ์ 70 (data)'!G162</f>
        <v>เก้าอี้ทำงานสำหรับเจ้าหน้าที่</v>
      </c>
      <c r="F336" s="244" t="str">
        <f>'[1]รวมครุภัณฑ์ 70 (data)'!H162</f>
        <v>พมจ.ลำปาง</v>
      </c>
      <c r="G336" s="244" t="str">
        <f>'[1]รวมครุภัณฑ์ 70 (data)'!J162</f>
        <v>ลำปาง</v>
      </c>
      <c r="H336" s="244">
        <f>IF('รวมครุภัณฑ์ 70'!Q161="","",'รวมครุภัณฑ์ 70'!Q161)</f>
        <v>10</v>
      </c>
      <c r="I336" s="244" t="str">
        <f>IF('รวมครุภัณฑ์ 70'!R161="","",'รวมครุภัณฑ์ 70'!R161)</f>
        <v/>
      </c>
      <c r="J336" s="244"/>
      <c r="K336" s="245">
        <f>'[1]รวมครุภัณฑ์ 70 (data)'!L162</f>
        <v>14900</v>
      </c>
      <c r="L336" s="245" t="str">
        <f t="shared" si="2"/>
        <v>ทดแทนครุภัณฑ์เดิม</v>
      </c>
    </row>
    <row r="337" spans="1:12">
      <c r="A337" s="241" t="s">
        <v>1647</v>
      </c>
      <c r="B337" s="244">
        <f>'[1]รวมครุภัณฑ์ 70 (data)'!B163</f>
        <v>2570</v>
      </c>
      <c r="C337" s="241" t="s">
        <v>447</v>
      </c>
      <c r="D337" s="244" t="str">
        <f>'[1]รวมครุภัณฑ์ 70 (data)'!C163</f>
        <v>ครุภัณฑ์สำนักงาน</v>
      </c>
      <c r="E337" s="244" t="str">
        <f>'[1]รวมครุภัณฑ์ 70 (data)'!G163</f>
        <v>เก้าอี้ทำงานสำหรับเจ้าหน้าที่</v>
      </c>
      <c r="F337" s="244" t="str">
        <f>'[1]รวมครุภัณฑ์ 70 (data)'!H163</f>
        <v>พมจ.นราธิวาส</v>
      </c>
      <c r="G337" s="244" t="str">
        <f>'[1]รวมครุภัณฑ์ 70 (data)'!J163</f>
        <v>นราธิวาส</v>
      </c>
      <c r="H337" s="244" t="str">
        <f>IF('รวมครุภัณฑ์ 70'!Q162="","",'รวมครุภัณฑ์ 70'!Q162)</f>
        <v/>
      </c>
      <c r="I337" s="244">
        <f>IF('รวมครุภัณฑ์ 70'!R162="","",'รวมครุภัณฑ์ 70'!R162)</f>
        <v>20</v>
      </c>
      <c r="J337" s="244"/>
      <c r="K337" s="245">
        <f>'[1]รวมครุภัณฑ์ 70 (data)'!L163</f>
        <v>85600</v>
      </c>
      <c r="L337" s="245" t="str">
        <f t="shared" si="2"/>
        <v>เพิ่มประสิทธิภาพ</v>
      </c>
    </row>
    <row r="338" spans="1:12">
      <c r="A338" s="241" t="s">
        <v>1648</v>
      </c>
      <c r="B338" s="244">
        <f>'[1]รวมครุภัณฑ์ 70 (data)'!B164</f>
        <v>2570</v>
      </c>
      <c r="C338" s="241" t="s">
        <v>447</v>
      </c>
      <c r="D338" s="244" t="str">
        <f>'[1]รวมครุภัณฑ์ 70 (data)'!C164</f>
        <v>ครุภัณฑ์สำนักงาน</v>
      </c>
      <c r="E338" s="244" t="str">
        <f>'[1]รวมครุภัณฑ์ 70 (data)'!G164</f>
        <v>เก้าอี้ทำงานสำหรับเจ้าหน้าที่</v>
      </c>
      <c r="F338" s="244" t="str">
        <f>'[1]รวมครุภัณฑ์ 70 (data)'!H164</f>
        <v>พมจ.กาฬสินธุ์</v>
      </c>
      <c r="G338" s="244" t="str">
        <f>'[1]รวมครุภัณฑ์ 70 (data)'!J164</f>
        <v>กาฬสินธุ์</v>
      </c>
      <c r="H338" s="244">
        <f>IF('รวมครุภัณฑ์ 70'!Q163="","",'รวมครุภัณฑ์ 70'!Q163)</f>
        <v>28</v>
      </c>
      <c r="I338" s="244" t="str">
        <f>IF('รวมครุภัณฑ์ 70'!R163="","",'รวมครุภัณฑ์ 70'!R163)</f>
        <v/>
      </c>
      <c r="J338" s="244"/>
      <c r="K338" s="245">
        <f>'[1]รวมครุภัณฑ์ 70 (data)'!L164</f>
        <v>126000</v>
      </c>
      <c r="L338" s="245" t="str">
        <f t="shared" si="2"/>
        <v>ทดแทนครุภัณฑ์เดิม</v>
      </c>
    </row>
    <row r="339" spans="1:12">
      <c r="A339" s="241" t="s">
        <v>1649</v>
      </c>
      <c r="B339" s="244">
        <f>'[1]รวมครุภัณฑ์ 70 (data)'!B165</f>
        <v>2570</v>
      </c>
      <c r="C339" s="241" t="s">
        <v>447</v>
      </c>
      <c r="D339" s="244" t="str">
        <f>'[1]รวมครุภัณฑ์ 70 (data)'!C165</f>
        <v>ครุภัณฑ์สำนักงาน</v>
      </c>
      <c r="E339" s="244" t="str">
        <f>'[1]รวมครุภัณฑ์ 70 (data)'!G165</f>
        <v>เก้าอี้ทำงานสำหรับเจ้าหน้าที่</v>
      </c>
      <c r="F339" s="244" t="str">
        <f>'[1]รวมครุภัณฑ์ 70 (data)'!H165</f>
        <v>พมจ.สุพรรณบุรี</v>
      </c>
      <c r="G339" s="244" t="str">
        <f>'[1]รวมครุภัณฑ์ 70 (data)'!J165</f>
        <v>สุพรรณบุรี</v>
      </c>
      <c r="H339" s="244">
        <f>IF('รวมครุภัณฑ์ 70'!Q164="","",'รวมครุภัณฑ์ 70'!Q164)</f>
        <v>2</v>
      </c>
      <c r="I339" s="244" t="str">
        <f>IF('รวมครุภัณฑ์ 70'!R164="","",'รวมครุภัณฑ์ 70'!R164)</f>
        <v/>
      </c>
      <c r="J339" s="244"/>
      <c r="K339" s="245">
        <f>'[1]รวมครุภัณฑ์ 70 (data)'!L165</f>
        <v>10000</v>
      </c>
      <c r="L339" s="245" t="str">
        <f t="shared" si="2"/>
        <v>ทดแทนครุภัณฑ์เดิม</v>
      </c>
    </row>
    <row r="340" spans="1:12">
      <c r="A340" s="241" t="s">
        <v>1650</v>
      </c>
      <c r="B340" s="244">
        <f>'[1]รวมครุภัณฑ์ 70 (data)'!B166</f>
        <v>2570</v>
      </c>
      <c r="C340" s="241" t="s">
        <v>447</v>
      </c>
      <c r="D340" s="244" t="str">
        <f>'[1]รวมครุภัณฑ์ 70 (data)'!C166</f>
        <v>ครุภัณฑ์สำนักงาน</v>
      </c>
      <c r="E340" s="244" t="str">
        <f>'[1]รวมครุภัณฑ์ 70 (data)'!G166</f>
        <v>เก้าอี้ทำงานสำหรับเจ้าหน้าที่</v>
      </c>
      <c r="F340" s="244" t="str">
        <f>'[1]รวมครุภัณฑ์ 70 (data)'!H166</f>
        <v>พมจ.สุโขทัย</v>
      </c>
      <c r="G340" s="244" t="str">
        <f>'[1]รวมครุภัณฑ์ 70 (data)'!J166</f>
        <v>สุโขทัย</v>
      </c>
      <c r="H340" s="244">
        <f>IF('รวมครุภัณฑ์ 70'!Q165="","",'รวมครุภัณฑ์ 70'!Q165)</f>
        <v>6</v>
      </c>
      <c r="I340" s="244">
        <f>IF('รวมครุภัณฑ์ 70'!R165="","",'รวมครุภัณฑ์ 70'!R165)</f>
        <v>3</v>
      </c>
      <c r="J340" s="244"/>
      <c r="K340" s="245">
        <f>'[1]รวมครุภัณฑ์ 70 (data)'!L166</f>
        <v>45810</v>
      </c>
      <c r="L340" s="245" t="str">
        <f t="shared" si="2"/>
        <v>ทดแทนครุภัณฑ์เดิม, เพิ่มประสิทธิภาพ</v>
      </c>
    </row>
    <row r="341" spans="1:12">
      <c r="A341" s="241" t="s">
        <v>1651</v>
      </c>
      <c r="B341" s="244">
        <f>'[1]รวมครุภัณฑ์ 70 (data)'!B167</f>
        <v>2570</v>
      </c>
      <c r="C341" s="241" t="s">
        <v>447</v>
      </c>
      <c r="D341" s="244" t="str">
        <f>'[1]รวมครุภัณฑ์ 70 (data)'!C167</f>
        <v>ครุภัณฑ์สำนักงาน</v>
      </c>
      <c r="E341" s="244" t="str">
        <f>'[1]รวมครุภัณฑ์ 70 (data)'!G167</f>
        <v>เก้าอี้ทำงานสำหรับเจ้าหน้าที่</v>
      </c>
      <c r="F341" s="244" t="str">
        <f>'[1]รวมครุภัณฑ์ 70 (data)'!H167</f>
        <v>พมจ.เชียงราย</v>
      </c>
      <c r="G341" s="244" t="str">
        <f>'[1]รวมครุภัณฑ์ 70 (data)'!J167</f>
        <v>เชียงราย</v>
      </c>
      <c r="H341" s="244" t="str">
        <f>IF('รวมครุภัณฑ์ 70'!Q166="","",'รวมครุภัณฑ์ 70'!Q166)</f>
        <v/>
      </c>
      <c r="I341" s="244">
        <f>IF('รวมครุภัณฑ์ 70'!R166="","",'รวมครุภัณฑ์ 70'!R166)</f>
        <v>20</v>
      </c>
      <c r="J341" s="244"/>
      <c r="K341" s="245">
        <f>'[1]รวมครุภัณฑ์ 70 (data)'!L167</f>
        <v>60000</v>
      </c>
      <c r="L341" s="245" t="str">
        <f t="shared" si="2"/>
        <v>เพิ่มประสิทธิภาพ</v>
      </c>
    </row>
    <row r="342" spans="1:12">
      <c r="A342" s="241" t="s">
        <v>1652</v>
      </c>
      <c r="B342" s="244">
        <f>'[1]รวมครุภัณฑ์ 70 (data)'!B168</f>
        <v>2570</v>
      </c>
      <c r="C342" s="241" t="s">
        <v>447</v>
      </c>
      <c r="D342" s="244" t="str">
        <f>'[1]รวมครุภัณฑ์ 70 (data)'!C168</f>
        <v>ครุภัณฑ์สำนักงาน</v>
      </c>
      <c r="E342" s="244" t="str">
        <f>'[1]รวมครุภัณฑ์ 70 (data)'!G168</f>
        <v>เก้าอี้เหล็กบุนวม</v>
      </c>
      <c r="F342" s="244" t="str">
        <f>'[1]รวมครุภัณฑ์ 70 (data)'!H168</f>
        <v>พมจ.สุพรรณบุรี</v>
      </c>
      <c r="G342" s="244" t="str">
        <f>'[1]รวมครุภัณฑ์ 70 (data)'!J168</f>
        <v>สุพรรณบุรี</v>
      </c>
      <c r="H342" s="244" t="str">
        <f>IF('รวมครุภัณฑ์ 70'!Q167="","",'รวมครุภัณฑ์ 70'!Q167)</f>
        <v/>
      </c>
      <c r="I342" s="244">
        <f>IF('รวมครุภัณฑ์ 70'!R167="","",'รวมครุภัณฑ์ 70'!R167)</f>
        <v>30</v>
      </c>
      <c r="J342" s="244"/>
      <c r="K342" s="245">
        <f>'[1]รวมครุภัณฑ์ 70 (data)'!L168</f>
        <v>22500</v>
      </c>
      <c r="L342" s="245" t="str">
        <f t="shared" si="2"/>
        <v>เพิ่มประสิทธิภาพ</v>
      </c>
    </row>
    <row r="343" spans="1:12">
      <c r="A343" s="241" t="s">
        <v>1653</v>
      </c>
      <c r="B343" s="244">
        <f>'[1]รวมครุภัณฑ์ 70 (data)'!B169</f>
        <v>2570</v>
      </c>
      <c r="C343" s="241" t="s">
        <v>447</v>
      </c>
      <c r="D343" s="244" t="str">
        <f>'[1]รวมครุภัณฑ์ 70 (data)'!C169</f>
        <v>ครุภัณฑ์สำนักงาน</v>
      </c>
      <c r="E343" s="244" t="str">
        <f>'[1]รวมครุภัณฑ์ 70 (data)'!G169</f>
        <v>เก้าอี้เหล็กบุนวม</v>
      </c>
      <c r="F343" s="244" t="str">
        <f>'[1]รวมครุภัณฑ์ 70 (data)'!H169</f>
        <v>พมจ.ราชบุรี</v>
      </c>
      <c r="G343" s="244" t="str">
        <f>'[1]รวมครุภัณฑ์ 70 (data)'!J169</f>
        <v>ราชบุรี</v>
      </c>
      <c r="H343" s="244" t="str">
        <f>IF('รวมครุภัณฑ์ 70'!Q168="","",'รวมครุภัณฑ์ 70'!Q168)</f>
        <v/>
      </c>
      <c r="I343" s="244">
        <f>IF('รวมครุภัณฑ์ 70'!R168="","",'รวมครุภัณฑ์ 70'!R168)</f>
        <v>4</v>
      </c>
      <c r="J343" s="244"/>
      <c r="K343" s="245">
        <f>'[1]รวมครุภัณฑ์ 70 (data)'!L169</f>
        <v>3400</v>
      </c>
      <c r="L343" s="245" t="str">
        <f t="shared" si="2"/>
        <v>เพิ่มประสิทธิภาพ</v>
      </c>
    </row>
    <row r="344" spans="1:12">
      <c r="A344" s="241" t="s">
        <v>1654</v>
      </c>
      <c r="B344" s="244">
        <f>'[1]รวมครุภัณฑ์ 70 (data)'!B170</f>
        <v>2570</v>
      </c>
      <c r="C344" s="241" t="s">
        <v>447</v>
      </c>
      <c r="D344" s="244" t="str">
        <f>'[1]รวมครุภัณฑ์ 70 (data)'!C170</f>
        <v>ครุภัณฑ์สำนักงาน</v>
      </c>
      <c r="E344" s="244" t="str">
        <f>'[1]รวมครุภัณฑ์ 70 (data)'!G170</f>
        <v>เก้าอี้เหล็กบุนวม</v>
      </c>
      <c r="F344" s="244" t="str">
        <f>'[1]รวมครุภัณฑ์ 70 (data)'!H170</f>
        <v xml:space="preserve">พมจ.สุรินทร์ </v>
      </c>
      <c r="G344" s="244" t="str">
        <f>'[1]รวมครุภัณฑ์ 70 (data)'!J170</f>
        <v xml:space="preserve">สุรินทร์ </v>
      </c>
      <c r="H344" s="244" t="str">
        <f>IF('รวมครุภัณฑ์ 70'!Q169="","",'รวมครุภัณฑ์ 70'!Q169)</f>
        <v/>
      </c>
      <c r="I344" s="244">
        <f>IF('รวมครุภัณฑ์ 70'!R169="","",'รวมครุภัณฑ์ 70'!R169)</f>
        <v>20</v>
      </c>
      <c r="J344" s="244"/>
      <c r="K344" s="245">
        <f>'[1]รวมครุภัณฑ์ 70 (data)'!L170</f>
        <v>13800</v>
      </c>
      <c r="L344" s="245" t="str">
        <f t="shared" si="2"/>
        <v>เพิ่มประสิทธิภาพ</v>
      </c>
    </row>
    <row r="345" spans="1:12">
      <c r="A345" s="241" t="s">
        <v>1655</v>
      </c>
      <c r="B345" s="244">
        <f>'[1]รวมครุภัณฑ์ 70 (data)'!B171</f>
        <v>2570</v>
      </c>
      <c r="C345" s="241" t="s">
        <v>447</v>
      </c>
      <c r="D345" s="244" t="str">
        <f>'[1]รวมครุภัณฑ์ 70 (data)'!C171</f>
        <v>ครุภัณฑ์สำนักงาน</v>
      </c>
      <c r="E345" s="244" t="str">
        <f>'[1]รวมครุภัณฑ์ 70 (data)'!G171</f>
        <v>เก้าอี้ห้องประชุม</v>
      </c>
      <c r="F345" s="244" t="str">
        <f>'[1]รวมครุภัณฑ์ 70 (data)'!H171</f>
        <v>พมจ.ตราด</v>
      </c>
      <c r="G345" s="244" t="str">
        <f>'[1]รวมครุภัณฑ์ 70 (data)'!J171</f>
        <v>ตราด</v>
      </c>
      <c r="H345" s="244" t="str">
        <f>IF('รวมครุภัณฑ์ 70'!Q170="","",'รวมครุภัณฑ์ 70'!Q170)</f>
        <v/>
      </c>
      <c r="I345" s="244">
        <f>IF('รวมครุภัณฑ์ 70'!R170="","",'รวมครุภัณฑ์ 70'!R170)</f>
        <v>11</v>
      </c>
      <c r="J345" s="244"/>
      <c r="K345" s="245">
        <f>'[1]รวมครุภัณฑ์ 70 (data)'!L171</f>
        <v>32890</v>
      </c>
      <c r="L345" s="245" t="str">
        <f t="shared" si="2"/>
        <v>เพิ่มประสิทธิภาพ</v>
      </c>
    </row>
    <row r="346" spans="1:12">
      <c r="A346" s="241" t="s">
        <v>1656</v>
      </c>
      <c r="B346" s="244">
        <f>'[1]รวมครุภัณฑ์ 70 (data)'!B172</f>
        <v>2570</v>
      </c>
      <c r="C346" s="241" t="s">
        <v>447</v>
      </c>
      <c r="D346" s="244" t="str">
        <f>'[1]รวมครุภัณฑ์ 70 (data)'!C172</f>
        <v>ครุภัณฑ์สำนักงาน</v>
      </c>
      <c r="E346" s="244" t="str">
        <f>'[1]รวมครุภัณฑ์ 70 (data)'!G172</f>
        <v>เก้าอี้ห้องประชุม</v>
      </c>
      <c r="F346" s="244" t="str">
        <f>'[1]รวมครุภัณฑ์ 70 (data)'!H172</f>
        <v>พมจ.ตรัง</v>
      </c>
      <c r="G346" s="244" t="str">
        <f>'[1]รวมครุภัณฑ์ 70 (data)'!J172</f>
        <v>ตรัง</v>
      </c>
      <c r="H346" s="244" t="str">
        <f>IF('รวมครุภัณฑ์ 70'!Q171="","",'รวมครุภัณฑ์ 70'!Q171)</f>
        <v/>
      </c>
      <c r="I346" s="244">
        <f>IF('รวมครุภัณฑ์ 70'!R171="","",'รวมครุภัณฑ์ 70'!R171)</f>
        <v>12</v>
      </c>
      <c r="J346" s="244"/>
      <c r="K346" s="245">
        <f>'[1]รวมครุภัณฑ์ 70 (data)'!L172</f>
        <v>66000</v>
      </c>
      <c r="L346" s="245" t="str">
        <f t="shared" si="2"/>
        <v>เพิ่มประสิทธิภาพ</v>
      </c>
    </row>
    <row r="347" spans="1:12">
      <c r="A347" s="241" t="s">
        <v>1657</v>
      </c>
      <c r="B347" s="244">
        <f>'[1]รวมครุภัณฑ์ 70 (data)'!B173</f>
        <v>2570</v>
      </c>
      <c r="C347" s="241" t="s">
        <v>447</v>
      </c>
      <c r="D347" s="244" t="str">
        <f>'[1]รวมครุภัณฑ์ 70 (data)'!C173</f>
        <v>ครุภัณฑ์สำนักงาน</v>
      </c>
      <c r="E347" s="244" t="str">
        <f>'[1]รวมครุภัณฑ์ 70 (data)'!G173</f>
        <v>เก้าอี้ห้องประชุม</v>
      </c>
      <c r="F347" s="244" t="str">
        <f>'[1]รวมครุภัณฑ์ 70 (data)'!H173</f>
        <v>พมจ.นราธิวาส</v>
      </c>
      <c r="G347" s="244" t="str">
        <f>'[1]รวมครุภัณฑ์ 70 (data)'!J173</f>
        <v>นราธิวาส</v>
      </c>
      <c r="H347" s="244" t="str">
        <f>IF('รวมครุภัณฑ์ 70'!Q172="","",'รวมครุภัณฑ์ 70'!Q172)</f>
        <v/>
      </c>
      <c r="I347" s="244">
        <f>IF('รวมครุภัณฑ์ 70'!R172="","",'รวมครุภัณฑ์ 70'!R172)</f>
        <v>20</v>
      </c>
      <c r="J347" s="244"/>
      <c r="K347" s="245">
        <f>'[1]รวมครุภัณฑ์ 70 (data)'!L173</f>
        <v>85600</v>
      </c>
      <c r="L347" s="245" t="str">
        <f t="shared" si="2"/>
        <v>เพิ่มประสิทธิภาพ</v>
      </c>
    </row>
    <row r="348" spans="1:12">
      <c r="A348" s="241" t="s">
        <v>1658</v>
      </c>
      <c r="B348" s="244">
        <f>'[1]รวมครุภัณฑ์ 70 (data)'!B174</f>
        <v>2570</v>
      </c>
      <c r="C348" s="241" t="s">
        <v>447</v>
      </c>
      <c r="D348" s="244" t="str">
        <f>'[1]รวมครุภัณฑ์ 70 (data)'!C174</f>
        <v>ครุภัณฑ์สำนักงาน</v>
      </c>
      <c r="E348" s="244" t="str">
        <f>'[1]รวมครุภัณฑ์ 70 (data)'!G174</f>
        <v>เก้าอี้ห้องประชุม</v>
      </c>
      <c r="F348" s="244" t="str">
        <f>'[1]รวมครุภัณฑ์ 70 (data)'!H174</f>
        <v>พมจ.มหาสารคาม</v>
      </c>
      <c r="G348" s="244" t="str">
        <f>'[1]รวมครุภัณฑ์ 70 (data)'!J174</f>
        <v>มหาสารคาม</v>
      </c>
      <c r="H348" s="244" t="str">
        <f>IF('รวมครุภัณฑ์ 70'!Q173="","",'รวมครุภัณฑ์ 70'!Q173)</f>
        <v/>
      </c>
      <c r="I348" s="244">
        <f>IF('รวมครุภัณฑ์ 70'!R173="","",'รวมครุภัณฑ์ 70'!R173)</f>
        <v>40</v>
      </c>
      <c r="J348" s="244"/>
      <c r="K348" s="245">
        <f>'[1]รวมครุภัณฑ์ 70 (data)'!L174</f>
        <v>24000</v>
      </c>
      <c r="L348" s="245" t="str">
        <f t="shared" si="2"/>
        <v>เพิ่มประสิทธิภาพ</v>
      </c>
    </row>
    <row r="349" spans="1:12">
      <c r="A349" s="241" t="s">
        <v>1659</v>
      </c>
      <c r="B349" s="244">
        <f>'[1]รวมครุภัณฑ์ 70 (data)'!B175</f>
        <v>2570</v>
      </c>
      <c r="C349" s="241" t="s">
        <v>447</v>
      </c>
      <c r="D349" s="244" t="str">
        <f>'[1]รวมครุภัณฑ์ 70 (data)'!C175</f>
        <v>ครุภัณฑ์สำนักงาน</v>
      </c>
      <c r="E349" s="244" t="str">
        <f>'[1]รวมครุภัณฑ์ 70 (data)'!G175</f>
        <v>โต๊ะพร้อมเก้าอี้สำหรับผู้มาติดต่อราชการ</v>
      </c>
      <c r="F349" s="244" t="str">
        <f>'[1]รวมครุภัณฑ์ 70 (data)'!H175</f>
        <v>พมจ.ราชบุรี</v>
      </c>
      <c r="G349" s="244" t="str">
        <f>'[1]รวมครุภัณฑ์ 70 (data)'!J175</f>
        <v>ราชบุรี</v>
      </c>
      <c r="H349" s="244" t="str">
        <f>IF('รวมครุภัณฑ์ 70'!Q174="","",'รวมครุภัณฑ์ 70'!Q174)</f>
        <v/>
      </c>
      <c r="I349" s="244">
        <f>IF('รวมครุภัณฑ์ 70'!R174="","",'รวมครุภัณฑ์ 70'!R174)</f>
        <v>1</v>
      </c>
      <c r="J349" s="244"/>
      <c r="K349" s="245">
        <f>'[1]รวมครุภัณฑ์ 70 (data)'!L175</f>
        <v>22500</v>
      </c>
      <c r="L349" s="245" t="str">
        <f t="shared" si="2"/>
        <v>เพิ่มประสิทธิภาพ</v>
      </c>
    </row>
    <row r="350" spans="1:12">
      <c r="A350" s="241" t="s">
        <v>1660</v>
      </c>
      <c r="B350" s="244">
        <f>'[1]รวมครุภัณฑ์ 70 (data)'!B176</f>
        <v>2570</v>
      </c>
      <c r="C350" s="241" t="s">
        <v>447</v>
      </c>
      <c r="D350" s="244" t="str">
        <f>'[1]รวมครุภัณฑ์ 70 (data)'!C176</f>
        <v>ครุภัณฑ์สำนักงาน</v>
      </c>
      <c r="E350" s="244" t="str">
        <f>'[1]รวมครุภัณฑ์ 70 (data)'!G176</f>
        <v>เครื่องปรับอากาศ แบบแยกส่วน (ราคารวมค่าติดตั้ง) แบบตั้งพื้นหรือแบบแขวน (ระบบ Inverter) ขนาด 18000 บีทียู</v>
      </c>
      <c r="F350" s="244" t="str">
        <f>'[1]รวมครุภัณฑ์ 70 (data)'!H176</f>
        <v>พมจ.ประจวบคีรีขันธ์</v>
      </c>
      <c r="G350" s="244" t="str">
        <f>'[1]รวมครุภัณฑ์ 70 (data)'!J176</f>
        <v>ประจวบคีรีขันธ์</v>
      </c>
      <c r="H350" s="244">
        <f>IF('รวมครุภัณฑ์ 70'!Q175="","",'รวมครุภัณฑ์ 70'!Q175)</f>
        <v>1</v>
      </c>
      <c r="I350" s="244" t="str">
        <f>IF('รวมครุภัณฑ์ 70'!R175="","",'รวมครุภัณฑ์ 70'!R175)</f>
        <v/>
      </c>
      <c r="J350" s="244"/>
      <c r="K350" s="245">
        <f>'[1]รวมครุภัณฑ์ 70 (data)'!L176</f>
        <v>33500</v>
      </c>
      <c r="L350" s="245" t="str">
        <f t="shared" si="2"/>
        <v>ทดแทนครุภัณฑ์เดิม</v>
      </c>
    </row>
    <row r="351" spans="1:12">
      <c r="A351" s="241" t="s">
        <v>1661</v>
      </c>
      <c r="B351" s="244">
        <f>'[1]รวมครุภัณฑ์ 70 (data)'!B177</f>
        <v>2570</v>
      </c>
      <c r="C351" s="241" t="s">
        <v>447</v>
      </c>
      <c r="D351" s="244" t="str">
        <f>'[1]รวมครุภัณฑ์ 70 (data)'!C177</f>
        <v>ครุภัณฑ์สำนักงาน</v>
      </c>
      <c r="E351" s="244" t="str">
        <f>'[1]รวมครุภัณฑ์ 70 (data)'!G177</f>
        <v>เครื่องปรับอากาศ แบบแยกส่วน (ราคารวมค่าติดตั้ง) แบบติดผนัง (ระบบ Inverter) ขนาด 18000 บีทียู</v>
      </c>
      <c r="F351" s="244" t="str">
        <f>'[1]รวมครุภัณฑ์ 70 (data)'!H177</f>
        <v>พมจ.นนทบุรี</v>
      </c>
      <c r="G351" s="244" t="str">
        <f>'[1]รวมครุภัณฑ์ 70 (data)'!J177</f>
        <v>นนทบุรี</v>
      </c>
      <c r="H351" s="244">
        <f>IF('รวมครุภัณฑ์ 70'!Q176="","",'รวมครุภัณฑ์ 70'!Q176)</f>
        <v>7</v>
      </c>
      <c r="I351" s="244" t="str">
        <f>IF('รวมครุภัณฑ์ 70'!R176="","",'รวมครุภัณฑ์ 70'!R176)</f>
        <v/>
      </c>
      <c r="J351" s="244"/>
      <c r="K351" s="245">
        <f>'[1]รวมครุภัณฑ์ 70 (data)'!L177</f>
        <v>195300</v>
      </c>
      <c r="L351" s="245" t="str">
        <f t="shared" si="2"/>
        <v>ทดแทนครุภัณฑ์เดิม</v>
      </c>
    </row>
    <row r="352" spans="1:12">
      <c r="A352" s="241" t="s">
        <v>1662</v>
      </c>
      <c r="B352" s="244">
        <f>'[1]รวมครุภัณฑ์ 70 (data)'!B178</f>
        <v>2570</v>
      </c>
      <c r="C352" s="241" t="s">
        <v>447</v>
      </c>
      <c r="D352" s="244" t="str">
        <f>'[1]รวมครุภัณฑ์ 70 (data)'!C178</f>
        <v>ครุภัณฑ์สำนักงาน</v>
      </c>
      <c r="E352" s="244" t="str">
        <f>'[1]รวมครุภัณฑ์ 70 (data)'!G178</f>
        <v>เครื่องปรับอากาศ แบบแยกส่วน (ราคารวมค่าติดตั้ง) แบบตั้งพื้นหรือแบบแขวน ขนาด 18000 บีทียู</v>
      </c>
      <c r="F352" s="244" t="str">
        <f>'[1]รวมครุภัณฑ์ 70 (data)'!H178</f>
        <v>พมจ.ตราด</v>
      </c>
      <c r="G352" s="244" t="str">
        <f>'[1]รวมครุภัณฑ์ 70 (data)'!J178</f>
        <v>ตราด</v>
      </c>
      <c r="H352" s="244" t="str">
        <f>IF('รวมครุภัณฑ์ 70'!Q177="","",'รวมครุภัณฑ์ 70'!Q177)</f>
        <v/>
      </c>
      <c r="I352" s="244">
        <f>IF('รวมครุภัณฑ์ 70'!R177="","",'รวมครุภัณฑ์ 70'!R177)</f>
        <v>1</v>
      </c>
      <c r="J352" s="244"/>
      <c r="K352" s="245">
        <f>'[1]รวมครุภัณฑ์ 70 (data)'!L178</f>
        <v>28600</v>
      </c>
      <c r="L352" s="245" t="str">
        <f t="shared" si="2"/>
        <v>เพิ่มประสิทธิภาพ</v>
      </c>
    </row>
    <row r="353" spans="1:12">
      <c r="A353" s="241" t="s">
        <v>1663</v>
      </c>
      <c r="B353" s="244">
        <f>'[1]รวมครุภัณฑ์ 70 (data)'!B179</f>
        <v>2570</v>
      </c>
      <c r="C353" s="241" t="s">
        <v>447</v>
      </c>
      <c r="D353" s="244" t="str">
        <f>'[1]รวมครุภัณฑ์ 70 (data)'!C179</f>
        <v>ครุภัณฑ์สำนักงาน</v>
      </c>
      <c r="E353" s="244" t="str">
        <f>'[1]รวมครุภัณฑ์ 70 (data)'!G179</f>
        <v>เครื่องปรับอากาศ แบบแยกส่วน (ราคารวมค่าติดตั้ง) แบบตั้งพื้นหรือแบบแขวน ขนาด 20000 บีทียู</v>
      </c>
      <c r="F353" s="244" t="str">
        <f>'[1]รวมครุภัณฑ์ 70 (data)'!H179</f>
        <v>พมจ.นครศรีธรรมราช</v>
      </c>
      <c r="G353" s="244" t="str">
        <f>'[1]รวมครุภัณฑ์ 70 (data)'!J179</f>
        <v>นครศรีธรรมราช</v>
      </c>
      <c r="H353" s="244" t="str">
        <f>IF('รวมครุภัณฑ์ 70'!Q178="","",'รวมครุภัณฑ์ 70'!Q178)</f>
        <v/>
      </c>
      <c r="I353" s="244">
        <f>IF('รวมครุภัณฑ์ 70'!R178="","",'รวมครุภัณฑ์ 70'!R178)</f>
        <v>2</v>
      </c>
      <c r="J353" s="244"/>
      <c r="K353" s="245">
        <f>'[1]รวมครุภัณฑ์ 70 (data)'!L179</f>
        <v>61800</v>
      </c>
      <c r="L353" s="245" t="str">
        <f t="shared" si="2"/>
        <v>เพิ่มประสิทธิภาพ</v>
      </c>
    </row>
    <row r="354" spans="1:12">
      <c r="A354" s="241" t="s">
        <v>1664</v>
      </c>
      <c r="B354" s="244">
        <f>'[1]รวมครุภัณฑ์ 70 (data)'!B180</f>
        <v>2570</v>
      </c>
      <c r="C354" s="241" t="s">
        <v>447</v>
      </c>
      <c r="D354" s="244" t="str">
        <f>'[1]รวมครุภัณฑ์ 70 (data)'!C180</f>
        <v>ครุภัณฑ์สำนักงาน</v>
      </c>
      <c r="E354" s="244" t="str">
        <f>'[1]รวมครุภัณฑ์ 70 (data)'!G180</f>
        <v>เครื่องปรับอากาศ แบบแยกส่วน (ราคารวมค่าติดตั้ง) แบบตั้งพื้นหรือแบบแขวน ขนาด 20000 บีทียู</v>
      </c>
      <c r="F354" s="244" t="str">
        <f>'[1]รวมครุภัณฑ์ 70 (data)'!H180</f>
        <v>พมจ.อ่างทอง</v>
      </c>
      <c r="G354" s="244" t="str">
        <f>'[1]รวมครุภัณฑ์ 70 (data)'!J180</f>
        <v>อ่างทอง</v>
      </c>
      <c r="H354" s="244">
        <f>IF('รวมครุภัณฑ์ 70'!Q179="","",'รวมครุภัณฑ์ 70'!Q179)</f>
        <v>1</v>
      </c>
      <c r="I354" s="244" t="str">
        <f>IF('รวมครุภัณฑ์ 70'!R179="","",'รวมครุภัณฑ์ 70'!R179)</f>
        <v/>
      </c>
      <c r="J354" s="244"/>
      <c r="K354" s="245">
        <f>'[1]รวมครุภัณฑ์ 70 (data)'!L180</f>
        <v>30900</v>
      </c>
      <c r="L354" s="245" t="str">
        <f t="shared" si="2"/>
        <v>ทดแทนครุภัณฑ์เดิม</v>
      </c>
    </row>
    <row r="355" spans="1:12">
      <c r="A355" s="241" t="s">
        <v>1665</v>
      </c>
      <c r="B355" s="244">
        <f>'[1]รวมครุภัณฑ์ 70 (data)'!B181</f>
        <v>2570</v>
      </c>
      <c r="C355" s="241" t="s">
        <v>447</v>
      </c>
      <c r="D355" s="244" t="str">
        <f>'[1]รวมครุภัณฑ์ 70 (data)'!C181</f>
        <v>ครุภัณฑ์สำนักงาน</v>
      </c>
      <c r="E355" s="244" t="str">
        <f>'[1]รวมครุภัณฑ์ 70 (data)'!G181</f>
        <v>เครื่องปรับอากาศ แบบแยกส่วน (ราคารวมค่าติดตั้ง) แบบติดผนัง (ระบบ Inverter) ขนาด 24000 บีทียู</v>
      </c>
      <c r="F355" s="244" t="str">
        <f>'[1]รวมครุภัณฑ์ 70 (data)'!H181</f>
        <v>พมจ.ชลบุรี</v>
      </c>
      <c r="G355" s="244" t="str">
        <f>'[1]รวมครุภัณฑ์ 70 (data)'!J181</f>
        <v>ชลบุรี</v>
      </c>
      <c r="H355" s="244">
        <f>IF('รวมครุภัณฑ์ 70'!Q180="","",'รวมครุภัณฑ์ 70'!Q180)</f>
        <v>3</v>
      </c>
      <c r="I355" s="244">
        <f>IF('รวมครุภัณฑ์ 70'!R180="","",'รวมครุภัณฑ์ 70'!R180)</f>
        <v>3</v>
      </c>
      <c r="J355" s="244"/>
      <c r="K355" s="245">
        <f>'[1]รวมครุภัณฑ์ 70 (data)'!L181</f>
        <v>227400</v>
      </c>
      <c r="L355" s="245" t="str">
        <f t="shared" si="2"/>
        <v>ทดแทนครุภัณฑ์เดิม, เพิ่มประสิทธิภาพ</v>
      </c>
    </row>
    <row r="356" spans="1:12">
      <c r="A356" s="241" t="s">
        <v>1666</v>
      </c>
      <c r="B356" s="244">
        <f>'[1]รวมครุภัณฑ์ 70 (data)'!B182</f>
        <v>2570</v>
      </c>
      <c r="C356" s="241" t="s">
        <v>447</v>
      </c>
      <c r="D356" s="244" t="str">
        <f>'[1]รวมครุภัณฑ์ 70 (data)'!C182</f>
        <v>ครุภัณฑ์สำนักงาน</v>
      </c>
      <c r="E356" s="244" t="str">
        <f>'[1]รวมครุภัณฑ์ 70 (data)'!G182</f>
        <v>เครื่องปรับอากาศ แบบแยกส่วน (ราคารวมค่าติดตั้ง) แบบติดพนัง  (ระบบ Inverter) ขนาด 24000 บีทียู</v>
      </c>
      <c r="F356" s="244" t="str">
        <f>'[1]รวมครุภัณฑ์ 70 (data)'!H182</f>
        <v>พมจ.สมุทรปราการ</v>
      </c>
      <c r="G356" s="244" t="str">
        <f>'[1]รวมครุภัณฑ์ 70 (data)'!J182</f>
        <v>สมุทรปราการ</v>
      </c>
      <c r="H356" s="244">
        <f>IF('รวมครุภัณฑ์ 70'!Q181="","",'รวมครุภัณฑ์ 70'!Q181)</f>
        <v>1</v>
      </c>
      <c r="I356" s="244" t="str">
        <f>IF('รวมครุภัณฑ์ 70'!R181="","",'รวมครุภัณฑ์ 70'!R181)</f>
        <v/>
      </c>
      <c r="J356" s="244"/>
      <c r="K356" s="245">
        <f>'[1]รวมครุภัณฑ์ 70 (data)'!L182</f>
        <v>37900</v>
      </c>
      <c r="L356" s="245" t="str">
        <f t="shared" si="2"/>
        <v>ทดแทนครุภัณฑ์เดิม</v>
      </c>
    </row>
    <row r="357" spans="1:12">
      <c r="A357" s="241" t="s">
        <v>1667</v>
      </c>
      <c r="B357" s="244">
        <f>'[1]รวมครุภัณฑ์ 70 (data)'!B183</f>
        <v>2570</v>
      </c>
      <c r="C357" s="241" t="s">
        <v>447</v>
      </c>
      <c r="D357" s="244" t="str">
        <f>'[1]รวมครุภัณฑ์ 70 (data)'!C183</f>
        <v>ครุภัณฑ์สำนักงาน</v>
      </c>
      <c r="E357" s="244" t="str">
        <f>'[1]รวมครุภัณฑ์ 70 (data)'!G183</f>
        <v>เครื่องปรับอากาศ แบบแยกส่วน (ราคารวมค่าติดตั้ง) แบบตั้งพื้นหรือแบบแขวน (ระบบ Inverter) ขนาด 24000 บีทียู</v>
      </c>
      <c r="F357" s="244" t="str">
        <f>'[1]รวมครุภัณฑ์ 70 (data)'!H183</f>
        <v>พมจ.อุบลราชธานี</v>
      </c>
      <c r="G357" s="244" t="str">
        <f>'[1]รวมครุภัณฑ์ 70 (data)'!J183</f>
        <v>อุบลราชธานี</v>
      </c>
      <c r="H357" s="244">
        <f>IF('รวมครุภัณฑ์ 70'!Q182="","",'รวมครุภัณฑ์ 70'!Q182)</f>
        <v>5</v>
      </c>
      <c r="I357" s="244" t="str">
        <f>IF('รวมครุภัณฑ์ 70'!R182="","",'รวมครุภัณฑ์ 70'!R182)</f>
        <v/>
      </c>
      <c r="J357" s="244"/>
      <c r="K357" s="245">
        <f>'[1]รวมครุภัณฑ์ 70 (data)'!L183</f>
        <v>204500</v>
      </c>
      <c r="L357" s="245" t="str">
        <f t="shared" si="2"/>
        <v>ทดแทนครุภัณฑ์เดิม</v>
      </c>
    </row>
    <row r="358" spans="1:12">
      <c r="A358" s="241" t="s">
        <v>1668</v>
      </c>
      <c r="B358" s="244">
        <f>'[1]รวมครุภัณฑ์ 70 (data)'!B184</f>
        <v>2570</v>
      </c>
      <c r="C358" s="241" t="s">
        <v>447</v>
      </c>
      <c r="D358" s="244" t="str">
        <f>'[1]รวมครุภัณฑ์ 70 (data)'!C184</f>
        <v>ครุภัณฑ์สำนักงาน</v>
      </c>
      <c r="E358" s="244" t="str">
        <f>'[1]รวมครุภัณฑ์ 70 (data)'!G184</f>
        <v>เครื่องปรับอากาศ แบบแยกส่วน (ราคารวมค่าติดตั้ง) แบบตั้งพื้นหรือแบบแขวน (ระบบ Inverter) ขนาด 24000 บีทียู</v>
      </c>
      <c r="F358" s="244" t="str">
        <f>'[1]รวมครุภัณฑ์ 70 (data)'!H184</f>
        <v>พมจ.เชียงราย</v>
      </c>
      <c r="G358" s="244" t="str">
        <f>'[1]รวมครุภัณฑ์ 70 (data)'!J184</f>
        <v>เชียงราย</v>
      </c>
      <c r="H358" s="244" t="str">
        <f>IF('รวมครุภัณฑ์ 70'!Q183="","",'รวมครุภัณฑ์ 70'!Q183)</f>
        <v/>
      </c>
      <c r="I358" s="244">
        <f>IF('รวมครุภัณฑ์ 70'!R183="","",'รวมครุภัณฑ์ 70'!R183)</f>
        <v>2</v>
      </c>
      <c r="J358" s="244"/>
      <c r="K358" s="245">
        <f>'[1]รวมครุภัณฑ์ 70 (data)'!L184</f>
        <v>81800</v>
      </c>
      <c r="L358" s="245" t="str">
        <f t="shared" si="2"/>
        <v>เพิ่มประสิทธิภาพ</v>
      </c>
    </row>
    <row r="359" spans="1:12">
      <c r="A359" s="241" t="s">
        <v>1669</v>
      </c>
      <c r="B359" s="244">
        <f>'[1]รวมครุภัณฑ์ 70 (data)'!B185</f>
        <v>2570</v>
      </c>
      <c r="C359" s="241" t="s">
        <v>447</v>
      </c>
      <c r="D359" s="244" t="str">
        <f>'[1]รวมครุภัณฑ์ 70 (data)'!C185</f>
        <v>ครุภัณฑ์สำนักงาน</v>
      </c>
      <c r="E359" s="244" t="str">
        <f>'[1]รวมครุภัณฑ์ 70 (data)'!G185</f>
        <v>เครื่องปรับอากาศ แบบแยกส่วน (ราคารวมค่าติดตั้ง) แบบตั้งพื้นหรือแบบแขวน (ระบบ Inverter) ขนาด 24000 บีทียู</v>
      </c>
      <c r="F359" s="244" t="str">
        <f>'[1]รวมครุภัณฑ์ 70 (data)'!H185</f>
        <v>พมจ.ยโสธร</v>
      </c>
      <c r="G359" s="244" t="str">
        <f>'[1]รวมครุภัณฑ์ 70 (data)'!J185</f>
        <v>ยโสธร</v>
      </c>
      <c r="H359" s="244" t="str">
        <f>IF('รวมครุภัณฑ์ 70'!Q184="","",'รวมครุภัณฑ์ 70'!Q184)</f>
        <v/>
      </c>
      <c r="I359" s="244">
        <f>IF('รวมครุภัณฑ์ 70'!R184="","",'รวมครุภัณฑ์ 70'!R184)</f>
        <v>4</v>
      </c>
      <c r="J359" s="244"/>
      <c r="K359" s="245">
        <f>'[1]รวมครุภัณฑ์ 70 (data)'!L185</f>
        <v>163600</v>
      </c>
      <c r="L359" s="245" t="str">
        <f t="shared" si="2"/>
        <v>เพิ่มประสิทธิภาพ</v>
      </c>
    </row>
    <row r="360" spans="1:12">
      <c r="A360" s="241" t="s">
        <v>1670</v>
      </c>
      <c r="B360" s="244">
        <f>'[1]รวมครุภัณฑ์ 70 (data)'!B186</f>
        <v>2570</v>
      </c>
      <c r="C360" s="241" t="s">
        <v>447</v>
      </c>
      <c r="D360" s="244" t="str">
        <f>'[1]รวมครุภัณฑ์ 70 (data)'!C186</f>
        <v>ครุภัณฑ์สำนักงาน</v>
      </c>
      <c r="E360" s="244" t="str">
        <f>'[1]รวมครุภัณฑ์ 70 (data)'!G186</f>
        <v>เครื่องปรับอากาศ แบบแยกส่วน (ราคารวมค่าติดตั้ง) แบบตั้งพื้นหรือแบบแขวน ขนาด 26000 บีทียู</v>
      </c>
      <c r="F360" s="244" t="str">
        <f>'[1]รวมครุภัณฑ์ 70 (data)'!H186</f>
        <v>พมจ.ปทุมธานี</v>
      </c>
      <c r="G360" s="244" t="str">
        <f>'[1]รวมครุภัณฑ์ 70 (data)'!J186</f>
        <v>ปทุมธานี</v>
      </c>
      <c r="H360" s="244">
        <f>IF('รวมครุภัณฑ์ 70'!Q185="","",'รวมครุภัณฑ์ 70'!Q185)</f>
        <v>8</v>
      </c>
      <c r="I360" s="244" t="str">
        <f>IF('รวมครุภัณฑ์ 70'!R185="","",'รวมครุภัณฑ์ 70'!R185)</f>
        <v/>
      </c>
      <c r="J360" s="244"/>
      <c r="K360" s="245">
        <f>'[1]รวมครุภัณฑ์ 70 (data)'!L186</f>
        <v>290400</v>
      </c>
      <c r="L360" s="245" t="str">
        <f t="shared" si="2"/>
        <v>ทดแทนครุภัณฑ์เดิม</v>
      </c>
    </row>
    <row r="361" spans="1:12">
      <c r="A361" s="241" t="s">
        <v>1671</v>
      </c>
      <c r="B361" s="244">
        <f>'[1]รวมครุภัณฑ์ 70 (data)'!B187</f>
        <v>2570</v>
      </c>
      <c r="C361" s="241" t="s">
        <v>447</v>
      </c>
      <c r="D361" s="244" t="str">
        <f>'[1]รวมครุภัณฑ์ 70 (data)'!C187</f>
        <v>ครุภัณฑ์สำนักงาน</v>
      </c>
      <c r="E361" s="244" t="str">
        <f>'[1]รวมครุภัณฑ์ 70 (data)'!G187</f>
        <v>เครื่องปรับอากาศ แบบแยกส่วน (ราคารวมค่าติดตั้ง) แบบตั้งพื้นหรือแบบแขวน (ระบบ Inverter) ขนาด 30000 บีทียู</v>
      </c>
      <c r="F361" s="244" t="str">
        <f>'[1]รวมครุภัณฑ์ 70 (data)'!H187</f>
        <v>พมจ.กาฬสินธุ์</v>
      </c>
      <c r="G361" s="244" t="str">
        <f>'[1]รวมครุภัณฑ์ 70 (data)'!J187</f>
        <v>กาฬสินธุ์</v>
      </c>
      <c r="H361" s="244">
        <f>IF('รวมครุภัณฑ์ 70'!Q186="","",'รวมครุภัณฑ์ 70'!Q186)</f>
        <v>10</v>
      </c>
      <c r="I361" s="244" t="str">
        <f>IF('รวมครุภัณฑ์ 70'!R186="","",'รวมครุภัณฑ์ 70'!R186)</f>
        <v/>
      </c>
      <c r="J361" s="244"/>
      <c r="K361" s="245">
        <f>'[1]รวมครุภัณฑ์ 70 (data)'!L187</f>
        <v>435000</v>
      </c>
      <c r="L361" s="245" t="str">
        <f t="shared" si="2"/>
        <v>ทดแทนครุภัณฑ์เดิม</v>
      </c>
    </row>
    <row r="362" spans="1:12">
      <c r="A362" s="241" t="s">
        <v>1672</v>
      </c>
      <c r="B362" s="244">
        <f>'[1]รวมครุภัณฑ์ 70 (data)'!B188</f>
        <v>2570</v>
      </c>
      <c r="C362" s="241" t="s">
        <v>447</v>
      </c>
      <c r="D362" s="244" t="str">
        <f>'[1]รวมครุภัณฑ์ 70 (data)'!C188</f>
        <v>ครุภัณฑ์สำนักงาน</v>
      </c>
      <c r="E362" s="244" t="str">
        <f>'[1]รวมครุภัณฑ์ 70 (data)'!G188</f>
        <v>เครื่องปรับอากาศ แบบแยกส่วน (ราคารวมค่าติดตั้ง) แบบตั้งพื้นหรือแบบแขวน (ระบบ Inverter) ขนาด 36000 บีทียู</v>
      </c>
      <c r="F362" s="244" t="str">
        <f>'[1]รวมครุภัณฑ์ 70 (data)'!H188</f>
        <v>พมจ.สุพรรณบุรี</v>
      </c>
      <c r="G362" s="244" t="str">
        <f>'[1]รวมครุภัณฑ์ 70 (data)'!J188</f>
        <v>สุพรรณบุรี</v>
      </c>
      <c r="H362" s="244" t="str">
        <f>IF('รวมครุภัณฑ์ 70'!Q187="","",'รวมครุภัณฑ์ 70'!Q187)</f>
        <v/>
      </c>
      <c r="I362" s="244">
        <f>IF('รวมครุภัณฑ์ 70'!R187="","",'รวมครุภัณฑ์ 70'!R187)</f>
        <v>8</v>
      </c>
      <c r="J362" s="244"/>
      <c r="K362" s="245">
        <f>'[1]รวมครุภัณฑ์ 70 (data)'!L188</f>
        <v>428800</v>
      </c>
      <c r="L362" s="245" t="str">
        <f t="shared" si="2"/>
        <v>เพิ่มประสิทธิภาพ</v>
      </c>
    </row>
    <row r="363" spans="1:12">
      <c r="A363" s="241" t="s">
        <v>1673</v>
      </c>
      <c r="B363" s="244">
        <f>'[1]รวมครุภัณฑ์ 70 (data)'!B189</f>
        <v>2570</v>
      </c>
      <c r="C363" s="241" t="s">
        <v>447</v>
      </c>
      <c r="D363" s="244" t="str">
        <f>'[1]รวมครุภัณฑ์ 70 (data)'!C189</f>
        <v>ครุภัณฑ์สำนักงาน</v>
      </c>
      <c r="E363" s="244" t="str">
        <f>'[1]รวมครุภัณฑ์ 70 (data)'!G189</f>
        <v>เครื่องปรับอากาศ แบบแยกส่วน (ราคารวมค่าติดตั้ง) แบบตั้งพื้นหรือแบบแขวน (ระบบ Inverter) ขนาด 36000 บีทียู</v>
      </c>
      <c r="F363" s="244" t="str">
        <f>'[1]รวมครุภัณฑ์ 70 (data)'!H189</f>
        <v>พมจ.สตูล</v>
      </c>
      <c r="G363" s="244" t="str">
        <f>'[1]รวมครุภัณฑ์ 70 (data)'!J189</f>
        <v>สตูล</v>
      </c>
      <c r="H363" s="244">
        <f>IF('รวมครุภัณฑ์ 70'!Q188="","",'รวมครุภัณฑ์ 70'!Q188)</f>
        <v>1</v>
      </c>
      <c r="I363" s="244" t="str">
        <f>IF('รวมครุภัณฑ์ 70'!R188="","",'รวมครุภัณฑ์ 70'!R188)</f>
        <v/>
      </c>
      <c r="J363" s="244"/>
      <c r="K363" s="245">
        <f>'[1]รวมครุภัณฑ์ 70 (data)'!L189</f>
        <v>53600</v>
      </c>
      <c r="L363" s="245" t="str">
        <f t="shared" si="2"/>
        <v>ทดแทนครุภัณฑ์เดิม</v>
      </c>
    </row>
    <row r="364" spans="1:12">
      <c r="A364" s="241" t="s">
        <v>1674</v>
      </c>
      <c r="B364" s="244">
        <f>'[1]รวมครุภัณฑ์ 70 (data)'!B190</f>
        <v>2570</v>
      </c>
      <c r="C364" s="241" t="s">
        <v>447</v>
      </c>
      <c r="D364" s="244" t="str">
        <f>'[1]รวมครุภัณฑ์ 70 (data)'!C190</f>
        <v>ครุภัณฑ์สำนักงาน</v>
      </c>
      <c r="E364" s="244" t="str">
        <f>'[1]รวมครุภัณฑ์ 70 (data)'!G190</f>
        <v>เครื่องปรับอากาศ แบบแยกส่วน (ราคารวมค่าติดตั้ง) แบบตั้งพื้นหรือแบบแขวน (ระบบ Inverter) ขนาด 40000 บีทียู</v>
      </c>
      <c r="F364" s="244" t="str">
        <f>'[1]รวมครุภัณฑ์ 70 (data)'!H190</f>
        <v>พมจ.นครราชสีมา</v>
      </c>
      <c r="G364" s="244" t="str">
        <f>'[1]รวมครุภัณฑ์ 70 (data)'!J190</f>
        <v>นครราชสีมา</v>
      </c>
      <c r="H364" s="244" t="str">
        <f>IF('รวมครุภัณฑ์ 70'!Q189="","",'รวมครุภัณฑ์ 70'!Q189)</f>
        <v/>
      </c>
      <c r="I364" s="244">
        <f>IF('รวมครุภัณฑ์ 70'!R189="","",'รวมครุภัณฑ์ 70'!R189)</f>
        <v>3</v>
      </c>
      <c r="J364" s="244"/>
      <c r="K364" s="245">
        <f>'[1]รวมครุภัณฑ์ 70 (data)'!L190</f>
        <v>165000</v>
      </c>
      <c r="L364" s="245" t="str">
        <f t="shared" si="2"/>
        <v>เพิ่มประสิทธิภาพ</v>
      </c>
    </row>
    <row r="365" spans="1:12">
      <c r="A365" s="241" t="s">
        <v>1675</v>
      </c>
      <c r="B365" s="244">
        <f>'[1]รวมครุภัณฑ์ 70 (data)'!B191</f>
        <v>2570</v>
      </c>
      <c r="C365" s="241" t="s">
        <v>447</v>
      </c>
      <c r="D365" s="244" t="str">
        <f>'[1]รวมครุภัณฑ์ 70 (data)'!C191</f>
        <v>ครุภัณฑ์สำนักงาน</v>
      </c>
      <c r="E365" s="244" t="str">
        <f>'[1]รวมครุภัณฑ์ 70 (data)'!G191</f>
        <v>เครื่องปรับอากาศ แบบแยกส่วน (ราคารวมค่าติดตั้ง) แบบตั้งพื้นหรือแบบแขวน (ระบบ Inverter) ขนาด 40000 บีทียู</v>
      </c>
      <c r="F365" s="244" t="str">
        <f>'[1]รวมครุภัณฑ์ 70 (data)'!H191</f>
        <v>พมจ.สระบุรี</v>
      </c>
      <c r="G365" s="244" t="str">
        <f>'[1]รวมครุภัณฑ์ 70 (data)'!J191</f>
        <v>สระบุรี</v>
      </c>
      <c r="H365" s="244" t="str">
        <f>IF('รวมครุภัณฑ์ 70'!Q190="","",'รวมครุภัณฑ์ 70'!Q190)</f>
        <v/>
      </c>
      <c r="I365" s="244">
        <f>IF('รวมครุภัณฑ์ 70'!R190="","",'รวมครุภัณฑ์ 70'!R190)</f>
        <v>3</v>
      </c>
      <c r="J365" s="244"/>
      <c r="K365" s="245">
        <f>'[1]รวมครุภัณฑ์ 70 (data)'!L191</f>
        <v>163200</v>
      </c>
      <c r="L365" s="245" t="str">
        <f t="shared" si="2"/>
        <v>เพิ่มประสิทธิภาพ</v>
      </c>
    </row>
    <row r="366" spans="1:12">
      <c r="A366" s="241" t="s">
        <v>1676</v>
      </c>
      <c r="B366" s="244">
        <f>'[1]รวมครุภัณฑ์ 70 (data)'!B192</f>
        <v>2570</v>
      </c>
      <c r="C366" s="241" t="s">
        <v>447</v>
      </c>
      <c r="D366" s="244" t="str">
        <f>'[1]รวมครุภัณฑ์ 70 (data)'!C192</f>
        <v>ครุภัณฑ์สำนักงาน</v>
      </c>
      <c r="E366" s="244" t="str">
        <f>'[1]รวมครุภัณฑ์ 70 (data)'!G192</f>
        <v>เครื่องฟอกอากาศ แบบฝังใต้เพดาน หรือแบบติดผนัง (ไม่รวมค่าติดตั้ง) ขนาดความเร็วของแรงลมระดับสูงไม่ต่ำกว่า 1000 ซีเอฟเอ็ม</v>
      </c>
      <c r="F366" s="244" t="str">
        <f>'[1]รวมครุภัณฑ์ 70 (data)'!H192</f>
        <v>พมจ.เชียงใหม่</v>
      </c>
      <c r="G366" s="244" t="str">
        <f>'[1]รวมครุภัณฑ์ 70 (data)'!J192</f>
        <v>เชียงใหม่</v>
      </c>
      <c r="H366" s="244" t="str">
        <f>IF('รวมครุภัณฑ์ 70'!Q191="","",'รวมครุภัณฑ์ 70'!Q191)</f>
        <v/>
      </c>
      <c r="I366" s="244">
        <f>IF('รวมครุภัณฑ์ 70'!R191="","",'รวมครุภัณฑ์ 70'!R191)</f>
        <v>4</v>
      </c>
      <c r="J366" s="244"/>
      <c r="K366" s="245">
        <f>'[1]รวมครุภัณฑ์ 70 (data)'!L192</f>
        <v>217600</v>
      </c>
      <c r="L366" s="245" t="str">
        <f t="shared" si="2"/>
        <v>เพิ่มประสิทธิภาพ</v>
      </c>
    </row>
    <row r="367" spans="1:12">
      <c r="A367" s="241" t="s">
        <v>1677</v>
      </c>
      <c r="B367" s="244">
        <f>'[1]รวมครุภัณฑ์ 70 (data)'!B193</f>
        <v>2570</v>
      </c>
      <c r="C367" s="241" t="s">
        <v>447</v>
      </c>
      <c r="D367" s="244" t="str">
        <f>'[1]รวมครุภัณฑ์ 70 (data)'!C193</f>
        <v>ครุภัณฑ์สำนักงาน</v>
      </c>
      <c r="E367" s="244" t="str">
        <f>'[1]รวมครุภัณฑ์ 70 (data)'!G193</f>
        <v>เครื่องสแกนลายนิ้วมือชนิดบันทึกเวลาเข้าออกงาน</v>
      </c>
      <c r="F367" s="244" t="str">
        <f>'[1]รวมครุภัณฑ์ 70 (data)'!H193</f>
        <v>พมจ.สุรินทร์</v>
      </c>
      <c r="G367" s="244" t="str">
        <f>'[1]รวมครุภัณฑ์ 70 (data)'!J193</f>
        <v>สุรินทร์</v>
      </c>
      <c r="H367" s="244">
        <f>IF('รวมครุภัณฑ์ 70'!Q192="","",'รวมครุภัณฑ์ 70'!Q192)</f>
        <v>1</v>
      </c>
      <c r="I367" s="244" t="str">
        <f>IF('รวมครุภัณฑ์ 70'!R192="","",'รวมครุภัณฑ์ 70'!R192)</f>
        <v/>
      </c>
      <c r="J367" s="244"/>
      <c r="K367" s="245">
        <f>'[1]รวมครุภัณฑ์ 70 (data)'!L193</f>
        <v>8000</v>
      </c>
      <c r="L367" s="245" t="str">
        <f t="shared" si="2"/>
        <v>ทดแทนครุภัณฑ์เดิม</v>
      </c>
    </row>
    <row r="368" spans="1:12">
      <c r="A368" s="241" t="s">
        <v>1678</v>
      </c>
      <c r="B368" s="244">
        <f>'[1]รวมครุภัณฑ์ 70 (data)'!B194</f>
        <v>2570</v>
      </c>
      <c r="C368" s="241" t="s">
        <v>447</v>
      </c>
      <c r="D368" s="244" t="str">
        <f>'[1]รวมครุภัณฑ์ 70 (data)'!C194</f>
        <v>ครุภัณฑ์สำนักงาน</v>
      </c>
      <c r="E368" s="244" t="str">
        <f>'[1]รวมครุภัณฑ์ 70 (data)'!G194</f>
        <v>โต๊ะหมู่บูชา</v>
      </c>
      <c r="F368" s="244" t="str">
        <f>'[1]รวมครุภัณฑ์ 70 (data)'!H194</f>
        <v xml:space="preserve">พมจ.สุรินทร์ </v>
      </c>
      <c r="G368" s="244" t="str">
        <f>'[1]รวมครุภัณฑ์ 70 (data)'!J194</f>
        <v xml:space="preserve">สุรินทร์ </v>
      </c>
      <c r="H368" s="244" t="str">
        <f>IF('รวมครุภัณฑ์ 70'!Q193="","",'รวมครุภัณฑ์ 70'!Q193)</f>
        <v/>
      </c>
      <c r="I368" s="244">
        <f>IF('รวมครุภัณฑ์ 70'!R193="","",'รวมครุภัณฑ์ 70'!R193)</f>
        <v>1</v>
      </c>
      <c r="J368" s="244"/>
      <c r="K368" s="245">
        <f>'[1]รวมครุภัณฑ์ 70 (data)'!L194</f>
        <v>9400</v>
      </c>
      <c r="L368" s="245" t="str">
        <f t="shared" si="2"/>
        <v>เพิ่มประสิทธิภาพ</v>
      </c>
    </row>
    <row r="369" spans="1:12">
      <c r="A369" s="241" t="s">
        <v>1679</v>
      </c>
      <c r="B369" s="244">
        <f>'[1]รวมครุภัณฑ์ 70 (data)'!B195</f>
        <v>2570</v>
      </c>
      <c r="C369" s="241" t="s">
        <v>447</v>
      </c>
      <c r="D369" s="244" t="str">
        <f>'[1]รวมครุภัณฑ์ 70 (data)'!C195</f>
        <v>ครุภัณฑ์สำนักงาน</v>
      </c>
      <c r="E369" s="244" t="str">
        <f>'[1]รวมครุภัณฑ์ 70 (data)'!G195</f>
        <v>โต๊ะหมู่บูชา</v>
      </c>
      <c r="F369" s="244" t="str">
        <f>'[1]รวมครุภัณฑ์ 70 (data)'!H195</f>
        <v>พมจ.เชียงราย</v>
      </c>
      <c r="G369" s="244" t="str">
        <f>'[1]รวมครุภัณฑ์ 70 (data)'!J195</f>
        <v>เชียงราย</v>
      </c>
      <c r="H369" s="244" t="str">
        <f>IF('รวมครุภัณฑ์ 70'!Q194="","",'รวมครุภัณฑ์ 70'!Q194)</f>
        <v/>
      </c>
      <c r="I369" s="244">
        <f>IF('รวมครุภัณฑ์ 70'!R194="","",'รวมครุภัณฑ์ 70'!R194)</f>
        <v>1</v>
      </c>
      <c r="J369" s="244"/>
      <c r="K369" s="245">
        <f>'[1]รวมครุภัณฑ์ 70 (data)'!L195</f>
        <v>9400</v>
      </c>
      <c r="L369" s="245" t="str">
        <f t="shared" si="2"/>
        <v>เพิ่มประสิทธิภาพ</v>
      </c>
    </row>
    <row r="370" spans="1:12">
      <c r="A370" s="241" t="s">
        <v>1680</v>
      </c>
      <c r="B370" s="244">
        <f>'[1]รวมครุภัณฑ์ 70 (data)'!B196</f>
        <v>2570</v>
      </c>
      <c r="C370" s="241" t="s">
        <v>447</v>
      </c>
      <c r="D370" s="244" t="str">
        <f>'[1]รวมครุภัณฑ์ 70 (data)'!C196</f>
        <v>ครุภัณฑ์สำนักงาน</v>
      </c>
      <c r="E370" s="244" t="str">
        <f>'[1]รวมครุภัณฑ์ 70 (data)'!G196</f>
        <v xml:space="preserve">ตู้สาขาโทรศัพท์ </v>
      </c>
      <c r="F370" s="244" t="str">
        <f>'[1]รวมครุภัณฑ์ 70 (data)'!H196</f>
        <v>พมจ.นครราชสีมา</v>
      </c>
      <c r="G370" s="244" t="str">
        <f>'[1]รวมครุภัณฑ์ 70 (data)'!J196</f>
        <v>นครราชสีมา</v>
      </c>
      <c r="H370" s="244">
        <f>IF('รวมครุภัณฑ์ 70'!Q195="","",'รวมครุภัณฑ์ 70'!Q195)</f>
        <v>1</v>
      </c>
      <c r="I370" s="244" t="str">
        <f>IF('รวมครุภัณฑ์ 70'!R195="","",'รวมครุภัณฑ์ 70'!R195)</f>
        <v/>
      </c>
      <c r="J370" s="244"/>
      <c r="K370" s="245">
        <f>'[1]รวมครุภัณฑ์ 70 (data)'!L196</f>
        <v>40000</v>
      </c>
      <c r="L370" s="245" t="str">
        <f t="shared" ref="L370:L433" si="3">_xlfn.TEXTJOIN(", ",TRUE,
IF(H370&lt;&gt;"","ทดแทนครุภัณฑ์เดิม",""),
IF(I370&lt;&gt;"","เพิ่มประสิทธิภาพ",""))</f>
        <v>ทดแทนครุภัณฑ์เดิม</v>
      </c>
    </row>
    <row r="371" spans="1:12">
      <c r="A371" s="241" t="s">
        <v>1681</v>
      </c>
      <c r="B371" s="244">
        <f>'[1]รวมครุภัณฑ์ 70 (data)'!B197</f>
        <v>2570</v>
      </c>
      <c r="C371" s="241" t="s">
        <v>447</v>
      </c>
      <c r="D371" s="244" t="str">
        <f>'[1]รวมครุภัณฑ์ 70 (data)'!C197</f>
        <v>ครุภัณฑ์สำนักงาน</v>
      </c>
      <c r="E371" s="244" t="str">
        <f>'[1]รวมครุภัณฑ์ 70 (data)'!G197</f>
        <v xml:space="preserve">ตู้สาขาโทรศัพท์ </v>
      </c>
      <c r="F371" s="244" t="str">
        <f>'[1]รวมครุภัณฑ์ 70 (data)'!H197</f>
        <v>พมจ.ยะลา</v>
      </c>
      <c r="G371" s="244" t="str">
        <f>'[1]รวมครุภัณฑ์ 70 (data)'!J197</f>
        <v>ยะลา</v>
      </c>
      <c r="H371" s="244" t="str">
        <f>IF('รวมครุภัณฑ์ 70'!Q196="","",'รวมครุภัณฑ์ 70'!Q196)</f>
        <v/>
      </c>
      <c r="I371" s="244">
        <f>IF('รวมครุภัณฑ์ 70'!R196="","",'รวมครุภัณฑ์ 70'!R196)</f>
        <v>1</v>
      </c>
      <c r="J371" s="244"/>
      <c r="K371" s="245">
        <f>'[1]รวมครุภัณฑ์ 70 (data)'!L197</f>
        <v>39150</v>
      </c>
      <c r="L371" s="245" t="str">
        <f t="shared" si="3"/>
        <v>เพิ่มประสิทธิภาพ</v>
      </c>
    </row>
    <row r="372" spans="1:12">
      <c r="A372" s="241" t="s">
        <v>1682</v>
      </c>
      <c r="B372" s="244">
        <f>'[1]รวมครุภัณฑ์ 70 (data)'!B198</f>
        <v>2570</v>
      </c>
      <c r="C372" s="241" t="s">
        <v>447</v>
      </c>
      <c r="D372" s="244" t="str">
        <f>'[1]รวมครุภัณฑ์ 70 (data)'!C198</f>
        <v>ครุภัณฑ์สำนักงาน</v>
      </c>
      <c r="E372" s="244" t="str">
        <f>'[1]รวมครุภัณฑ์ 70 (data)'!G198</f>
        <v>พัดลมติดผนัง</v>
      </c>
      <c r="F372" s="244" t="str">
        <f>'[1]รวมครุภัณฑ์ 70 (data)'!H198</f>
        <v>พมจ.กาฬสินธุ์</v>
      </c>
      <c r="G372" s="244" t="str">
        <f>'[1]รวมครุภัณฑ์ 70 (data)'!J198</f>
        <v>กาฬสินธุ์</v>
      </c>
      <c r="H372" s="244" t="str">
        <f>IF('รวมครุภัณฑ์ 70'!Q197="","",'รวมครุภัณฑ์ 70'!Q197)</f>
        <v/>
      </c>
      <c r="I372" s="244">
        <f>IF('รวมครุภัณฑ์ 70'!R197="","",'รวมครุภัณฑ์ 70'!R197)</f>
        <v>10</v>
      </c>
      <c r="J372" s="244"/>
      <c r="K372" s="245">
        <f>'[1]รวมครุภัณฑ์ 70 (data)'!L198</f>
        <v>18000</v>
      </c>
      <c r="L372" s="245" t="str">
        <f t="shared" si="3"/>
        <v>เพิ่มประสิทธิภาพ</v>
      </c>
    </row>
    <row r="373" spans="1:12">
      <c r="A373" s="241" t="s">
        <v>1683</v>
      </c>
      <c r="B373" s="244">
        <f>'[1]รวมครุภัณฑ์ 70 (data)'!B199</f>
        <v>2570</v>
      </c>
      <c r="C373" s="241" t="s">
        <v>447</v>
      </c>
      <c r="D373" s="244" t="str">
        <f>'[1]รวมครุภัณฑ์ 70 (data)'!C199</f>
        <v>ครุภัณฑ์สำนักงาน</v>
      </c>
      <c r="E373" s="244" t="str">
        <f>'[1]รวมครุภัณฑ์ 70 (data)'!G199</f>
        <v>พัดลมติดผนัง</v>
      </c>
      <c r="F373" s="244" t="str">
        <f>'[1]รวมครุภัณฑ์ 70 (data)'!H199</f>
        <v>พมจ.มหาสารคาม</v>
      </c>
      <c r="G373" s="244" t="str">
        <f>'[1]รวมครุภัณฑ์ 70 (data)'!J199</f>
        <v>มหาสารคาม</v>
      </c>
      <c r="H373" s="244" t="str">
        <f>IF('รวมครุภัณฑ์ 70'!Q198="","",'รวมครุภัณฑ์ 70'!Q198)</f>
        <v/>
      </c>
      <c r="I373" s="244">
        <f>IF('รวมครุภัณฑ์ 70'!R198="","",'รวมครุภัณฑ์ 70'!R198)</f>
        <v>10</v>
      </c>
      <c r="J373" s="244"/>
      <c r="K373" s="245">
        <f>'[1]รวมครุภัณฑ์ 70 (data)'!L199</f>
        <v>12980</v>
      </c>
      <c r="L373" s="245" t="str">
        <f t="shared" si="3"/>
        <v>เพิ่มประสิทธิภาพ</v>
      </c>
    </row>
    <row r="374" spans="1:12">
      <c r="A374" s="241" t="s">
        <v>1684</v>
      </c>
      <c r="B374" s="244">
        <f>'[1]รวมครุภัณฑ์ 70 (data)'!B200</f>
        <v>2570</v>
      </c>
      <c r="C374" s="241" t="s">
        <v>447</v>
      </c>
      <c r="D374" s="244" t="str">
        <f>'[1]รวมครุภัณฑ์ 70 (data)'!C200</f>
        <v>ครุภัณฑ์สำนักงาน</v>
      </c>
      <c r="E374" s="244" t="str">
        <f>'[1]รวมครุภัณฑ์ 70 (data)'!G200</f>
        <v xml:space="preserve">พัดลมสไลด์ ขนาด 16 นิ้ว </v>
      </c>
      <c r="F374" s="244" t="str">
        <f>'[1]รวมครุภัณฑ์ 70 (data)'!H200</f>
        <v>พมจ.นครสวรรค์</v>
      </c>
      <c r="G374" s="244" t="str">
        <f>'[1]รวมครุภัณฑ์ 70 (data)'!J200</f>
        <v>นครสวรรค์</v>
      </c>
      <c r="H374" s="244" t="str">
        <f>IF('รวมครุภัณฑ์ 70'!Q199="","",'รวมครุภัณฑ์ 70'!Q199)</f>
        <v/>
      </c>
      <c r="I374" s="244">
        <f>IF('รวมครุภัณฑ์ 70'!R199="","",'รวมครุภัณฑ์ 70'!R199)</f>
        <v>2</v>
      </c>
      <c r="J374" s="244"/>
      <c r="K374" s="245">
        <f>'[1]รวมครุภัณฑ์ 70 (data)'!L200</f>
        <v>3000</v>
      </c>
      <c r="L374" s="245" t="str">
        <f t="shared" si="3"/>
        <v>เพิ่มประสิทธิภาพ</v>
      </c>
    </row>
    <row r="375" spans="1:12">
      <c r="A375" s="241" t="s">
        <v>1685</v>
      </c>
      <c r="B375" s="244">
        <f>'[1]รวมครุภัณฑ์ 70 (data)'!B201</f>
        <v>2570</v>
      </c>
      <c r="C375" s="241" t="s">
        <v>447</v>
      </c>
      <c r="D375" s="244" t="str">
        <f>'[1]รวมครุภัณฑ์ 70 (data)'!C201</f>
        <v>ครุภัณฑ์สำนักงาน</v>
      </c>
      <c r="E375" s="244" t="str">
        <f>'[1]รวมครุภัณฑ์ 70 (data)'!G201</f>
        <v>เครื่องสแกนลายนิ้วมือชนิดบันทึกเวลาเข้าออกงาน</v>
      </c>
      <c r="F375" s="244" t="str">
        <f>'[1]รวมครุภัณฑ์ 70 (data)'!H201</f>
        <v>พมจ.ลพบุรี</v>
      </c>
      <c r="G375" s="244" t="str">
        <f>'[1]รวมครุภัณฑ์ 70 (data)'!J201</f>
        <v>ลพบุรี</v>
      </c>
      <c r="H375" s="244" t="str">
        <f>IF('รวมครุภัณฑ์ 70'!Q200="","",'รวมครุภัณฑ์ 70'!Q200)</f>
        <v/>
      </c>
      <c r="I375" s="244">
        <f>IF('รวมครุภัณฑ์ 70'!R200="","",'รวมครุภัณฑ์ 70'!R200)</f>
        <v>1</v>
      </c>
      <c r="J375" s="244"/>
      <c r="K375" s="245">
        <f>'[1]รวมครุภัณฑ์ 70 (data)'!L201</f>
        <v>8600</v>
      </c>
      <c r="L375" s="245" t="str">
        <f t="shared" si="3"/>
        <v>เพิ่มประสิทธิภาพ</v>
      </c>
    </row>
    <row r="376" spans="1:12">
      <c r="A376" s="241" t="s">
        <v>1686</v>
      </c>
      <c r="B376" s="244">
        <f>'[1]รวมครุภัณฑ์ 70 (data)'!B202</f>
        <v>2570</v>
      </c>
      <c r="C376" s="241" t="s">
        <v>447</v>
      </c>
      <c r="D376" s="244" t="str">
        <f>'[1]รวมครุภัณฑ์ 70 (data)'!C202</f>
        <v>ครุภัณฑ์สำนักงาน</v>
      </c>
      <c r="E376" s="244" t="str">
        <f>'[1]รวมครุภัณฑ์ 70 (data)'!G202</f>
        <v>เครื่องสแกนลายนิ้วมือชนิดบันทึกเวลาเข้าออกงาน</v>
      </c>
      <c r="F376" s="244" t="str">
        <f>'[1]รวมครุภัณฑ์ 70 (data)'!H202</f>
        <v xml:space="preserve">พมจ.สุรินทร์ </v>
      </c>
      <c r="G376" s="244" t="str">
        <f>'[1]รวมครุภัณฑ์ 70 (data)'!J202</f>
        <v xml:space="preserve">สุรินทร์ </v>
      </c>
      <c r="H376" s="244" t="str">
        <f>IF('รวมครุภัณฑ์ 70'!Q201="","",'รวมครุภัณฑ์ 70'!Q201)</f>
        <v/>
      </c>
      <c r="I376" s="244">
        <f>IF('รวมครุภัณฑ์ 70'!R201="","",'รวมครุภัณฑ์ 70'!R201)</f>
        <v>1</v>
      </c>
      <c r="J376" s="244"/>
      <c r="K376" s="245">
        <f>'[1]รวมครุภัณฑ์ 70 (data)'!L202</f>
        <v>8600</v>
      </c>
      <c r="L376" s="245" t="str">
        <f t="shared" si="3"/>
        <v>เพิ่มประสิทธิภาพ</v>
      </c>
    </row>
    <row r="377" spans="1:12">
      <c r="A377" s="241" t="s">
        <v>1687</v>
      </c>
      <c r="B377" s="244">
        <f>'[1]รวมครุภัณฑ์ 70 (data)'!B203</f>
        <v>2570</v>
      </c>
      <c r="C377" s="241" t="s">
        <v>447</v>
      </c>
      <c r="D377" s="244" t="str">
        <f>'[1]รวมครุภัณฑ์ 70 (data)'!C203</f>
        <v>ครุภัณฑ์สำนักงาน</v>
      </c>
      <c r="E377" s="244" t="str">
        <f>'[1]รวมครุภัณฑ์ 70 (data)'!G203</f>
        <v>เครื่องสแกนเนอร์ HP Scanjet Prt 2000s2 Sheet-feed</v>
      </c>
      <c r="F377" s="244" t="str">
        <f>'[1]รวมครุภัณฑ์ 70 (data)'!H203</f>
        <v>พมจ.ปทุมธานี</v>
      </c>
      <c r="G377" s="244" t="str">
        <f>'[1]รวมครุภัณฑ์ 70 (data)'!J203</f>
        <v>ปทุมธานี</v>
      </c>
      <c r="H377" s="244" t="str">
        <f>IF('รวมครุภัณฑ์ 70'!Q202="","",'รวมครุภัณฑ์ 70'!Q202)</f>
        <v/>
      </c>
      <c r="I377" s="244">
        <f>IF('รวมครุภัณฑ์ 70'!R202="","",'รวมครุภัณฑ์ 70'!R202)</f>
        <v>2</v>
      </c>
      <c r="J377" s="244"/>
      <c r="K377" s="245">
        <f>'[1]รวมครุภัณฑ์ 70 (data)'!L203</f>
        <v>54000</v>
      </c>
      <c r="L377" s="245" t="str">
        <f t="shared" si="3"/>
        <v>เพิ่มประสิทธิภาพ</v>
      </c>
    </row>
    <row r="378" spans="1:12">
      <c r="A378" s="241" t="s">
        <v>1688</v>
      </c>
      <c r="B378" s="244">
        <f>'[1]รวมครุภัณฑ์ 70 (data)'!B204</f>
        <v>2570</v>
      </c>
      <c r="C378" s="241" t="s">
        <v>447</v>
      </c>
      <c r="D378" s="244" t="str">
        <f>'[1]รวมครุภัณฑ์ 70 (data)'!C204</f>
        <v>ครุภัณฑ์สำนักงาน</v>
      </c>
      <c r="E378" s="244" t="str">
        <f>'[1]รวมครุภัณฑ์ 70 (data)'!G204</f>
        <v>เครื่องสแกนเนอร์ HP Scanjet Prt 2000s2 Sheet-feed</v>
      </c>
      <c r="F378" s="244" t="str">
        <f>'[1]รวมครุภัณฑ์ 70 (data)'!H204</f>
        <v>พมจ.ปทุมธานี</v>
      </c>
      <c r="G378" s="244" t="str">
        <f>'[1]รวมครุภัณฑ์ 70 (data)'!J204</f>
        <v>ปทุมธานี</v>
      </c>
      <c r="H378" s="244" t="str">
        <f>IF('รวมครุภัณฑ์ 70'!Q203="","",'รวมครุภัณฑ์ 70'!Q203)</f>
        <v/>
      </c>
      <c r="I378" s="244">
        <f>IF('รวมครุภัณฑ์ 70'!R203="","",'รวมครุภัณฑ์ 70'!R203)</f>
        <v>2</v>
      </c>
      <c r="J378" s="244"/>
      <c r="K378" s="245">
        <f>'[1]รวมครุภัณฑ์ 70 (data)'!L204</f>
        <v>54000</v>
      </c>
      <c r="L378" s="245" t="str">
        <f t="shared" si="3"/>
        <v>เพิ่มประสิทธิภาพ</v>
      </c>
    </row>
    <row r="379" spans="1:12">
      <c r="A379" s="241" t="s">
        <v>1689</v>
      </c>
      <c r="B379" s="244">
        <f>'[1]รวมครุภัณฑ์ 70 (data)'!B205</f>
        <v>2570</v>
      </c>
      <c r="C379" s="241" t="s">
        <v>447</v>
      </c>
      <c r="D379" s="244" t="str">
        <f>'[1]รวมครุภัณฑ์ 70 (data)'!C205</f>
        <v>ครุภัณฑ์สำนักงาน</v>
      </c>
      <c r="E379" s="244" t="str">
        <f>'[1]รวมครุภัณฑ์ 70 (data)'!G205</f>
        <v>เครื่องสแกนเนอร์ HP Scanjet Prt 2000s2 Sheet-feed</v>
      </c>
      <c r="F379" s="244" t="str">
        <f>'[1]รวมครุภัณฑ์ 70 (data)'!H205</f>
        <v>พมจ.สุราษฎร์ธานี</v>
      </c>
      <c r="G379" s="244" t="str">
        <f>'[1]รวมครุภัณฑ์ 70 (data)'!J205</f>
        <v>สุราษฎร์ธานี</v>
      </c>
      <c r="H379" s="244">
        <f>IF('รวมครุภัณฑ์ 70'!Q204="","",'รวมครุภัณฑ์ 70'!Q204)</f>
        <v>1</v>
      </c>
      <c r="I379" s="244" t="str">
        <f>IF('รวมครุภัณฑ์ 70'!R204="","",'รวมครุภัณฑ์ 70'!R204)</f>
        <v/>
      </c>
      <c r="J379" s="244"/>
      <c r="K379" s="245">
        <f>'[1]รวมครุภัณฑ์ 70 (data)'!L205</f>
        <v>9900</v>
      </c>
      <c r="L379" s="245" t="str">
        <f t="shared" si="3"/>
        <v>ทดแทนครุภัณฑ์เดิม</v>
      </c>
    </row>
    <row r="380" spans="1:12">
      <c r="A380" s="241" t="s">
        <v>1690</v>
      </c>
      <c r="B380" s="244">
        <f>'[1]รวมครุภัณฑ์ 70 (data)'!B206</f>
        <v>2570</v>
      </c>
      <c r="C380" s="241" t="s">
        <v>447</v>
      </c>
      <c r="D380" s="244" t="str">
        <f>'[1]รวมครุภัณฑ์ 70 (data)'!C206</f>
        <v>ครุภัณฑ์สำนักงาน</v>
      </c>
      <c r="E380" s="244" t="str">
        <f>'[1]รวมครุภัณฑ์ 70 (data)'!G206</f>
        <v>เครื่องสแกนเนอร์สำหรับเก็บเอกสารระดับศูนย์บริการ</v>
      </c>
      <c r="F380" s="244" t="str">
        <f>'[1]รวมครุภัณฑ์ 70 (data)'!H206</f>
        <v>พมจ.พะเยา</v>
      </c>
      <c r="G380" s="244" t="str">
        <f>'[1]รวมครุภัณฑ์ 70 (data)'!J206</f>
        <v>พะเยา</v>
      </c>
      <c r="H380" s="244">
        <f>IF('รวมครุภัณฑ์ 70'!Q205="","",'รวมครุภัณฑ์ 70'!Q205)</f>
        <v>1</v>
      </c>
      <c r="I380" s="244" t="str">
        <f>IF('รวมครุภัณฑ์ 70'!R205="","",'รวมครุภัณฑ์ 70'!R205)</f>
        <v/>
      </c>
      <c r="J380" s="244"/>
      <c r="K380" s="245">
        <f>'[1]รวมครุภัณฑ์ 70 (data)'!L206</f>
        <v>12840</v>
      </c>
      <c r="L380" s="245" t="str">
        <f t="shared" si="3"/>
        <v>ทดแทนครุภัณฑ์เดิม</v>
      </c>
    </row>
    <row r="381" spans="1:12">
      <c r="A381" s="241" t="s">
        <v>1691</v>
      </c>
      <c r="B381" s="244">
        <f>'[1]รวมครุภัณฑ์ 70 (data)'!B207</f>
        <v>2570</v>
      </c>
      <c r="C381" s="241" t="s">
        <v>447</v>
      </c>
      <c r="D381" s="244" t="str">
        <f>'[1]รวมครุภัณฑ์ 70 (data)'!C207</f>
        <v>ครุภัณฑ์สำนักงาน</v>
      </c>
      <c r="E381" s="244" t="str">
        <f>'[1]รวมครุภัณฑ์ 70 (data)'!G207</f>
        <v>เครื่องสแกนเนอร์สำหรับเก็บเอกสารระดับศูนย์บริการ</v>
      </c>
      <c r="F381" s="244" t="str">
        <f>'[1]รวมครุภัณฑ์ 70 (data)'!H207</f>
        <v>พมจ.พะเยา</v>
      </c>
      <c r="G381" s="244" t="str">
        <f>'[1]รวมครุภัณฑ์ 70 (data)'!J207</f>
        <v>พะเยา</v>
      </c>
      <c r="H381" s="244">
        <f>IF('รวมครุภัณฑ์ 70'!Q206="","",'รวมครุภัณฑ์ 70'!Q206)</f>
        <v>1</v>
      </c>
      <c r="I381" s="244" t="str">
        <f>IF('รวมครุภัณฑ์ 70'!R206="","",'รวมครุภัณฑ์ 70'!R206)</f>
        <v/>
      </c>
      <c r="J381" s="244"/>
      <c r="K381" s="245">
        <f>'[1]รวมครุภัณฑ์ 70 (data)'!L207</f>
        <v>3628</v>
      </c>
      <c r="L381" s="245" t="str">
        <f t="shared" si="3"/>
        <v>ทดแทนครุภัณฑ์เดิม</v>
      </c>
    </row>
    <row r="382" spans="1:12">
      <c r="A382" s="241" t="s">
        <v>1692</v>
      </c>
      <c r="B382" s="244">
        <f>'[1]รวมครุภัณฑ์ 70 (data)'!B208</f>
        <v>2570</v>
      </c>
      <c r="C382" s="241" t="s">
        <v>447</v>
      </c>
      <c r="D382" s="244" t="str">
        <f>'[1]รวมครุภัณฑ์ 70 (data)'!C208</f>
        <v>ครุภัณฑ์สำนักงาน</v>
      </c>
      <c r="E382" s="244" t="str">
        <f>'[1]รวมครุภัณฑ์ 70 (data)'!G208</f>
        <v xml:space="preserve">ถังดับเพลิง ชนิดผงเคมีแห้ง ขนาด 15 ปอนด์ </v>
      </c>
      <c r="F382" s="244" t="str">
        <f>'[1]รวมครุภัณฑ์ 70 (data)'!H208</f>
        <v>พมจ.สุราษฎร์ธานี</v>
      </c>
      <c r="G382" s="244" t="str">
        <f>'[1]รวมครุภัณฑ์ 70 (data)'!J208</f>
        <v>สุราษฎร์ธานี</v>
      </c>
      <c r="H382" s="244" t="str">
        <f>IF('รวมครุภัณฑ์ 70'!Q207="","",'รวมครุภัณฑ์ 70'!Q207)</f>
        <v/>
      </c>
      <c r="I382" s="244">
        <f>IF('รวมครุภัณฑ์ 70'!R207="","",'รวมครุภัณฑ์ 70'!R207)</f>
        <v>3</v>
      </c>
      <c r="J382" s="244"/>
      <c r="K382" s="245">
        <f>'[1]รวมครุภัณฑ์ 70 (data)'!L208</f>
        <v>3600</v>
      </c>
      <c r="L382" s="245" t="str">
        <f t="shared" si="3"/>
        <v>เพิ่มประสิทธิภาพ</v>
      </c>
    </row>
    <row r="383" spans="1:12">
      <c r="A383" s="241" t="s">
        <v>1693</v>
      </c>
      <c r="B383" s="244">
        <f>'[1]รวมครุภัณฑ์ 70 (data)'!B209</f>
        <v>2570</v>
      </c>
      <c r="C383" s="241" t="s">
        <v>447</v>
      </c>
      <c r="D383" s="244" t="str">
        <f>'[1]รวมครุภัณฑ์ 70 (data)'!C209</f>
        <v>ครุภัณฑ์สำนักงาน</v>
      </c>
      <c r="E383" s="244" t="str">
        <f>'[1]รวมครุภัณฑ์ 70 (data)'!G209</f>
        <v xml:space="preserve">ถังดับเพลิง ชนิดผงเคมีแห้ง ขนาด 15 ปอนด์ </v>
      </c>
      <c r="F383" s="244" t="str">
        <f>'[1]รวมครุภัณฑ์ 70 (data)'!H209</f>
        <v>พมจ.น่าน</v>
      </c>
      <c r="G383" s="244" t="str">
        <f>'[1]รวมครุภัณฑ์ 70 (data)'!J209</f>
        <v>น่าน</v>
      </c>
      <c r="H383" s="244" t="str">
        <f>IF('รวมครุภัณฑ์ 70'!Q208="","",'รวมครุภัณฑ์ 70'!Q208)</f>
        <v/>
      </c>
      <c r="I383" s="244">
        <f>IF('รวมครุภัณฑ์ 70'!R208="","",'รวมครุภัณฑ์ 70'!R208)</f>
        <v>4</v>
      </c>
      <c r="J383" s="244"/>
      <c r="K383" s="245">
        <f>'[1]รวมครุภัณฑ์ 70 (data)'!L209</f>
        <v>4400</v>
      </c>
      <c r="L383" s="245" t="str">
        <f t="shared" si="3"/>
        <v>เพิ่มประสิทธิภาพ</v>
      </c>
    </row>
    <row r="384" spans="1:12">
      <c r="A384" s="241" t="s">
        <v>1694</v>
      </c>
      <c r="B384" s="244">
        <f>'[1]รวมครุภัณฑ์ 70 (data)'!B210</f>
        <v>2570</v>
      </c>
      <c r="C384" s="241" t="s">
        <v>447</v>
      </c>
      <c r="D384" s="244" t="str">
        <f>'[1]รวมครุภัณฑ์ 70 (data)'!C210</f>
        <v>ครุภัณฑ์สำนักงาน</v>
      </c>
      <c r="E384" s="244" t="str">
        <f>'[1]รวมครุภัณฑ์ 70 (data)'!G210</f>
        <v>โทรศัพท์ไร้สาย</v>
      </c>
      <c r="F384" s="244" t="str">
        <f>'[1]รวมครุภัณฑ์ 70 (data)'!H210</f>
        <v>พมจ.นครปฐม</v>
      </c>
      <c r="G384" s="244" t="str">
        <f>'[1]รวมครุภัณฑ์ 70 (data)'!J210</f>
        <v>นครปฐม</v>
      </c>
      <c r="H384" s="244" t="str">
        <f>IF('รวมครุภัณฑ์ 70'!Q209="","",'รวมครุภัณฑ์ 70'!Q209)</f>
        <v/>
      </c>
      <c r="I384" s="244">
        <f>IF('รวมครุภัณฑ์ 70'!R209="","",'รวมครุภัณฑ์ 70'!R209)</f>
        <v>5</v>
      </c>
      <c r="J384" s="244"/>
      <c r="K384" s="245">
        <f>'[1]รวมครุภัณฑ์ 70 (data)'!L210</f>
        <v>5950</v>
      </c>
      <c r="L384" s="245" t="str">
        <f t="shared" si="3"/>
        <v>เพิ่มประสิทธิภาพ</v>
      </c>
    </row>
    <row r="385" spans="1:12">
      <c r="A385" s="241" t="s">
        <v>1695</v>
      </c>
      <c r="B385" s="244">
        <f>'[1]รวมครุภัณฑ์ 70 (data)'!B211</f>
        <v>2570</v>
      </c>
      <c r="C385" s="241" t="s">
        <v>447</v>
      </c>
      <c r="D385" s="244" t="str">
        <f>'[1]รวมครุภัณฑ์ 70 (data)'!C211</f>
        <v>ครุภัณฑ์สำนักงาน</v>
      </c>
      <c r="E385" s="244" t="str">
        <f>'[1]รวมครุภัณฑ์ 70 (data)'!G211</f>
        <v>โทรศัพท์ไร้สาย</v>
      </c>
      <c r="F385" s="244" t="str">
        <f>'[1]รวมครุภัณฑ์ 70 (data)'!H211</f>
        <v>พมจ.นครสวรรค์</v>
      </c>
      <c r="G385" s="244" t="str">
        <f>'[1]รวมครุภัณฑ์ 70 (data)'!J211</f>
        <v>นครสวรรค์</v>
      </c>
      <c r="H385" s="244" t="str">
        <f>IF('รวมครุภัณฑ์ 70'!Q210="","",'รวมครุภัณฑ์ 70'!Q210)</f>
        <v/>
      </c>
      <c r="I385" s="244">
        <f>IF('รวมครุภัณฑ์ 70'!R210="","",'รวมครุภัณฑ์ 70'!R210)</f>
        <v>4</v>
      </c>
      <c r="J385" s="244"/>
      <c r="K385" s="245">
        <f>'[1]รวมครุภัณฑ์ 70 (data)'!L211</f>
        <v>8800</v>
      </c>
      <c r="L385" s="245" t="str">
        <f t="shared" si="3"/>
        <v>เพิ่มประสิทธิภาพ</v>
      </c>
    </row>
    <row r="386" spans="1:12">
      <c r="A386" s="241" t="s">
        <v>1696</v>
      </c>
      <c r="B386" s="244">
        <f>'[1]รวมครุภัณฑ์ 70 (data)'!B212</f>
        <v>2570</v>
      </c>
      <c r="C386" s="241" t="s">
        <v>447</v>
      </c>
      <c r="D386" s="244" t="str">
        <f>'[1]รวมครุภัณฑ์ 70 (data)'!C212</f>
        <v>ครุภัณฑ์สำนักงาน</v>
      </c>
      <c r="E386" s="244" t="str">
        <f>'[1]รวมครุภัณฑ์ 70 (data)'!G212</f>
        <v>โทรศัพท์ไร้สาย</v>
      </c>
      <c r="F386" s="244" t="str">
        <f>'[1]รวมครุภัณฑ์ 70 (data)'!H212</f>
        <v>พมจ.สตูล</v>
      </c>
      <c r="G386" s="244" t="str">
        <f>'[1]รวมครุภัณฑ์ 70 (data)'!J212</f>
        <v>สตูล</v>
      </c>
      <c r="H386" s="244">
        <f>IF('รวมครุภัณฑ์ 70'!Q211="","",'รวมครุภัณฑ์ 70'!Q211)</f>
        <v>2</v>
      </c>
      <c r="I386" s="244" t="str">
        <f>IF('รวมครุภัณฑ์ 70'!R211="","",'รวมครุภัณฑ์ 70'!R211)</f>
        <v/>
      </c>
      <c r="J386" s="244"/>
      <c r="K386" s="245">
        <f>'[1]รวมครุภัณฑ์ 70 (data)'!L212</f>
        <v>5200</v>
      </c>
      <c r="L386" s="245" t="str">
        <f t="shared" si="3"/>
        <v>ทดแทนครุภัณฑ์เดิม</v>
      </c>
    </row>
    <row r="387" spans="1:12">
      <c r="A387" s="241" t="s">
        <v>1697</v>
      </c>
      <c r="B387" s="244">
        <f>'[1]รวมครุภัณฑ์ 70 (data)'!B213</f>
        <v>2570</v>
      </c>
      <c r="C387" s="241" t="s">
        <v>447</v>
      </c>
      <c r="D387" s="244" t="str">
        <f>'[1]รวมครุภัณฑ์ 70 (data)'!C213</f>
        <v>ครุภัณฑ์โฆษณาและเผยแพร่</v>
      </c>
      <c r="E387" s="244" t="str">
        <f>'[1]รวมครุภัณฑ์ 70 (data)'!G213</f>
        <v>กล้องถ่ายภาพรูปดิจิตอล ยี่ห้อ Canon eos RP เลนส์ Canon EF70-200 mm r/2.8 l IS lll usm</v>
      </c>
      <c r="F387" s="244" t="str">
        <f>'[1]รวมครุภัณฑ์ 70 (data)'!H213</f>
        <v>พมจ.ประจวบคีรีขันธ์</v>
      </c>
      <c r="G387" s="244" t="str">
        <f>'[1]รวมครุภัณฑ์ 70 (data)'!J213</f>
        <v>ประจวบคีรีขันธ์</v>
      </c>
      <c r="H387" s="244" t="str">
        <f>IF('รวมครุภัณฑ์ 70'!Q212="","",'รวมครุภัณฑ์ 70'!Q212)</f>
        <v/>
      </c>
      <c r="I387" s="244">
        <f>IF('รวมครุภัณฑ์ 70'!R212="","",'รวมครุภัณฑ์ 70'!R212)</f>
        <v>1</v>
      </c>
      <c r="J387" s="244"/>
      <c r="K387" s="245">
        <f>'[1]รวมครุภัณฑ์ 70 (data)'!L213</f>
        <v>93400</v>
      </c>
      <c r="L387" s="245" t="str">
        <f t="shared" si="3"/>
        <v>เพิ่มประสิทธิภาพ</v>
      </c>
    </row>
    <row r="388" spans="1:12">
      <c r="A388" s="241" t="s">
        <v>1698</v>
      </c>
      <c r="B388" s="244">
        <f>'[1]รวมครุภัณฑ์ 70 (data)'!B214</f>
        <v>2570</v>
      </c>
      <c r="C388" s="241" t="s">
        <v>447</v>
      </c>
      <c r="D388" s="244" t="str">
        <f>'[1]รวมครุภัณฑ์ 70 (data)'!C214</f>
        <v>ครุภัณฑ์โฆษณาและเผยแพร่</v>
      </c>
      <c r="E388" s="244" t="str">
        <f>'[1]รวมครุภัณฑ์ 70 (data)'!G214</f>
        <v>กล้องถ่ายภาพรูปดิจิตอล ยี่ห้อ Canon eos R8 MKll Body 2 เลนส์ Canon rf 24-70 mmf28 ls usm</v>
      </c>
      <c r="F388" s="244" t="str">
        <f>'[1]รวมครุภัณฑ์ 70 (data)'!H214</f>
        <v>พมจ.มุกดาหาร</v>
      </c>
      <c r="G388" s="244" t="str">
        <f>'[1]รวมครุภัณฑ์ 70 (data)'!J214</f>
        <v>มุกดาหาร</v>
      </c>
      <c r="H388" s="244">
        <f>IF('รวมครุภัณฑ์ 70'!Q213="","",'รวมครุภัณฑ์ 70'!Q213)</f>
        <v>1</v>
      </c>
      <c r="I388" s="244" t="str">
        <f>IF('รวมครุภัณฑ์ 70'!R213="","",'รวมครุภัณฑ์ 70'!R213)</f>
        <v/>
      </c>
      <c r="J388" s="244"/>
      <c r="K388" s="245">
        <f>'[1]รวมครุภัณฑ์ 70 (data)'!L214</f>
        <v>72890</v>
      </c>
      <c r="L388" s="245" t="str">
        <f t="shared" si="3"/>
        <v>ทดแทนครุภัณฑ์เดิม</v>
      </c>
    </row>
    <row r="389" spans="1:12">
      <c r="A389" s="241" t="s">
        <v>1699</v>
      </c>
      <c r="B389" s="244">
        <f>'[1]รวมครุภัณฑ์ 70 (data)'!B215</f>
        <v>2570</v>
      </c>
      <c r="C389" s="241" t="s">
        <v>447</v>
      </c>
      <c r="D389" s="244" t="str">
        <f>'[1]รวมครุภัณฑ์ 70 (data)'!C215</f>
        <v>ครุภัณฑ์โฆษณาและเผยแพร่</v>
      </c>
      <c r="E389" s="244" t="str">
        <f>'[1]รวมครุภัณฑ์ 70 (data)'!G215</f>
        <v>กล้องถ่ายภาพรูปดิจิตอล ยี่ห้อ Canon eos R6 MKll Body 2 เลนส์ Canon rf 24-105 f/4-7.1 IS STM</v>
      </c>
      <c r="F389" s="244" t="str">
        <f>'[1]รวมครุภัณฑ์ 70 (data)'!H215</f>
        <v>พมจ.สกลนคร</v>
      </c>
      <c r="G389" s="244" t="str">
        <f>'[1]รวมครุภัณฑ์ 70 (data)'!J215</f>
        <v>สกลนคร</v>
      </c>
      <c r="H389" s="244">
        <f>IF('รวมครุภัณฑ์ 70'!Q214="","",'รวมครุภัณฑ์ 70'!Q214)</f>
        <v>1</v>
      </c>
      <c r="I389" s="244" t="str">
        <f>IF('รวมครุภัณฑ์ 70'!R214="","",'รวมครุภัณฑ์ 70'!R214)</f>
        <v/>
      </c>
      <c r="J389" s="244"/>
      <c r="K389" s="245">
        <f>'[1]รวมครุภัณฑ์ 70 (data)'!L215</f>
        <v>92390</v>
      </c>
      <c r="L389" s="245" t="str">
        <f t="shared" si="3"/>
        <v>ทดแทนครุภัณฑ์เดิม</v>
      </c>
    </row>
    <row r="390" spans="1:12">
      <c r="A390" s="241" t="s">
        <v>1700</v>
      </c>
      <c r="B390" s="244">
        <f>'[1]รวมครุภัณฑ์ 70 (data)'!B216</f>
        <v>2570</v>
      </c>
      <c r="C390" s="241" t="s">
        <v>447</v>
      </c>
      <c r="D390" s="244" t="str">
        <f>'[1]รวมครุภัณฑ์ 70 (data)'!C216</f>
        <v>ครุภัณฑ์โฆษณาและเผยแพร่</v>
      </c>
      <c r="E390" s="244" t="str">
        <f>'[1]รวมครุภัณฑ์ 70 (data)'!G216</f>
        <v>กล้องถ่ายภาพรูปดิจิตอล ยี่ห้อ Canon eos R6 MKll Body 2 เลนส์ Canon rf 24-105 f/4-7.1 IS STM</v>
      </c>
      <c r="F390" s="244" t="str">
        <f>'[1]รวมครุภัณฑ์ 70 (data)'!H216</f>
        <v>พมจ.ชุมพร</v>
      </c>
      <c r="G390" s="244" t="str">
        <f>'[1]รวมครุภัณฑ์ 70 (data)'!J216</f>
        <v>ชุมพร</v>
      </c>
      <c r="H390" s="244">
        <f>IF('รวมครุภัณฑ์ 70'!Q215="","",'รวมครุภัณฑ์ 70'!Q215)</f>
        <v>1</v>
      </c>
      <c r="I390" s="244" t="str">
        <f>IF('รวมครุภัณฑ์ 70'!R215="","",'รวมครุภัณฑ์ 70'!R215)</f>
        <v/>
      </c>
      <c r="J390" s="244"/>
      <c r="K390" s="245">
        <f>'[1]รวมครุภัณฑ์ 70 (data)'!L216</f>
        <v>100000</v>
      </c>
      <c r="L390" s="245" t="str">
        <f t="shared" si="3"/>
        <v>ทดแทนครุภัณฑ์เดิม</v>
      </c>
    </row>
    <row r="391" spans="1:12">
      <c r="A391" s="241" t="s">
        <v>1701</v>
      </c>
      <c r="B391" s="244">
        <f>'[1]รวมครุภัณฑ์ 70 (data)'!B217</f>
        <v>2570</v>
      </c>
      <c r="C391" s="241" t="s">
        <v>447</v>
      </c>
      <c r="D391" s="244" t="str">
        <f>'[1]รวมครุภัณฑ์ 70 (data)'!C217</f>
        <v>ครุภัณฑ์โฆษณาและเผยแพร่</v>
      </c>
      <c r="E391" s="244" t="str">
        <f>'[1]รวมครุภัณฑ์ 70 (data)'!G217</f>
        <v>กล้องถ่ายภาพระบบดิจิตอล</v>
      </c>
      <c r="F391" s="244" t="str">
        <f>'[1]รวมครุภัณฑ์ 70 (data)'!H217</f>
        <v>พมจ.ยโสธร</v>
      </c>
      <c r="G391" s="244" t="str">
        <f>'[1]รวมครุภัณฑ์ 70 (data)'!J217</f>
        <v>ยโสธร</v>
      </c>
      <c r="H391" s="244">
        <f>IF('รวมครุภัณฑ์ 70'!Q216="","",'รวมครุภัณฑ์ 70'!Q216)</f>
        <v>1</v>
      </c>
      <c r="I391" s="244" t="str">
        <f>IF('รวมครุภัณฑ์ 70'!R216="","",'รวมครุภัณฑ์ 70'!R216)</f>
        <v/>
      </c>
      <c r="J391" s="244"/>
      <c r="K391" s="245">
        <f>'[1]รวมครุภัณฑ์ 70 (data)'!L217</f>
        <v>150000</v>
      </c>
      <c r="L391" s="245" t="str">
        <f t="shared" si="3"/>
        <v>ทดแทนครุภัณฑ์เดิม</v>
      </c>
    </row>
    <row r="392" spans="1:12">
      <c r="A392" s="241" t="s">
        <v>1702</v>
      </c>
      <c r="B392" s="244">
        <f>'[1]รวมครุภัณฑ์ 70 (data)'!B218</f>
        <v>2570</v>
      </c>
      <c r="C392" s="241" t="s">
        <v>447</v>
      </c>
      <c r="D392" s="244" t="str">
        <f>'[1]รวมครุภัณฑ์ 70 (data)'!C218</f>
        <v>ครุภัณฑ์โฆษณาและเผยแพร่</v>
      </c>
      <c r="E392" s="244" t="str">
        <f>'[1]รวมครุภัณฑ์ 70 (data)'!G218</f>
        <v>กล้องถ่ายภาพระบบดิจิตอล</v>
      </c>
      <c r="F392" s="244" t="str">
        <f>'[1]รวมครุภัณฑ์ 70 (data)'!H218</f>
        <v>พมจ.ยะลา</v>
      </c>
      <c r="G392" s="244" t="str">
        <f>'[1]รวมครุภัณฑ์ 70 (data)'!J218</f>
        <v>ยะลา</v>
      </c>
      <c r="H392" s="244">
        <f>IF('รวมครุภัณฑ์ 70'!Q217="","",'รวมครุภัณฑ์ 70'!Q217)</f>
        <v>1</v>
      </c>
      <c r="I392" s="244" t="str">
        <f>IF('รวมครุภัณฑ์ 70'!R217="","",'รวมครุภัณฑ์ 70'!R217)</f>
        <v/>
      </c>
      <c r="J392" s="244"/>
      <c r="K392" s="245">
        <f>'[1]รวมครุภัณฑ์ 70 (data)'!L218</f>
        <v>65000</v>
      </c>
      <c r="L392" s="245" t="str">
        <f t="shared" si="3"/>
        <v>ทดแทนครุภัณฑ์เดิม</v>
      </c>
    </row>
    <row r="393" spans="1:12">
      <c r="A393" s="241" t="s">
        <v>1703</v>
      </c>
      <c r="B393" s="244">
        <f>'[1]รวมครุภัณฑ์ 70 (data)'!B219</f>
        <v>2570</v>
      </c>
      <c r="C393" s="241" t="s">
        <v>447</v>
      </c>
      <c r="D393" s="244" t="str">
        <f>'[1]รวมครุภัณฑ์ 70 (data)'!C219</f>
        <v>ครุภัณฑ์โฆษณาและเผยแพร่</v>
      </c>
      <c r="E393" s="244" t="str">
        <f>'[1]รวมครุภัณฑ์ 70 (data)'!G219</f>
        <v>กล้องถ่ายภาพระบบดิจิตอล</v>
      </c>
      <c r="F393" s="244" t="str">
        <f>'[1]รวมครุภัณฑ์ 70 (data)'!H219</f>
        <v>พมจ.พะเยา</v>
      </c>
      <c r="G393" s="244" t="str">
        <f>'[1]รวมครุภัณฑ์ 70 (data)'!J219</f>
        <v>พะเยา</v>
      </c>
      <c r="H393" s="244">
        <f>IF('รวมครุภัณฑ์ 70'!Q218="","",'รวมครุภัณฑ์ 70'!Q218)</f>
        <v>1</v>
      </c>
      <c r="I393" s="244" t="str">
        <f>IF('รวมครุภัณฑ์ 70'!R218="","",'รวมครุภัณฑ์ 70'!R218)</f>
        <v/>
      </c>
      <c r="J393" s="244"/>
      <c r="K393" s="245">
        <f>'[1]รวมครุภัณฑ์ 70 (data)'!L219</f>
        <v>11000</v>
      </c>
      <c r="L393" s="245" t="str">
        <f t="shared" si="3"/>
        <v>ทดแทนครุภัณฑ์เดิม</v>
      </c>
    </row>
    <row r="394" spans="1:12">
      <c r="A394" s="241" t="s">
        <v>1704</v>
      </c>
      <c r="B394" s="244">
        <f>'[1]รวมครุภัณฑ์ 70 (data)'!B220</f>
        <v>2570</v>
      </c>
      <c r="C394" s="241" t="s">
        <v>447</v>
      </c>
      <c r="D394" s="244" t="str">
        <f>'[1]รวมครุภัณฑ์ 70 (data)'!C220</f>
        <v>ครุภัณฑ์โฆษณาและเผยแพร่</v>
      </c>
      <c r="E394" s="244" t="str">
        <f>'[1]รวมครุภัณฑ์ 70 (data)'!G220</f>
        <v>กล้องถ่ายภาพนิ่ง Canon EOS R50</v>
      </c>
      <c r="F394" s="244" t="str">
        <f>'[1]รวมครุภัณฑ์ 70 (data)'!H220</f>
        <v>พมจ.นครสวรรค์</v>
      </c>
      <c r="G394" s="244" t="str">
        <f>'[1]รวมครุภัณฑ์ 70 (data)'!J220</f>
        <v>นครสวรรค์</v>
      </c>
      <c r="H394" s="244">
        <f>IF('รวมครุภัณฑ์ 70'!Q219="","",'รวมครุภัณฑ์ 70'!Q219)</f>
        <v>1</v>
      </c>
      <c r="I394" s="244" t="str">
        <f>IF('รวมครุภัณฑ์ 70'!R219="","",'รวมครุภัณฑ์ 70'!R219)</f>
        <v/>
      </c>
      <c r="J394" s="244"/>
      <c r="K394" s="245">
        <f>'[1]รวมครุภัณฑ์ 70 (data)'!L220</f>
        <v>69790</v>
      </c>
      <c r="L394" s="245" t="str">
        <f t="shared" si="3"/>
        <v>ทดแทนครุภัณฑ์เดิม</v>
      </c>
    </row>
    <row r="395" spans="1:12">
      <c r="A395" s="241" t="s">
        <v>1705</v>
      </c>
      <c r="B395" s="244">
        <f>'[1]รวมครุภัณฑ์ 70 (data)'!B221</f>
        <v>2570</v>
      </c>
      <c r="C395" s="241" t="s">
        <v>447</v>
      </c>
      <c r="D395" s="244" t="str">
        <f>'[1]รวมครุภัณฑ์ 70 (data)'!C221</f>
        <v>ครุภัณฑ์โฆษณาและเผยแพร่</v>
      </c>
      <c r="E395" s="244" t="str">
        <f>'[1]รวมครุภัณฑ์ 70 (data)'!G221</f>
        <v>กล้องถ่ายภาพนิ่ง Canon EOS R50</v>
      </c>
      <c r="F395" s="244" t="str">
        <f>'[1]รวมครุภัณฑ์ 70 (data)'!H221</f>
        <v>พมจ.นครสวรรค์</v>
      </c>
      <c r="G395" s="244" t="str">
        <f>'[1]รวมครุภัณฑ์ 70 (data)'!J221</f>
        <v>นครสวรรค์</v>
      </c>
      <c r="H395" s="244">
        <f>IF('รวมครุภัณฑ์ 70'!Q220="","",'รวมครุภัณฑ์ 70'!Q220)</f>
        <v>1</v>
      </c>
      <c r="I395" s="244" t="str">
        <f>IF('รวมครุภัณฑ์ 70'!R220="","",'รวมครุภัณฑ์ 70'!R220)</f>
        <v/>
      </c>
      <c r="J395" s="244"/>
      <c r="K395" s="245">
        <f>'[1]รวมครุภัณฑ์ 70 (data)'!L221</f>
        <v>69790</v>
      </c>
      <c r="L395" s="245" t="str">
        <f t="shared" si="3"/>
        <v>ทดแทนครุภัณฑ์เดิม</v>
      </c>
    </row>
    <row r="396" spans="1:12">
      <c r="A396" s="241" t="s">
        <v>1706</v>
      </c>
      <c r="B396" s="244">
        <f>'[1]รวมครุภัณฑ์ 70 (data)'!B222</f>
        <v>2570</v>
      </c>
      <c r="C396" s="241" t="s">
        <v>447</v>
      </c>
      <c r="D396" s="244" t="str">
        <f>'[1]รวมครุภัณฑ์ 70 (data)'!C222</f>
        <v>ครุภัณฑ์โฆษณาและเผยแพร่</v>
      </c>
      <c r="E396" s="244" t="str">
        <f>'[1]รวมครุภัณฑ์ 70 (data)'!G222</f>
        <v>กล้องถ่ายภาพนิ่ง Canon EOS R50</v>
      </c>
      <c r="F396" s="244" t="str">
        <f>'[1]รวมครุภัณฑ์ 70 (data)'!H222</f>
        <v>พมจ.เพชรบุรี</v>
      </c>
      <c r="G396" s="244" t="str">
        <f>'[1]รวมครุภัณฑ์ 70 (data)'!J222</f>
        <v>เพชรบุรี</v>
      </c>
      <c r="H396" s="244">
        <f>IF('รวมครุภัณฑ์ 70'!Q221="","",'รวมครุภัณฑ์ 70'!Q221)</f>
        <v>1</v>
      </c>
      <c r="I396" s="244" t="str">
        <f>IF('รวมครุภัณฑ์ 70'!R221="","",'รวมครุภัณฑ์ 70'!R221)</f>
        <v/>
      </c>
      <c r="J396" s="244"/>
      <c r="K396" s="245">
        <f>'[1]รวมครุภัณฑ์ 70 (data)'!L222</f>
        <v>39266</v>
      </c>
      <c r="L396" s="245" t="str">
        <f t="shared" si="3"/>
        <v>ทดแทนครุภัณฑ์เดิม</v>
      </c>
    </row>
    <row r="397" spans="1:12">
      <c r="A397" s="241" t="s">
        <v>1707</v>
      </c>
      <c r="B397" s="244">
        <f>'[1]รวมครุภัณฑ์ 70 (data)'!B223</f>
        <v>2570</v>
      </c>
      <c r="C397" s="241" t="s">
        <v>447</v>
      </c>
      <c r="D397" s="244" t="str">
        <f>'[1]รวมครุภัณฑ์ 70 (data)'!C223</f>
        <v>ครุภัณฑ์โฆษณาและเผยแพร่</v>
      </c>
      <c r="E397" s="244" t="str">
        <f>'[1]รวมครุภัณฑ์ 70 (data)'!G223</f>
        <v>กล้องถ่ายภาพนิ่ง Mirrorless ระบบดิจิตอล (เซ็นเซอร์ CMOS)</v>
      </c>
      <c r="F397" s="244" t="str">
        <f>'[1]รวมครุภัณฑ์ 70 (data)'!H223</f>
        <v>พมจ.สุพรรณบุรี</v>
      </c>
      <c r="G397" s="244" t="str">
        <f>'[1]รวมครุภัณฑ์ 70 (data)'!J223</f>
        <v>สุพรรณบุรี</v>
      </c>
      <c r="H397" s="244">
        <f>IF('รวมครุภัณฑ์ 70'!Q222="","",'รวมครุภัณฑ์ 70'!Q222)</f>
        <v>1</v>
      </c>
      <c r="I397" s="244" t="str">
        <f>IF('รวมครุภัณฑ์ 70'!R222="","",'รวมครุภัณฑ์ 70'!R222)</f>
        <v/>
      </c>
      <c r="J397" s="244"/>
      <c r="K397" s="245">
        <f>'[1]รวมครุภัณฑ์ 70 (data)'!L223</f>
        <v>39900</v>
      </c>
      <c r="L397" s="245" t="str">
        <f t="shared" si="3"/>
        <v>ทดแทนครุภัณฑ์เดิม</v>
      </c>
    </row>
    <row r="398" spans="1:12">
      <c r="A398" s="241" t="s">
        <v>1708</v>
      </c>
      <c r="B398" s="244">
        <f>'[1]รวมครุภัณฑ์ 70 (data)'!B224</f>
        <v>2570</v>
      </c>
      <c r="C398" s="241" t="s">
        <v>447</v>
      </c>
      <c r="D398" s="244" t="str">
        <f>'[1]รวมครุภัณฑ์ 70 (data)'!C224</f>
        <v>ครุภัณฑ์โฆษณาและเผยแพร่</v>
      </c>
      <c r="E398" s="244" t="str">
        <f>'[1]รวมครุภัณฑ์ 70 (data)'!G224</f>
        <v>กล้องถ่ายวีดีโอ</v>
      </c>
      <c r="F398" s="244" t="str">
        <f>'[1]รวมครุภัณฑ์ 70 (data)'!H224</f>
        <v>พมจ.ภูเก็ต</v>
      </c>
      <c r="G398" s="244" t="str">
        <f>'[1]รวมครุภัณฑ์ 70 (data)'!J224</f>
        <v>ภูเก็ต</v>
      </c>
      <c r="H398" s="244">
        <f>IF('รวมครุภัณฑ์ 70'!Q223="","",'รวมครุภัณฑ์ 70'!Q223)</f>
        <v>1</v>
      </c>
      <c r="I398" s="244" t="str">
        <f>IF('รวมครุภัณฑ์ 70'!R223="","",'รวมครุภัณฑ์ 70'!R223)</f>
        <v/>
      </c>
      <c r="J398" s="244"/>
      <c r="K398" s="245">
        <f>'[1]รวมครุภัณฑ์ 70 (data)'!L224</f>
        <v>22720</v>
      </c>
      <c r="L398" s="245" t="str">
        <f t="shared" si="3"/>
        <v>ทดแทนครุภัณฑ์เดิม</v>
      </c>
    </row>
    <row r="399" spans="1:12">
      <c r="A399" s="241" t="s">
        <v>1709</v>
      </c>
      <c r="B399" s="244">
        <f>'[1]รวมครุภัณฑ์ 70 (data)'!B225</f>
        <v>2570</v>
      </c>
      <c r="C399" s="241" t="s">
        <v>447</v>
      </c>
      <c r="D399" s="244" t="str">
        <f>'[1]รวมครุภัณฑ์ 70 (data)'!C225</f>
        <v>ครุภัณฑ์โฆษณาและเผยแพร่</v>
      </c>
      <c r="E399" s="244" t="str">
        <f>'[1]รวมครุภัณฑ์ 70 (data)'!G225</f>
        <v>กล้องวงจรปิด</v>
      </c>
      <c r="F399" s="244" t="str">
        <f>'[1]รวมครุภัณฑ์ 70 (data)'!H225</f>
        <v xml:space="preserve">พมจ.กระบี่ </v>
      </c>
      <c r="G399" s="244" t="str">
        <f>'[1]รวมครุภัณฑ์ 70 (data)'!J225</f>
        <v xml:space="preserve">กระบี่ </v>
      </c>
      <c r="H399" s="244" t="str">
        <f>IF('รวมครุภัณฑ์ 70'!Q224="","",'รวมครุภัณฑ์ 70'!Q224)</f>
        <v/>
      </c>
      <c r="I399" s="244">
        <f>IF('รวมครุภัณฑ์ 70'!R224="","",'รวมครุภัณฑ์ 70'!R224)</f>
        <v>1</v>
      </c>
      <c r="J399" s="244"/>
      <c r="K399" s="245">
        <f>'[1]รวมครุภัณฑ์ 70 (data)'!L225</f>
        <v>20000</v>
      </c>
      <c r="L399" s="245" t="str">
        <f t="shared" si="3"/>
        <v>เพิ่มประสิทธิภาพ</v>
      </c>
    </row>
    <row r="400" spans="1:12">
      <c r="A400" s="241" t="s">
        <v>1710</v>
      </c>
      <c r="B400" s="244">
        <f>'[1]รวมครุภัณฑ์ 70 (data)'!B226</f>
        <v>2570</v>
      </c>
      <c r="C400" s="241" t="s">
        <v>447</v>
      </c>
      <c r="D400" s="244" t="str">
        <f>'[1]รวมครุภัณฑ์ 70 (data)'!C226</f>
        <v>ครุภัณฑ์โฆษณาและเผยแพร่</v>
      </c>
      <c r="E400" s="244" t="str">
        <f>'[1]รวมครุภัณฑ์ 70 (data)'!G226</f>
        <v>กล้องติดรถยนต์</v>
      </c>
      <c r="F400" s="244" t="str">
        <f>'[1]รวมครุภัณฑ์ 70 (data)'!H226</f>
        <v>พมจ.ลำปาง</v>
      </c>
      <c r="G400" s="244" t="str">
        <f>'[1]รวมครุภัณฑ์ 70 (data)'!J226</f>
        <v>ลำปาง</v>
      </c>
      <c r="H400" s="244" t="str">
        <f>IF('รวมครุภัณฑ์ 70'!Q225="","",'รวมครุภัณฑ์ 70'!Q225)</f>
        <v/>
      </c>
      <c r="I400" s="244">
        <f>IF('รวมครุภัณฑ์ 70'!R225="","",'รวมครุภัณฑ์ 70'!R225)</f>
        <v>6</v>
      </c>
      <c r="J400" s="244"/>
      <c r="K400" s="245">
        <f>'[1]รวมครุภัณฑ์ 70 (data)'!L226</f>
        <v>30000</v>
      </c>
      <c r="L400" s="245" t="str">
        <f t="shared" si="3"/>
        <v>เพิ่มประสิทธิภาพ</v>
      </c>
    </row>
    <row r="401" spans="1:12">
      <c r="A401" s="241" t="s">
        <v>1711</v>
      </c>
      <c r="B401" s="244">
        <f>'[1]รวมครุภัณฑ์ 70 (data)'!B227</f>
        <v>2570</v>
      </c>
      <c r="C401" s="241" t="s">
        <v>447</v>
      </c>
      <c r="D401" s="244" t="str">
        <f>'[1]รวมครุภัณฑ์ 70 (data)'!C227</f>
        <v>ครุภัณฑ์โฆษณาและเผยแพร่</v>
      </c>
      <c r="E401" s="244" t="str">
        <f>'[1]รวมครุภัณฑ์ 70 (data)'!G227</f>
        <v>เครื่องมัลติมีเดียโปรเจคเตอร์ ระดับ XGA ขนาด 4000 ANSI Lumens</v>
      </c>
      <c r="F401" s="244" t="str">
        <f>'[1]รวมครุภัณฑ์ 70 (data)'!H227</f>
        <v>พมจ.ลำปาง</v>
      </c>
      <c r="G401" s="244" t="str">
        <f>'[1]รวมครุภัณฑ์ 70 (data)'!J227</f>
        <v>ลำปาง</v>
      </c>
      <c r="H401" s="244">
        <f>IF('รวมครุภัณฑ์ 70'!Q226="","",'รวมครุภัณฑ์ 70'!Q226)</f>
        <v>1</v>
      </c>
      <c r="I401" s="244" t="str">
        <f>IF('รวมครุภัณฑ์ 70'!R226="","",'รวมครุภัณฑ์ 70'!R226)</f>
        <v/>
      </c>
      <c r="J401" s="244"/>
      <c r="K401" s="245">
        <f>'[1]รวมครุภัณฑ์ 70 (data)'!L227</f>
        <v>26500</v>
      </c>
      <c r="L401" s="245" t="str">
        <f t="shared" si="3"/>
        <v>ทดแทนครุภัณฑ์เดิม</v>
      </c>
    </row>
    <row r="402" spans="1:12">
      <c r="A402" s="241" t="s">
        <v>1712</v>
      </c>
      <c r="B402" s="244">
        <f>'[1]รวมครุภัณฑ์ 70 (data)'!B228</f>
        <v>2570</v>
      </c>
      <c r="C402" s="241" t="s">
        <v>447</v>
      </c>
      <c r="D402" s="244" t="str">
        <f>'[1]รวมครุภัณฑ์ 70 (data)'!C228</f>
        <v>ครุภัณฑ์โฆษณาและเผยแพร่</v>
      </c>
      <c r="E402" s="244" t="str">
        <f>'[1]รวมครุภัณฑ์ 70 (data)'!G228</f>
        <v>เครื่องมัลติมีเดียโปรเจคเตอร์ ระดับ XGA ขนาด 4000 ANSI Lumens</v>
      </c>
      <c r="F402" s="244" t="str">
        <f>'[1]รวมครุภัณฑ์ 70 (data)'!H228</f>
        <v>พมจ.ระนอง</v>
      </c>
      <c r="G402" s="244" t="str">
        <f>'[1]รวมครุภัณฑ์ 70 (data)'!J228</f>
        <v>ระนอง</v>
      </c>
      <c r="H402" s="244">
        <f>IF('รวมครุภัณฑ์ 70'!Q227="","",'รวมครุภัณฑ์ 70'!Q227)</f>
        <v>1</v>
      </c>
      <c r="I402" s="244" t="str">
        <f>IF('รวมครุภัณฑ์ 70'!R227="","",'รวมครุภัณฑ์ 70'!R227)</f>
        <v/>
      </c>
      <c r="J402" s="244"/>
      <c r="K402" s="245">
        <f>'[1]รวมครุภัณฑ์ 70 (data)'!L228</f>
        <v>29900</v>
      </c>
      <c r="L402" s="245" t="str">
        <f t="shared" si="3"/>
        <v>ทดแทนครุภัณฑ์เดิม</v>
      </c>
    </row>
    <row r="403" spans="1:12">
      <c r="A403" s="241" t="s">
        <v>1713</v>
      </c>
      <c r="B403" s="244">
        <f>'[1]รวมครุภัณฑ์ 70 (data)'!B229</f>
        <v>2570</v>
      </c>
      <c r="C403" s="241" t="s">
        <v>447</v>
      </c>
      <c r="D403" s="244" t="str">
        <f>'[1]รวมครุภัณฑ์ 70 (data)'!C229</f>
        <v>ครุภัณฑ์โฆษณาและเผยแพร่</v>
      </c>
      <c r="E403" s="244" t="str">
        <f>'[1]รวมครุภัณฑ์ 70 (data)'!G229</f>
        <v>เครื่องมัลติมีเดียโปรเจคเตอร์ ระดับ XGA ขนาด 4000 ANSI Lumens</v>
      </c>
      <c r="F403" s="244" t="str">
        <f>'[1]รวมครุภัณฑ์ 70 (data)'!H229</f>
        <v>พมจ.สิงห์บุรี</v>
      </c>
      <c r="G403" s="244" t="str">
        <f>'[1]รวมครุภัณฑ์ 70 (data)'!J229</f>
        <v>สิงห์บุรี</v>
      </c>
      <c r="H403" s="244">
        <f>IF('รวมครุภัณฑ์ 70'!Q228="","",'รวมครุภัณฑ์ 70'!Q228)</f>
        <v>1</v>
      </c>
      <c r="I403" s="244" t="str">
        <f>IF('รวมครุภัณฑ์ 70'!R228="","",'รวมครุภัณฑ์ 70'!R228)</f>
        <v/>
      </c>
      <c r="J403" s="244"/>
      <c r="K403" s="245">
        <f>'[1]รวมครุภัณฑ์ 70 (data)'!L229</f>
        <v>29900</v>
      </c>
      <c r="L403" s="245" t="str">
        <f t="shared" si="3"/>
        <v>ทดแทนครุภัณฑ์เดิม</v>
      </c>
    </row>
    <row r="404" spans="1:12">
      <c r="A404" s="241" t="s">
        <v>1714</v>
      </c>
      <c r="B404" s="244">
        <f>'[1]รวมครุภัณฑ์ 70 (data)'!B230</f>
        <v>2570</v>
      </c>
      <c r="C404" s="241" t="s">
        <v>447</v>
      </c>
      <c r="D404" s="244" t="str">
        <f>'[1]รวมครุภัณฑ์ 70 (data)'!C230</f>
        <v>ครุภัณฑ์โฆษณาและเผยแพร่</v>
      </c>
      <c r="E404" s="244" t="str">
        <f>'[1]รวมครุภัณฑ์ 70 (data)'!G230</f>
        <v>เครื่องมัลติมีเดียโปรเจคเตอร์ ระดับ XGA ขนาด 4000 ANSI Lumens</v>
      </c>
      <c r="F404" s="244" t="str">
        <f>'[1]รวมครุภัณฑ์ 70 (data)'!H230</f>
        <v>พมจ.จันทบุรี</v>
      </c>
      <c r="G404" s="244" t="str">
        <f>'[1]รวมครุภัณฑ์ 70 (data)'!J230</f>
        <v>จันทบุรี</v>
      </c>
      <c r="H404" s="244" t="str">
        <f>IF('รวมครุภัณฑ์ 70'!Q229="","",'รวมครุภัณฑ์ 70'!Q229)</f>
        <v/>
      </c>
      <c r="I404" s="244">
        <f>IF('รวมครุภัณฑ์ 70'!R229="","",'รวมครุภัณฑ์ 70'!R229)</f>
        <v>1</v>
      </c>
      <c r="J404" s="244"/>
      <c r="K404" s="245">
        <f>'[1]รวมครุภัณฑ์ 70 (data)'!L230</f>
        <v>29900</v>
      </c>
      <c r="L404" s="245" t="str">
        <f t="shared" si="3"/>
        <v>เพิ่มประสิทธิภาพ</v>
      </c>
    </row>
    <row r="405" spans="1:12">
      <c r="A405" s="241" t="s">
        <v>1715</v>
      </c>
      <c r="B405" s="244">
        <f>'[1]รวมครุภัณฑ์ 70 (data)'!B231</f>
        <v>2570</v>
      </c>
      <c r="C405" s="241" t="s">
        <v>447</v>
      </c>
      <c r="D405" s="244" t="str">
        <f>'[1]รวมครุภัณฑ์ 70 (data)'!C231</f>
        <v>ครุภัณฑ์โฆษณาและเผยแพร่</v>
      </c>
      <c r="E405" s="244" t="str">
        <f>'[1]รวมครุภัณฑ์ 70 (data)'!G231</f>
        <v>เครื่องมัลติมีเดียโปรเจคเตอร์ ระดับ XGA ขนาด 4000 ANSI Lumens</v>
      </c>
      <c r="F405" s="244" t="str">
        <f>'[1]รวมครุภัณฑ์ 70 (data)'!H231</f>
        <v>พมจ.ชัยภุมิ</v>
      </c>
      <c r="G405" s="244" t="str">
        <f>'[1]รวมครุภัณฑ์ 70 (data)'!J231</f>
        <v>ชัยภูมิ</v>
      </c>
      <c r="H405" s="244" t="str">
        <f>IF('รวมครุภัณฑ์ 70'!Q230="","",'รวมครุภัณฑ์ 70'!Q230)</f>
        <v/>
      </c>
      <c r="I405" s="244">
        <f>IF('รวมครุภัณฑ์ 70'!R230="","",'รวมครุภัณฑ์ 70'!R230)</f>
        <v>1</v>
      </c>
      <c r="J405" s="244"/>
      <c r="K405" s="245">
        <f>'[1]รวมครุภัณฑ์ 70 (data)'!L231</f>
        <v>29900</v>
      </c>
      <c r="L405" s="245" t="str">
        <f t="shared" si="3"/>
        <v>เพิ่มประสิทธิภาพ</v>
      </c>
    </row>
    <row r="406" spans="1:12">
      <c r="A406" s="241" t="s">
        <v>1716</v>
      </c>
      <c r="B406" s="244">
        <f>'[1]รวมครุภัณฑ์ 70 (data)'!B232</f>
        <v>2570</v>
      </c>
      <c r="C406" s="241" t="s">
        <v>447</v>
      </c>
      <c r="D406" s="244" t="str">
        <f>'[1]รวมครุภัณฑ์ 70 (data)'!C232</f>
        <v>ครุภัณฑ์โฆษณาและเผยแพร่</v>
      </c>
      <c r="E406" s="244" t="str">
        <f>'[1]รวมครุภัณฑ์ 70 (data)'!G232</f>
        <v>เครื่องมัลติมีเดียโปรเจคเตอร์ ระดับ XGA ขนาด 4500 ANSI Lumens</v>
      </c>
      <c r="F406" s="244" t="str">
        <f>'[1]รวมครุภัณฑ์ 70 (data)'!H232</f>
        <v>พมจ.สุพรรณบุรี</v>
      </c>
      <c r="G406" s="244" t="str">
        <f>'[1]รวมครุภัณฑ์ 70 (data)'!J232</f>
        <v>สุพรรณบุรี</v>
      </c>
      <c r="H406" s="244">
        <f>IF('รวมครุภัณฑ์ 70'!Q231="","",'รวมครุภัณฑ์ 70'!Q231)</f>
        <v>1</v>
      </c>
      <c r="I406" s="244" t="str">
        <f>IF('รวมครุภัณฑ์ 70'!R231="","",'รวมครุภัณฑ์ 70'!R231)</f>
        <v/>
      </c>
      <c r="J406" s="244"/>
      <c r="K406" s="245">
        <f>'[1]รวมครุภัณฑ์ 70 (data)'!L232</f>
        <v>43100</v>
      </c>
      <c r="L406" s="245" t="str">
        <f t="shared" si="3"/>
        <v>ทดแทนครุภัณฑ์เดิม</v>
      </c>
    </row>
    <row r="407" spans="1:12">
      <c r="A407" s="241" t="s">
        <v>1717</v>
      </c>
      <c r="B407" s="244">
        <f>'[1]รวมครุภัณฑ์ 70 (data)'!B233</f>
        <v>2570</v>
      </c>
      <c r="C407" s="241" t="s">
        <v>447</v>
      </c>
      <c r="D407" s="244" t="str">
        <f>'[1]รวมครุภัณฑ์ 70 (data)'!C233</f>
        <v>ครุภัณฑ์โฆษณาและเผยแพร่</v>
      </c>
      <c r="E407" s="244" t="str">
        <f>'[1]รวมครุภัณฑ์ 70 (data)'!G233</f>
        <v>เครื่องมัลติมีเดียโปรเจคเตอร์ ระดับ XGA ขนาด 4500 ANSI Lumens</v>
      </c>
      <c r="F407" s="244" t="str">
        <f>'[1]รวมครุภัณฑ์ 70 (data)'!H233</f>
        <v>พมจ.ศรีสะเกษ</v>
      </c>
      <c r="G407" s="244" t="str">
        <f>'[1]รวมครุภัณฑ์ 70 (data)'!J233</f>
        <v>ศรีสะเกษ</v>
      </c>
      <c r="H407" s="244">
        <f>IF('รวมครุภัณฑ์ 70'!Q232="","",'รวมครุภัณฑ์ 70'!Q232)</f>
        <v>1</v>
      </c>
      <c r="I407" s="244">
        <f>IF('รวมครุภัณฑ์ 70'!R232="","",'รวมครุภัณฑ์ 70'!R232)</f>
        <v>1</v>
      </c>
      <c r="J407" s="244"/>
      <c r="K407" s="245">
        <f>'[1]รวมครุภัณฑ์ 70 (data)'!L233</f>
        <v>91800</v>
      </c>
      <c r="L407" s="245" t="str">
        <f t="shared" si="3"/>
        <v>ทดแทนครุภัณฑ์เดิม, เพิ่มประสิทธิภาพ</v>
      </c>
    </row>
    <row r="408" spans="1:12">
      <c r="A408" s="241" t="s">
        <v>1718</v>
      </c>
      <c r="B408" s="244">
        <f>'[1]รวมครุภัณฑ์ 70 (data)'!B234</f>
        <v>2570</v>
      </c>
      <c r="C408" s="241" t="s">
        <v>447</v>
      </c>
      <c r="D408" s="244" t="str">
        <f>'[1]รวมครุภัณฑ์ 70 (data)'!C234</f>
        <v>ครุภัณฑ์โฆษณาและเผยแพร่</v>
      </c>
      <c r="E408" s="244" t="str">
        <f>'[1]รวมครุภัณฑ์ 70 (data)'!G234</f>
        <v>เครื่องมัลติมีเดียโปรเจคเตอร์ ระดับ XGA ขนาด 4500 ANSI Lumens</v>
      </c>
      <c r="F408" s="244" t="str">
        <f>'[1]รวมครุภัณฑ์ 70 (data)'!H234</f>
        <v>พมจ.อุบลราชธานี</v>
      </c>
      <c r="G408" s="244" t="str">
        <f>'[1]รวมครุภัณฑ์ 70 (data)'!J234</f>
        <v>อุบลราชธานี</v>
      </c>
      <c r="H408" s="244">
        <f>IF('รวมครุภัณฑ์ 70'!Q233="","",'รวมครุภัณฑ์ 70'!Q233)</f>
        <v>1</v>
      </c>
      <c r="I408" s="244">
        <f>IF('รวมครุภัณฑ์ 70'!R233="","",'รวมครุภัณฑ์ 70'!R233)</f>
        <v>1</v>
      </c>
      <c r="J408" s="244"/>
      <c r="K408" s="245">
        <f>'[1]รวมครุภัณฑ์ 70 (data)'!L234</f>
        <v>65800</v>
      </c>
      <c r="L408" s="245" t="str">
        <f t="shared" si="3"/>
        <v>ทดแทนครุภัณฑ์เดิม, เพิ่มประสิทธิภาพ</v>
      </c>
    </row>
    <row r="409" spans="1:12">
      <c r="A409" s="241" t="s">
        <v>1719</v>
      </c>
      <c r="B409" s="244">
        <f>'[1]รวมครุภัณฑ์ 70 (data)'!B235</f>
        <v>2570</v>
      </c>
      <c r="C409" s="241" t="s">
        <v>447</v>
      </c>
      <c r="D409" s="244" t="str">
        <f>'[1]รวมครุภัณฑ์ 70 (data)'!C235</f>
        <v>ครุภัณฑ์โฆษณาและเผยแพร่</v>
      </c>
      <c r="E409" s="244" t="str">
        <f>'[1]รวมครุภัณฑ์ 70 (data)'!G235</f>
        <v>เครื่องมัลติมีเดียโปรเจคเตอร์ ระดับ XGA ขนาด 5000 ANSI Lumens</v>
      </c>
      <c r="F409" s="244" t="str">
        <f>'[1]รวมครุภัณฑ์ 70 (data)'!H235</f>
        <v>พมจ.นครราชสีมา</v>
      </c>
      <c r="G409" s="244" t="str">
        <f>'[1]รวมครุภัณฑ์ 70 (data)'!J235</f>
        <v>นครราชสีมา</v>
      </c>
      <c r="H409" s="244">
        <f>IF('รวมครุภัณฑ์ 70'!Q234="","",'รวมครุภัณฑ์ 70'!Q234)</f>
        <v>1</v>
      </c>
      <c r="I409" s="244" t="str">
        <f>IF('รวมครุภัณฑ์ 70'!R234="","",'รวมครุภัณฑ์ 70'!R234)</f>
        <v/>
      </c>
      <c r="J409" s="244"/>
      <c r="K409" s="245">
        <f>'[1]รวมครุภัณฑ์ 70 (data)'!L235</f>
        <v>48600</v>
      </c>
      <c r="L409" s="245" t="str">
        <f t="shared" si="3"/>
        <v>ทดแทนครุภัณฑ์เดิม</v>
      </c>
    </row>
    <row r="410" spans="1:12">
      <c r="A410" s="241" t="s">
        <v>1720</v>
      </c>
      <c r="B410" s="244">
        <f>'[1]รวมครุภัณฑ์ 70 (data)'!B236</f>
        <v>2570</v>
      </c>
      <c r="C410" s="241" t="s">
        <v>447</v>
      </c>
      <c r="D410" s="244" t="str">
        <f>'[1]รวมครุภัณฑ์ 70 (data)'!C236</f>
        <v>ครุภัณฑ์โฆษณาและเผยแพร่</v>
      </c>
      <c r="E410" s="244" t="str">
        <f>'[1]รวมครุภัณฑ์ 70 (data)'!G236</f>
        <v>เครื่องมัลติมีเดียโปรเจคเตอร์ ระดับ XGA ขนาด 5000 ANSI Lumens</v>
      </c>
      <c r="F410" s="244" t="str">
        <f>'[1]รวมครุภัณฑ์ 70 (data)'!H236</f>
        <v>พมจ.นครราชสีมา</v>
      </c>
      <c r="G410" s="244" t="str">
        <f>'[1]รวมครุภัณฑ์ 70 (data)'!J236</f>
        <v>นครราชสีมา</v>
      </c>
      <c r="H410" s="244" t="str">
        <f>IF('รวมครุภัณฑ์ 70'!Q235="","",'รวมครุภัณฑ์ 70'!Q235)</f>
        <v/>
      </c>
      <c r="I410" s="244">
        <f>IF('รวมครุภัณฑ์ 70'!R235="","",'รวมครุภัณฑ์ 70'!R235)</f>
        <v>1</v>
      </c>
      <c r="J410" s="244"/>
      <c r="K410" s="245">
        <f>'[1]รวมครุภัณฑ์ 70 (data)'!L236</f>
        <v>14900</v>
      </c>
      <c r="L410" s="245" t="str">
        <f t="shared" si="3"/>
        <v>เพิ่มประสิทธิภาพ</v>
      </c>
    </row>
    <row r="411" spans="1:12">
      <c r="A411" s="241" t="s">
        <v>1721</v>
      </c>
      <c r="B411" s="244">
        <f>'[1]รวมครุภัณฑ์ 70 (data)'!B237</f>
        <v>2570</v>
      </c>
      <c r="C411" s="241" t="s">
        <v>447</v>
      </c>
      <c r="D411" s="244" t="str">
        <f>'[1]รวมครุภัณฑ์ 70 (data)'!C237</f>
        <v>ครุภัณฑ์โฆษณาและเผยแพร่</v>
      </c>
      <c r="E411" s="244" t="str">
        <f>'[1]รวมครุภัณฑ์ 70 (data)'!G237</f>
        <v>เครื่องมัลติมีเดียโปรเจคเตอร์ ระดับ XGA ขนาด 5000 ANSI Lumens</v>
      </c>
      <c r="F411" s="244" t="str">
        <f>'[1]รวมครุภัณฑ์ 70 (data)'!H237</f>
        <v>พมจ.อ่างทอง</v>
      </c>
      <c r="G411" s="244" t="str">
        <f>'[1]รวมครุภัณฑ์ 70 (data)'!J237</f>
        <v>อ่างทอง</v>
      </c>
      <c r="H411" s="244">
        <f>IF('รวมครุภัณฑ์ 70'!Q236="","",'รวมครุภัณฑ์ 70'!Q236)</f>
        <v>1</v>
      </c>
      <c r="I411" s="244" t="str">
        <f>IF('รวมครุภัณฑ์ 70'!R236="","",'รวมครุภัณฑ์ 70'!R236)</f>
        <v/>
      </c>
      <c r="J411" s="244"/>
      <c r="K411" s="245">
        <f>'[1]รวมครุภัณฑ์ 70 (data)'!L237</f>
        <v>48600</v>
      </c>
      <c r="L411" s="245" t="str">
        <f t="shared" si="3"/>
        <v>ทดแทนครุภัณฑ์เดิม</v>
      </c>
    </row>
    <row r="412" spans="1:12">
      <c r="A412" s="241" t="s">
        <v>1722</v>
      </c>
      <c r="B412" s="244">
        <f>'[1]รวมครุภัณฑ์ 70 (data)'!B238</f>
        <v>2570</v>
      </c>
      <c r="C412" s="241" t="s">
        <v>447</v>
      </c>
      <c r="D412" s="244" t="str">
        <f>'[1]รวมครุภัณฑ์ 70 (data)'!C238</f>
        <v>ครุภัณฑ์โฆษณาและเผยแพร่</v>
      </c>
      <c r="E412" s="244" t="str">
        <f>'[1]รวมครุภัณฑ์ 70 (data)'!G238</f>
        <v>เครื่องมัลติมีเดียโปรเจคเตอร์ ระดับ XGA ขนาด 5000 ANSI Lumens</v>
      </c>
      <c r="F412" s="244" t="str">
        <f>'[1]รวมครุภัณฑ์ 70 (data)'!H238</f>
        <v>พมจ.ปราจีนบุรี</v>
      </c>
      <c r="G412" s="244" t="str">
        <f>'[1]รวมครุภัณฑ์ 70 (data)'!J238</f>
        <v>ปราจีนบุรี</v>
      </c>
      <c r="H412" s="244">
        <f>IF('รวมครุภัณฑ์ 70'!Q237="","",'รวมครุภัณฑ์ 70'!Q237)</f>
        <v>1</v>
      </c>
      <c r="I412" s="244">
        <f>IF('รวมครุภัณฑ์ 70'!R237="","",'รวมครุภัณฑ์ 70'!R237)</f>
        <v>2</v>
      </c>
      <c r="J412" s="244"/>
      <c r="K412" s="245">
        <f>'[1]รวมครุภัณฑ์ 70 (data)'!L238</f>
        <v>145800</v>
      </c>
      <c r="L412" s="245" t="str">
        <f t="shared" si="3"/>
        <v>ทดแทนครุภัณฑ์เดิม, เพิ่มประสิทธิภาพ</v>
      </c>
    </row>
    <row r="413" spans="1:12">
      <c r="A413" s="241" t="s">
        <v>1723</v>
      </c>
      <c r="B413" s="244">
        <f>'[1]รวมครุภัณฑ์ 70 (data)'!B239</f>
        <v>2570</v>
      </c>
      <c r="C413" s="241" t="s">
        <v>447</v>
      </c>
      <c r="D413" s="244" t="str">
        <f>'[1]รวมครุภัณฑ์ 70 (data)'!C239</f>
        <v>ครุภัณฑ์โฆษณาและเผยแพร่</v>
      </c>
      <c r="E413" s="244" t="str">
        <f>'[1]รวมครุภัณฑ์ 70 (data)'!G239</f>
        <v>จอรับภาพ ชนิดมอเตอร์ไฟฟ้า ขนาดเส้นทะแยงมุม 120 นิ้ว</v>
      </c>
      <c r="F413" s="244" t="str">
        <f>'[1]รวมครุภัณฑ์ 70 (data)'!H239</f>
        <v>พมจ.ระยอง</v>
      </c>
      <c r="G413" s="244" t="str">
        <f>'[1]รวมครุภัณฑ์ 70 (data)'!J239</f>
        <v>ระยอง</v>
      </c>
      <c r="H413" s="244">
        <f>IF('รวมครุภัณฑ์ 70'!Q238="","",'รวมครุภัณฑ์ 70'!Q238)</f>
        <v>1</v>
      </c>
      <c r="I413" s="244" t="str">
        <f>IF('รวมครุภัณฑ์ 70'!R238="","",'รวมครุภัณฑ์ 70'!R238)</f>
        <v/>
      </c>
      <c r="J413" s="244"/>
      <c r="K413" s="245">
        <f>'[1]รวมครุภัณฑ์ 70 (data)'!L239</f>
        <v>14900</v>
      </c>
      <c r="L413" s="245" t="str">
        <f t="shared" si="3"/>
        <v>ทดแทนครุภัณฑ์เดิม</v>
      </c>
    </row>
    <row r="414" spans="1:12">
      <c r="A414" s="241" t="s">
        <v>1724</v>
      </c>
      <c r="B414" s="244">
        <f>'[1]รวมครุภัณฑ์ 70 (data)'!B240</f>
        <v>2570</v>
      </c>
      <c r="C414" s="241" t="s">
        <v>447</v>
      </c>
      <c r="D414" s="244" t="str">
        <f>'[1]รวมครุภัณฑ์ 70 (data)'!C240</f>
        <v>ครุภัณฑ์โฆษณาและเผยแพร่</v>
      </c>
      <c r="E414" s="244" t="str">
        <f>'[1]รวมครุภัณฑ์ 70 (data)'!G240</f>
        <v>จอรับภาพ ชนิดมอเตอร์ไฟฟ้า ขนาดเส้นทะแยงมุม 120 นิ้ว</v>
      </c>
      <c r="F414" s="244" t="str">
        <f>'[1]รวมครุภัณฑ์ 70 (data)'!H240</f>
        <v>พมจ.ระนอง</v>
      </c>
      <c r="G414" s="244" t="str">
        <f>'[1]รวมครุภัณฑ์ 70 (data)'!J240</f>
        <v>ระนอง</v>
      </c>
      <c r="H414" s="244">
        <f>IF('รวมครุภัณฑ์ 70'!Q239="","",'รวมครุภัณฑ์ 70'!Q239)</f>
        <v>1</v>
      </c>
      <c r="I414" s="244" t="str">
        <f>IF('รวมครุภัณฑ์ 70'!R239="","",'รวมครุภัณฑ์ 70'!R239)</f>
        <v/>
      </c>
      <c r="J414" s="244"/>
      <c r="K414" s="245">
        <f>'[1]รวมครุภัณฑ์ 70 (data)'!L240</f>
        <v>14900</v>
      </c>
      <c r="L414" s="245" t="str">
        <f t="shared" si="3"/>
        <v>ทดแทนครุภัณฑ์เดิม</v>
      </c>
    </row>
    <row r="415" spans="1:12">
      <c r="A415" s="241" t="s">
        <v>1725</v>
      </c>
      <c r="B415" s="244">
        <f>'[1]รวมครุภัณฑ์ 70 (data)'!B241</f>
        <v>2570</v>
      </c>
      <c r="C415" s="241" t="s">
        <v>447</v>
      </c>
      <c r="D415" s="244" t="str">
        <f>'[1]รวมครุภัณฑ์ 70 (data)'!C241</f>
        <v>ครุภัณฑ์โฆษณาและเผยแพร่</v>
      </c>
      <c r="E415" s="244" t="str">
        <f>'[1]รวมครุภัณฑ์ 70 (data)'!G241</f>
        <v>จอรับภาพ ชนิดมอเตอร์ไฟฟ้า ขนาดเส้นทะแยงมุม 180 นิ้ว</v>
      </c>
      <c r="F415" s="244" t="str">
        <f>'[1]รวมครุภัณฑ์ 70 (data)'!H241</f>
        <v>พมจ.จันทบุรี</v>
      </c>
      <c r="G415" s="244" t="str">
        <f>'[1]รวมครุภัณฑ์ 70 (data)'!J241</f>
        <v>จันทบุรี</v>
      </c>
      <c r="H415" s="244" t="str">
        <f>IF('รวมครุภัณฑ์ 70'!Q240="","",'รวมครุภัณฑ์ 70'!Q240)</f>
        <v/>
      </c>
      <c r="I415" s="244">
        <f>IF('รวมครุภัณฑ์ 70'!R240="","",'รวมครุภัณฑ์ 70'!R240)</f>
        <v>1</v>
      </c>
      <c r="J415" s="244"/>
      <c r="K415" s="245">
        <f>'[1]รวมครุภัณฑ์ 70 (data)'!L241</f>
        <v>34900</v>
      </c>
      <c r="L415" s="245" t="str">
        <f t="shared" si="3"/>
        <v>เพิ่มประสิทธิภาพ</v>
      </c>
    </row>
    <row r="416" spans="1:12">
      <c r="A416" s="241" t="s">
        <v>1726</v>
      </c>
      <c r="B416" s="244">
        <f>'[1]รวมครุภัณฑ์ 70 (data)'!B242</f>
        <v>2570</v>
      </c>
      <c r="C416" s="241" t="s">
        <v>447</v>
      </c>
      <c r="D416" s="244" t="str">
        <f>'[1]รวมครุภัณฑ์ 70 (data)'!C242</f>
        <v>ครุภัณฑ์โฆษณาและเผยแพร่</v>
      </c>
      <c r="E416" s="244" t="str">
        <f>'[1]รวมครุภัณฑ์ 70 (data)'!G242</f>
        <v>จอรับภาพ ชนิดมอเตอร์ไฟฟ้า ขนาดเส้นทะแยงมุม 200 นิ้ว</v>
      </c>
      <c r="F416" s="244" t="str">
        <f>'[1]รวมครุภัณฑ์ 70 (data)'!H242</f>
        <v>พมจ.ศรีสะเกษ</v>
      </c>
      <c r="G416" s="244" t="str">
        <f>'[1]รวมครุภัณฑ์ 70 (data)'!J242</f>
        <v>ศรีสะเกษ</v>
      </c>
      <c r="H416" s="244" t="str">
        <f>IF('รวมครุภัณฑ์ 70'!Q241="","",'รวมครุภัณฑ์ 70'!Q241)</f>
        <v/>
      </c>
      <c r="I416" s="244">
        <f>IF('รวมครุภัณฑ์ 70'!R241="","",'รวมครุภัณฑ์ 70'!R241)</f>
        <v>1</v>
      </c>
      <c r="J416" s="244"/>
      <c r="K416" s="245">
        <f>'[1]รวมครุภัณฑ์ 70 (data)'!L242</f>
        <v>45000</v>
      </c>
      <c r="L416" s="245" t="str">
        <f t="shared" si="3"/>
        <v>เพิ่มประสิทธิภาพ</v>
      </c>
    </row>
    <row r="417" spans="1:12">
      <c r="A417" s="241" t="s">
        <v>1727</v>
      </c>
      <c r="B417" s="244">
        <f>'[1]รวมครุภัณฑ์ 70 (data)'!B243</f>
        <v>2570</v>
      </c>
      <c r="C417" s="241" t="s">
        <v>447</v>
      </c>
      <c r="D417" s="244" t="str">
        <f>'[1]รวมครุภัณฑ์ 70 (data)'!C243</f>
        <v>ครุภัณฑ์โฆษณาและเผยแพร่</v>
      </c>
      <c r="E417" s="244" t="str">
        <f>'[1]รวมครุภัณฑ์ 70 (data)'!G243</f>
        <v xml:space="preserve">โทรทัศน์ แอล อี ดี (LED TV) แบบ Smart TV ระดับความละเอียดจอภาพ 3840 x 2160 พิกเซล ขนาด 43 นิ้ว </v>
      </c>
      <c r="F417" s="244" t="str">
        <f>'[1]รวมครุภัณฑ์ 70 (data)'!H243</f>
        <v>พมจ.ประจวบคีรีขันธ์</v>
      </c>
      <c r="G417" s="244" t="str">
        <f>'[1]รวมครุภัณฑ์ 70 (data)'!J243</f>
        <v>ประจวบคีรีขันธ์</v>
      </c>
      <c r="H417" s="244" t="str">
        <f>IF('รวมครุภัณฑ์ 70'!Q242="","",'รวมครุภัณฑ์ 70'!Q242)</f>
        <v/>
      </c>
      <c r="I417" s="244">
        <f>IF('รวมครุภัณฑ์ 70'!R242="","",'รวมครุภัณฑ์ 70'!R242)</f>
        <v>1</v>
      </c>
      <c r="J417" s="244"/>
      <c r="K417" s="245">
        <f>'[1]รวมครุภัณฑ์ 70 (data)'!L243</f>
        <v>15000</v>
      </c>
      <c r="L417" s="245" t="str">
        <f t="shared" si="3"/>
        <v>เพิ่มประสิทธิภาพ</v>
      </c>
    </row>
    <row r="418" spans="1:12">
      <c r="A418" s="241" t="s">
        <v>1728</v>
      </c>
      <c r="B418" s="244">
        <f>'[1]รวมครุภัณฑ์ 70 (data)'!B244</f>
        <v>2570</v>
      </c>
      <c r="C418" s="241" t="s">
        <v>447</v>
      </c>
      <c r="D418" s="244" t="str">
        <f>'[1]รวมครุภัณฑ์ 70 (data)'!C244</f>
        <v>ครุภัณฑ์โฆษณาและเผยแพร่</v>
      </c>
      <c r="E418" s="244" t="str">
        <f>'[1]รวมครุภัณฑ์ 70 (data)'!G244</f>
        <v xml:space="preserve">โทรทัศน์ แอล อี ดี (LED TV) แบบ Smart TV ระดับความละเอียดจอภาพ 3840 x 2160 พิกเซล ขนาด 55 นิ้ว </v>
      </c>
      <c r="F418" s="244" t="str">
        <f>'[1]รวมครุภัณฑ์ 70 (data)'!H244</f>
        <v>พมจ.กาฬสินธุ์</v>
      </c>
      <c r="G418" s="244" t="str">
        <f>'[1]รวมครุภัณฑ์ 70 (data)'!J244</f>
        <v>กาฬสินธุ์</v>
      </c>
      <c r="H418" s="244" t="str">
        <f>IF('รวมครุภัณฑ์ 70'!Q243="","",'รวมครุภัณฑ์ 70'!Q243)</f>
        <v/>
      </c>
      <c r="I418" s="244">
        <f>IF('รวมครุภัณฑ์ 70'!R243="","",'รวมครุภัณฑ์ 70'!R243)</f>
        <v>2</v>
      </c>
      <c r="J418" s="244"/>
      <c r="K418" s="245">
        <f>'[1]รวมครุภัณฑ์ 70 (data)'!L244</f>
        <v>46000</v>
      </c>
      <c r="L418" s="245" t="str">
        <f t="shared" si="3"/>
        <v>เพิ่มประสิทธิภาพ</v>
      </c>
    </row>
    <row r="419" spans="1:12">
      <c r="A419" s="241" t="s">
        <v>1729</v>
      </c>
      <c r="B419" s="244">
        <f>'[1]รวมครุภัณฑ์ 70 (data)'!B245</f>
        <v>2570</v>
      </c>
      <c r="C419" s="241" t="s">
        <v>447</v>
      </c>
      <c r="D419" s="244" t="str">
        <f>'[1]รวมครุภัณฑ์ 70 (data)'!C245</f>
        <v>ครุภัณฑ์โฆษณาและเผยแพร่</v>
      </c>
      <c r="E419" s="244" t="str">
        <f>'[1]รวมครุภัณฑ์ 70 (data)'!G245</f>
        <v xml:space="preserve">โทรทัศน์ แอล อี ดี (LED TV) แบบ Smart TV ระดับความละเอียดจอภาพ 3840 x 2160 พิกเซล ขนาด 55 นิ้ว </v>
      </c>
      <c r="F419" s="244" t="str">
        <f>'[1]รวมครุภัณฑ์ 70 (data)'!H245</f>
        <v>พมจ.อ่างทอง</v>
      </c>
      <c r="G419" s="244" t="str">
        <f>'[1]รวมครุภัณฑ์ 70 (data)'!J245</f>
        <v>อ่างทอง</v>
      </c>
      <c r="H419" s="244">
        <f>IF('รวมครุภัณฑ์ 70'!Q244="","",'รวมครุภัณฑ์ 70'!Q244)</f>
        <v>1</v>
      </c>
      <c r="I419" s="244" t="str">
        <f>IF('รวมครุภัณฑ์ 70'!R244="","",'รวมครุภัณฑ์ 70'!R244)</f>
        <v/>
      </c>
      <c r="J419" s="244"/>
      <c r="K419" s="245">
        <f>'[1]รวมครุภัณฑ์ 70 (data)'!L245</f>
        <v>23000</v>
      </c>
      <c r="L419" s="245" t="str">
        <f t="shared" si="3"/>
        <v>ทดแทนครุภัณฑ์เดิม</v>
      </c>
    </row>
    <row r="420" spans="1:12">
      <c r="A420" s="241" t="s">
        <v>1730</v>
      </c>
      <c r="B420" s="244">
        <f>'[1]รวมครุภัณฑ์ 70 (data)'!B246</f>
        <v>2570</v>
      </c>
      <c r="C420" s="241" t="s">
        <v>447</v>
      </c>
      <c r="D420" s="244" t="str">
        <f>'[1]รวมครุภัณฑ์ 70 (data)'!C246</f>
        <v>ครุภัณฑ์โฆษณาและเผยแพร่</v>
      </c>
      <c r="E420" s="244" t="str">
        <f>'[1]รวมครุภัณฑ์ 70 (data)'!G246</f>
        <v xml:space="preserve">โทรทัศน์ แอล อี ดี (LED TV) แบบ Smart TV ระดับความละเอียดจอภาพ 3840 x 2160 พิกเซล ขนาด 50 นิ้ว </v>
      </c>
      <c r="F420" s="244" t="str">
        <f>'[1]รวมครุภัณฑ์ 70 (data)'!H246</f>
        <v>พมจ.ระนอง</v>
      </c>
      <c r="G420" s="244" t="str">
        <f>'[1]รวมครุภัณฑ์ 70 (data)'!J246</f>
        <v>ระนอง</v>
      </c>
      <c r="H420" s="244">
        <f>IF('รวมครุภัณฑ์ 70'!Q245="","",'รวมครุภัณฑ์ 70'!Q245)</f>
        <v>1</v>
      </c>
      <c r="I420" s="244" t="str">
        <f>IF('รวมครุภัณฑ์ 70'!R245="","",'รวมครุภัณฑ์ 70'!R245)</f>
        <v/>
      </c>
      <c r="J420" s="244"/>
      <c r="K420" s="245">
        <f>'[1]รวมครุภัณฑ์ 70 (data)'!L246</f>
        <v>19000</v>
      </c>
      <c r="L420" s="245" t="str">
        <f t="shared" si="3"/>
        <v>ทดแทนครุภัณฑ์เดิม</v>
      </c>
    </row>
    <row r="421" spans="1:12">
      <c r="A421" s="241" t="s">
        <v>1731</v>
      </c>
      <c r="B421" s="244">
        <f>'[1]รวมครุภัณฑ์ 70 (data)'!B247</f>
        <v>2570</v>
      </c>
      <c r="C421" s="241" t="s">
        <v>447</v>
      </c>
      <c r="D421" s="244" t="str">
        <f>'[1]รวมครุภัณฑ์ 70 (data)'!C247</f>
        <v>ครุภัณฑ์โฆษณาและเผยแพร่</v>
      </c>
      <c r="E421" s="244" t="str">
        <f>'[1]รวมครุภัณฑ์ 70 (data)'!G247</f>
        <v xml:space="preserve">โทรทัศน์ แอล อี ดี (LED TV) แบบ Smart TV ระดับความละเอียดจอภาพ 3840 x 2160 พิกเซล ขนาด 75 นิ้ว </v>
      </c>
      <c r="F421" s="244" t="str">
        <f>'[1]รวมครุภัณฑ์ 70 (data)'!H247</f>
        <v>พมจ.นครนายก</v>
      </c>
      <c r="G421" s="244" t="str">
        <f>'[1]รวมครุภัณฑ์ 70 (data)'!J247</f>
        <v>นครนายก</v>
      </c>
      <c r="H421" s="244" t="str">
        <f>IF('รวมครุภัณฑ์ 70'!Q246="","",'รวมครุภัณฑ์ 70'!Q246)</f>
        <v/>
      </c>
      <c r="I421" s="244">
        <f>IF('รวมครุภัณฑ์ 70'!R246="","",'รวมครุภัณฑ์ 70'!R246)</f>
        <v>1</v>
      </c>
      <c r="J421" s="244"/>
      <c r="K421" s="245">
        <f>'[1]รวมครุภัณฑ์ 70 (data)'!L247</f>
        <v>45000</v>
      </c>
      <c r="L421" s="245" t="str">
        <f t="shared" si="3"/>
        <v>เพิ่มประสิทธิภาพ</v>
      </c>
    </row>
    <row r="422" spans="1:12">
      <c r="A422" s="241" t="s">
        <v>1732</v>
      </c>
      <c r="B422" s="244">
        <f>'[1]รวมครุภัณฑ์ 70 (data)'!B248</f>
        <v>2570</v>
      </c>
      <c r="C422" s="241" t="s">
        <v>447</v>
      </c>
      <c r="D422" s="244" t="str">
        <f>'[1]รวมครุภัณฑ์ 70 (data)'!C248</f>
        <v>ครุภัณฑ์โฆษณาและเผยแพร่</v>
      </c>
      <c r="E422" s="244" t="str">
        <f>'[1]รวมครุภัณฑ์ 70 (data)'!G248</f>
        <v xml:space="preserve">โทรทัศน์ แอล อี ดี (LED TV) แบบ Smart TV ระดับความละเอียดจอภาพ 3840 x 2160 พิกเซล ขนาด 75 นิ้ว </v>
      </c>
      <c r="F422" s="244" t="str">
        <f>'[1]รวมครุภัณฑ์ 70 (data)'!H248</f>
        <v>พมจ.ลำพูน</v>
      </c>
      <c r="G422" s="244" t="str">
        <f>'[1]รวมครุภัณฑ์ 70 (data)'!J248</f>
        <v>ลำพูน</v>
      </c>
      <c r="H422" s="244" t="str">
        <f>IF('รวมครุภัณฑ์ 70'!Q247="","",'รวมครุภัณฑ์ 70'!Q247)</f>
        <v/>
      </c>
      <c r="I422" s="244">
        <f>IF('รวมครุภัณฑ์ 70'!R247="","",'รวมครุภัณฑ์ 70'!R247)</f>
        <v>1</v>
      </c>
      <c r="J422" s="244"/>
      <c r="K422" s="245">
        <f>'[1]รวมครุภัณฑ์ 70 (data)'!L248</f>
        <v>45000</v>
      </c>
      <c r="L422" s="245" t="str">
        <f t="shared" si="3"/>
        <v>เพิ่มประสิทธิภาพ</v>
      </c>
    </row>
    <row r="423" spans="1:12">
      <c r="A423" s="241" t="s">
        <v>1733</v>
      </c>
      <c r="B423" s="244">
        <f>'[1]รวมครุภัณฑ์ 70 (data)'!B249</f>
        <v>2570</v>
      </c>
      <c r="C423" s="241" t="s">
        <v>447</v>
      </c>
      <c r="D423" s="244" t="str">
        <f>'[1]รวมครุภัณฑ์ 70 (data)'!C249</f>
        <v>ครุภัณฑ์โฆษณาและเผยแพร่</v>
      </c>
      <c r="E423" s="244" t="str">
        <f>'[1]รวมครุภัณฑ์ 70 (data)'!G249</f>
        <v xml:space="preserve">โทรทัศน์ แอล อี ดี (LED TV) แบบ Smart TV ระดับความละเอียดจอภาพ 3840 x 2160 พิกเซล ขนาด 75 นิ้ว </v>
      </c>
      <c r="F423" s="244" t="str">
        <f>'[1]รวมครุภัณฑ์ 70 (data)'!H249</f>
        <v>พมจ.ราชบุรี</v>
      </c>
      <c r="G423" s="244" t="str">
        <f>'[1]รวมครุภัณฑ์ 70 (data)'!J249</f>
        <v>ราชบุรี</v>
      </c>
      <c r="H423" s="244" t="str">
        <f>IF('รวมครุภัณฑ์ 70'!Q248="","",'รวมครุภัณฑ์ 70'!Q248)</f>
        <v/>
      </c>
      <c r="I423" s="244">
        <f>IF('รวมครุภัณฑ์ 70'!R248="","",'รวมครุภัณฑ์ 70'!R248)</f>
        <v>1</v>
      </c>
      <c r="J423" s="244"/>
      <c r="K423" s="245">
        <f>'[1]รวมครุภัณฑ์ 70 (data)'!L249</f>
        <v>45000</v>
      </c>
      <c r="L423" s="245" t="str">
        <f t="shared" si="3"/>
        <v>เพิ่มประสิทธิภาพ</v>
      </c>
    </row>
    <row r="424" spans="1:12">
      <c r="A424" s="241" t="s">
        <v>1734</v>
      </c>
      <c r="B424" s="244">
        <f>'[1]รวมครุภัณฑ์ 70 (data)'!B250</f>
        <v>2570</v>
      </c>
      <c r="C424" s="241" t="s">
        <v>447</v>
      </c>
      <c r="D424" s="244" t="str">
        <f>'[1]รวมครุภัณฑ์ 70 (data)'!C250</f>
        <v>ครุภัณฑ์โฆษณาและเผยแพร่</v>
      </c>
      <c r="E424" s="244" t="str">
        <f>'[1]รวมครุภัณฑ์ 70 (data)'!G250</f>
        <v xml:space="preserve">โทรทัศน์ แอล อี ดี (LED TV) แบบ Smart TV ระดับความละเอียดจอภาพ 3840 x 2160 พิกเซล ขนาด 75 นิ้ว </v>
      </c>
      <c r="F424" s="244" t="str">
        <f>'[1]รวมครุภัณฑ์ 70 (data)'!H250</f>
        <v>พมจ.ศรีสะเกษ</v>
      </c>
      <c r="G424" s="244" t="str">
        <f>'[1]รวมครุภัณฑ์ 70 (data)'!J250</f>
        <v>ศรีสะเกษ</v>
      </c>
      <c r="H424" s="244" t="str">
        <f>IF('รวมครุภัณฑ์ 70'!Q249="","",'รวมครุภัณฑ์ 70'!Q249)</f>
        <v/>
      </c>
      <c r="I424" s="244">
        <f>IF('รวมครุภัณฑ์ 70'!R249="","",'รวมครุภัณฑ์ 70'!R249)</f>
        <v>1</v>
      </c>
      <c r="J424" s="244"/>
      <c r="K424" s="245">
        <f>'[1]รวมครุภัณฑ์ 70 (data)'!L250</f>
        <v>45000</v>
      </c>
      <c r="L424" s="245" t="str">
        <f t="shared" si="3"/>
        <v>เพิ่มประสิทธิภาพ</v>
      </c>
    </row>
    <row r="425" spans="1:12">
      <c r="A425" s="241" t="s">
        <v>1735</v>
      </c>
      <c r="B425" s="244">
        <f>'[1]รวมครุภัณฑ์ 70 (data)'!B251</f>
        <v>2570</v>
      </c>
      <c r="C425" s="241" t="s">
        <v>447</v>
      </c>
      <c r="D425" s="244" t="str">
        <f>'[1]รวมครุภัณฑ์ 70 (data)'!C251</f>
        <v>ครุภัณฑ์โฆษณาและเผยแพร่</v>
      </c>
      <c r="E425" s="244" t="str">
        <f>'[1]รวมครุภัณฑ์ 70 (data)'!G251</f>
        <v xml:space="preserve"> โทรทัศน์ แอล อี ดี   (LED TV) แบบ Smart TV ระดับความละเอียดจอภาพ 3840 x 2160 พิกเซล ขนาด 65 นิ้ว </v>
      </c>
      <c r="F425" s="244" t="str">
        <f>'[1]รวมครุภัณฑ์ 70 (data)'!H251</f>
        <v>พมจ.อุตรดิตถ์</v>
      </c>
      <c r="G425" s="244" t="str">
        <f>'[1]รวมครุภัณฑ์ 70 (data)'!J251</f>
        <v>อุตรดิตถ์</v>
      </c>
      <c r="H425" s="244">
        <f>IF('รวมครุภัณฑ์ 70'!Q250="","",'รวมครุภัณฑ์ 70'!Q250)</f>
        <v>1</v>
      </c>
      <c r="I425" s="244" t="str">
        <f>IF('รวมครุภัณฑ์ 70'!R250="","",'รวมครุภัณฑ์ 70'!R250)</f>
        <v/>
      </c>
      <c r="J425" s="244"/>
      <c r="K425" s="245">
        <f>'[1]รวมครุภัณฑ์ 70 (data)'!L251</f>
        <v>30000</v>
      </c>
      <c r="L425" s="245" t="str">
        <f t="shared" si="3"/>
        <v>ทดแทนครุภัณฑ์เดิม</v>
      </c>
    </row>
    <row r="426" spans="1:12">
      <c r="A426" s="241" t="s">
        <v>1736</v>
      </c>
      <c r="B426" s="244">
        <f>'[1]รวมครุภัณฑ์ 70 (data)'!B252</f>
        <v>2570</v>
      </c>
      <c r="C426" s="241" t="s">
        <v>447</v>
      </c>
      <c r="D426" s="244" t="str">
        <f>'[1]รวมครุภัณฑ์ 70 (data)'!C252</f>
        <v>ครุภัณฑ์โฆษณาและเผยแพร่</v>
      </c>
      <c r="E426" s="244" t="str">
        <f>'[1]รวมครุภัณฑ์ 70 (data)'!G252</f>
        <v xml:space="preserve"> โทรทัศน์ แอล อี ดี   (LED TV) แบบ Smart TV ระดับความละเอียดจอภาพ 3840 x 2160 พิกเซล ขนาด 65 นิ้ว </v>
      </c>
      <c r="F426" s="244" t="str">
        <f>'[1]รวมครุภัณฑ์ 70 (data)'!H252</f>
        <v>พมจ.สระแก้ว</v>
      </c>
      <c r="G426" s="244" t="str">
        <f>'[1]รวมครุภัณฑ์ 70 (data)'!J252</f>
        <v>สระแก้ว</v>
      </c>
      <c r="H426" s="244" t="str">
        <f>IF('รวมครุภัณฑ์ 70'!Q251="","",'รวมครุภัณฑ์ 70'!Q251)</f>
        <v/>
      </c>
      <c r="I426" s="244">
        <f>IF('รวมครุภัณฑ์ 70'!R251="","",'รวมครุภัณฑ์ 70'!R251)</f>
        <v>2</v>
      </c>
      <c r="J426" s="244"/>
      <c r="K426" s="245">
        <f>'[1]รวมครุภัณฑ์ 70 (data)'!L252</f>
        <v>60000</v>
      </c>
      <c r="L426" s="245" t="str">
        <f t="shared" si="3"/>
        <v>เพิ่มประสิทธิภาพ</v>
      </c>
    </row>
    <row r="427" spans="1:12">
      <c r="A427" s="241" t="s">
        <v>1737</v>
      </c>
      <c r="B427" s="244">
        <f>'[1]รวมครุภัณฑ์ 70 (data)'!B253</f>
        <v>2570</v>
      </c>
      <c r="C427" s="241" t="s">
        <v>447</v>
      </c>
      <c r="D427" s="244" t="str">
        <f>'[1]รวมครุภัณฑ์ 70 (data)'!C253</f>
        <v>ครุภัณฑ์โฆษณาและเผยแพร่</v>
      </c>
      <c r="E427" s="244" t="str">
        <f>'[1]รวมครุภัณฑ์ 70 (data)'!G253</f>
        <v xml:space="preserve"> โทรทัศน์ แอล อี ดี (LED TV) แบบ Smart TV ระดับความละเอียดจอภาพ 3840 x 2160 พิกเซล ขนาด 65 นิ้ว </v>
      </c>
      <c r="F427" s="244" t="str">
        <f>'[1]รวมครุภัณฑ์ 70 (data)'!H253</f>
        <v xml:space="preserve">พมจ.กาญจนบุรี </v>
      </c>
      <c r="G427" s="244" t="str">
        <f>'[1]รวมครุภัณฑ์ 70 (data)'!J253</f>
        <v xml:space="preserve">กาญจนบุรี </v>
      </c>
      <c r="H427" s="244">
        <f>IF('รวมครุภัณฑ์ 70'!Q252="","",'รวมครุภัณฑ์ 70'!Q252)</f>
        <v>1</v>
      </c>
      <c r="I427" s="244" t="str">
        <f>IF('รวมครุภัณฑ์ 70'!R252="","",'รวมครุภัณฑ์ 70'!R252)</f>
        <v/>
      </c>
      <c r="J427" s="244"/>
      <c r="K427" s="245">
        <f>'[1]รวมครุภัณฑ์ 70 (data)'!L253</f>
        <v>30000</v>
      </c>
      <c r="L427" s="245" t="str">
        <f t="shared" si="3"/>
        <v>ทดแทนครุภัณฑ์เดิม</v>
      </c>
    </row>
    <row r="428" spans="1:12">
      <c r="A428" s="241" t="s">
        <v>1738</v>
      </c>
      <c r="B428" s="244">
        <f>'[1]รวมครุภัณฑ์ 70 (data)'!B254</f>
        <v>2570</v>
      </c>
      <c r="C428" s="241" t="s">
        <v>447</v>
      </c>
      <c r="D428" s="244" t="str">
        <f>'[1]รวมครุภัณฑ์ 70 (data)'!C254</f>
        <v>ครุภัณฑ์งานบ้านงานครัว</v>
      </c>
      <c r="E428" s="244" t="str">
        <f>'[1]รวมครุภัณฑ์ 70 (data)'!G254</f>
        <v>ตู้เย็น 9 คิวบิกฟุต</v>
      </c>
      <c r="F428" s="244" t="str">
        <f>'[1]รวมครุภัณฑ์ 70 (data)'!H254</f>
        <v>พมจ.อุตรดิตถ์</v>
      </c>
      <c r="G428" s="244" t="str">
        <f>'[1]รวมครุภัณฑ์ 70 (data)'!J254</f>
        <v>อุตรดิตถ์</v>
      </c>
      <c r="H428" s="244">
        <f>IF('รวมครุภัณฑ์ 70'!Q253="","",'รวมครุภัณฑ์ 70'!Q253)</f>
        <v>1</v>
      </c>
      <c r="I428" s="244" t="str">
        <f>IF('รวมครุภัณฑ์ 70'!R253="","",'รวมครุภัณฑ์ 70'!R253)</f>
        <v/>
      </c>
      <c r="J428" s="244"/>
      <c r="K428" s="245">
        <f>'[1]รวมครุภัณฑ์ 70 (data)'!L254</f>
        <v>13000</v>
      </c>
      <c r="L428" s="245" t="str">
        <f t="shared" si="3"/>
        <v>ทดแทนครุภัณฑ์เดิม</v>
      </c>
    </row>
    <row r="429" spans="1:12">
      <c r="A429" s="241" t="s">
        <v>1739</v>
      </c>
      <c r="B429" s="244">
        <f>'[1]รวมครุภัณฑ์ 70 (data)'!B255</f>
        <v>2570</v>
      </c>
      <c r="C429" s="241" t="s">
        <v>447</v>
      </c>
      <c r="D429" s="244" t="str">
        <f>'[1]รวมครุภัณฑ์ 70 (data)'!C255</f>
        <v>ครุภัณฑ์งานบ้านงานครัว</v>
      </c>
      <c r="E429" s="244" t="str">
        <f>'[1]รวมครุภัณฑ์ 70 (data)'!G255</f>
        <v>ตู้เย็น 9 คิวบิกฟุต</v>
      </c>
      <c r="F429" s="244" t="str">
        <f>'[1]รวมครุภัณฑ์ 70 (data)'!H255</f>
        <v>พมจ.ระนอง</v>
      </c>
      <c r="G429" s="244" t="str">
        <f>'[1]รวมครุภัณฑ์ 70 (data)'!J255</f>
        <v>ระนอง</v>
      </c>
      <c r="H429" s="244" t="str">
        <f>IF('รวมครุภัณฑ์ 70'!Q254="","",'รวมครุภัณฑ์ 70'!Q254)</f>
        <v/>
      </c>
      <c r="I429" s="244">
        <f>IF('รวมครุภัณฑ์ 70'!R254="","",'รวมครุภัณฑ์ 70'!R254)</f>
        <v>1</v>
      </c>
      <c r="J429" s="244"/>
      <c r="K429" s="245">
        <f>'[1]รวมครุภัณฑ์ 70 (data)'!L255</f>
        <v>13000</v>
      </c>
      <c r="L429" s="245" t="str">
        <f t="shared" si="3"/>
        <v>เพิ่มประสิทธิภาพ</v>
      </c>
    </row>
    <row r="430" spans="1:12">
      <c r="A430" s="241" t="s">
        <v>1740</v>
      </c>
      <c r="B430" s="244">
        <f>'[1]รวมครุภัณฑ์ 70 (data)'!B256</f>
        <v>2570</v>
      </c>
      <c r="C430" s="241" t="s">
        <v>447</v>
      </c>
      <c r="D430" s="244" t="str">
        <f>'[1]รวมครุภัณฑ์ 70 (data)'!C256</f>
        <v>ครุภัณฑ์งานบ้านงานครัว</v>
      </c>
      <c r="E430" s="244" t="str">
        <f>'[1]รวมครุภัณฑ์ 70 (data)'!G256</f>
        <v>ตู้เย็น 9 คิวบิกฟุต</v>
      </c>
      <c r="F430" s="244" t="str">
        <f>'[1]รวมครุภัณฑ์ 70 (data)'!H256</f>
        <v>พมจ.เพชรบุรี</v>
      </c>
      <c r="G430" s="244" t="str">
        <f>'[1]รวมครุภัณฑ์ 70 (data)'!J256</f>
        <v>เพชรบุรี</v>
      </c>
      <c r="H430" s="244" t="str">
        <f>IF('รวมครุภัณฑ์ 70'!Q255="","",'รวมครุภัณฑ์ 70'!Q255)</f>
        <v/>
      </c>
      <c r="I430" s="244">
        <f>IF('รวมครุภัณฑ์ 70'!R255="","",'รวมครุภัณฑ์ 70'!R255)</f>
        <v>1</v>
      </c>
      <c r="J430" s="244"/>
      <c r="K430" s="245">
        <f>'[1]รวมครุภัณฑ์ 70 (data)'!L256</f>
        <v>13000</v>
      </c>
      <c r="L430" s="245" t="str">
        <f t="shared" si="3"/>
        <v>เพิ่มประสิทธิภาพ</v>
      </c>
    </row>
    <row r="431" spans="1:12">
      <c r="A431" s="241" t="s">
        <v>1741</v>
      </c>
      <c r="B431" s="244">
        <f>'[1]รวมครุภัณฑ์ 70 (data)'!B257</f>
        <v>2570</v>
      </c>
      <c r="C431" s="241" t="s">
        <v>447</v>
      </c>
      <c r="D431" s="244" t="str">
        <f>'[1]รวมครุภัณฑ์ 70 (data)'!C257</f>
        <v>ครุภัณฑ์งานบ้านงานครัว</v>
      </c>
      <c r="E431" s="244" t="str">
        <f>'[1]รวมครุภัณฑ์ 70 (data)'!G257</f>
        <v>ตู้เย็น 9 คิวบิกฟุต</v>
      </c>
      <c r="F431" s="244" t="str">
        <f>'[1]รวมครุภัณฑ์ 70 (data)'!H257</f>
        <v>พมจ.อำนาจเจริญ</v>
      </c>
      <c r="G431" s="244" t="str">
        <f>'[1]รวมครุภัณฑ์ 70 (data)'!J257</f>
        <v>อำนาจเจริญ</v>
      </c>
      <c r="H431" s="244" t="str">
        <f>IF('รวมครุภัณฑ์ 70'!Q256="","",'รวมครุภัณฑ์ 70'!Q256)</f>
        <v/>
      </c>
      <c r="I431" s="244">
        <f>IF('รวมครุภัณฑ์ 70'!R256="","",'รวมครุภัณฑ์ 70'!R256)</f>
        <v>1</v>
      </c>
      <c r="J431" s="244"/>
      <c r="K431" s="245">
        <f>'[1]รวมครุภัณฑ์ 70 (data)'!L257</f>
        <v>13000</v>
      </c>
      <c r="L431" s="245" t="str">
        <f t="shared" si="3"/>
        <v>เพิ่มประสิทธิภาพ</v>
      </c>
    </row>
    <row r="432" spans="1:12">
      <c r="A432" s="241" t="s">
        <v>1742</v>
      </c>
      <c r="B432" s="244">
        <f>'[1]รวมครุภัณฑ์ 70 (data)'!B258</f>
        <v>2570</v>
      </c>
      <c r="C432" s="241" t="s">
        <v>447</v>
      </c>
      <c r="D432" s="244" t="str">
        <f>'[1]รวมครุภัณฑ์ 70 (data)'!C258</f>
        <v>ครุภัณฑ์งานบ้านงานครัว</v>
      </c>
      <c r="E432" s="244" t="str">
        <f>'[1]รวมครุภัณฑ์ 70 (data)'!G258</f>
        <v>ตู้เย็น 13 คิวบิกฟุต</v>
      </c>
      <c r="F432" s="244" t="str">
        <f>'[1]รวมครุภัณฑ์ 70 (data)'!H258</f>
        <v>พมจ.อุตรดิตถ์</v>
      </c>
      <c r="G432" s="244" t="str">
        <f>'[1]รวมครุภัณฑ์ 70 (data)'!J258</f>
        <v>อุตรดิตถ์</v>
      </c>
      <c r="H432" s="244">
        <f>IF('รวมครุภัณฑ์ 70'!Q257="","",'รวมครุภัณฑ์ 70'!Q257)</f>
        <v>1</v>
      </c>
      <c r="I432" s="244" t="str">
        <f>IF('รวมครุภัณฑ์ 70'!R257="","",'รวมครุภัณฑ์ 70'!R257)</f>
        <v/>
      </c>
      <c r="J432" s="244"/>
      <c r="K432" s="245">
        <f>'[1]รวมครุภัณฑ์ 70 (data)'!L258</f>
        <v>18500</v>
      </c>
      <c r="L432" s="245" t="str">
        <f t="shared" si="3"/>
        <v>ทดแทนครุภัณฑ์เดิม</v>
      </c>
    </row>
    <row r="433" spans="1:12">
      <c r="A433" s="241" t="s">
        <v>1743</v>
      </c>
      <c r="B433" s="244">
        <f>'[1]รวมครุภัณฑ์ 70 (data)'!B259</f>
        <v>2570</v>
      </c>
      <c r="C433" s="241" t="s">
        <v>447</v>
      </c>
      <c r="D433" s="244" t="str">
        <f>'[1]รวมครุภัณฑ์ 70 (data)'!C259</f>
        <v>ครุภัณฑ์งานบ้านงานครัว</v>
      </c>
      <c r="E433" s="244" t="str">
        <f>'[1]รวมครุภัณฑ์ 70 (data)'!G259</f>
        <v>เครื่องทำน้ำร้อน-น้ำเย็น แบบต่อท่อ ขนาด 2 ก๊อก</v>
      </c>
      <c r="F433" s="244" t="str">
        <f>'[1]รวมครุภัณฑ์ 70 (data)'!H259</f>
        <v>พมจ.จันทบุรี</v>
      </c>
      <c r="G433" s="244" t="str">
        <f>'[1]รวมครุภัณฑ์ 70 (data)'!J259</f>
        <v>จันทบุรี</v>
      </c>
      <c r="H433" s="244">
        <f>IF('รวมครุภัณฑ์ 70'!Q258="","",'รวมครุภัณฑ์ 70'!Q258)</f>
        <v>1</v>
      </c>
      <c r="I433" s="244" t="str">
        <f>IF('รวมครุภัณฑ์ 70'!R258="","",'รวมครุภัณฑ์ 70'!R258)</f>
        <v/>
      </c>
      <c r="J433" s="244"/>
      <c r="K433" s="245">
        <f>'[1]รวมครุภัณฑ์ 70 (data)'!L259</f>
        <v>23000</v>
      </c>
      <c r="L433" s="245" t="str">
        <f t="shared" si="3"/>
        <v>ทดแทนครุภัณฑ์เดิม</v>
      </c>
    </row>
    <row r="434" spans="1:12">
      <c r="A434" s="241" t="s">
        <v>1744</v>
      </c>
      <c r="B434" s="244">
        <f>'[1]รวมครุภัณฑ์ 70 (data)'!B260</f>
        <v>2570</v>
      </c>
      <c r="C434" s="241" t="s">
        <v>447</v>
      </c>
      <c r="D434" s="244" t="str">
        <f>'[1]รวมครุภัณฑ์ 70 (data)'!C260</f>
        <v>ครุภัณฑ์งานบ้านงานครัว</v>
      </c>
      <c r="E434" s="244" t="str">
        <f>'[1]รวมครุภัณฑ์ 70 (data)'!G260</f>
        <v>เครื่องทำน้ำร้อน-น้ำเย็น แบบต่อท่อ ขนาด 2 ก๊อก</v>
      </c>
      <c r="F434" s="244" t="str">
        <f>'[1]รวมครุภัณฑ์ 70 (data)'!H260</f>
        <v>พมจ.นครสวรรค์</v>
      </c>
      <c r="G434" s="244" t="str">
        <f>'[1]รวมครุภัณฑ์ 70 (data)'!J260</f>
        <v>นครสวรรค์</v>
      </c>
      <c r="H434" s="244" t="str">
        <f>IF('รวมครุภัณฑ์ 70'!Q259="","",'รวมครุภัณฑ์ 70'!Q259)</f>
        <v/>
      </c>
      <c r="I434" s="244">
        <f>IF('รวมครุภัณฑ์ 70'!R259="","",'รวมครุภัณฑ์ 70'!R259)</f>
        <v>1</v>
      </c>
      <c r="J434" s="244"/>
      <c r="K434" s="245">
        <f>'[1]รวมครุภัณฑ์ 70 (data)'!L260</f>
        <v>23000</v>
      </c>
      <c r="L434" s="245" t="str">
        <f t="shared" ref="L434:L497" si="4">_xlfn.TEXTJOIN(", ",TRUE,
IF(H434&lt;&gt;"","ทดแทนครุภัณฑ์เดิม",""),
IF(I434&lt;&gt;"","เพิ่มประสิทธิภาพ",""))</f>
        <v>เพิ่มประสิทธิภาพ</v>
      </c>
    </row>
    <row r="435" spans="1:12">
      <c r="A435" s="241" t="s">
        <v>1745</v>
      </c>
      <c r="B435" s="244">
        <f>'[1]รวมครุภัณฑ์ 70 (data)'!B261</f>
        <v>2570</v>
      </c>
      <c r="C435" s="241" t="s">
        <v>447</v>
      </c>
      <c r="D435" s="244" t="str">
        <f>'[1]รวมครุภัณฑ์ 70 (data)'!C261</f>
        <v>ครุภัณฑ์งานบ้านงานครัว</v>
      </c>
      <c r="E435" s="244" t="str">
        <f>'[1]รวมครุภัณฑ์ 70 (data)'!G261</f>
        <v>เครื่องทำน้ำร้อน-น้ำเย็น แบบต่อท่อ ขนาด 2 ก๊อก</v>
      </c>
      <c r="F435" s="244" t="str">
        <f>'[1]รวมครุภัณฑ์ 70 (data)'!H261</f>
        <v>พมจ.พระนครศรีอยุธยา</v>
      </c>
      <c r="G435" s="244" t="str">
        <f>'[1]รวมครุภัณฑ์ 70 (data)'!J261</f>
        <v>พระนครศรีอยุธยา</v>
      </c>
      <c r="H435" s="244">
        <f>IF('รวมครุภัณฑ์ 70'!Q260="","",'รวมครุภัณฑ์ 70'!Q260)</f>
        <v>1</v>
      </c>
      <c r="I435" s="244" t="str">
        <f>IF('รวมครุภัณฑ์ 70'!R260="","",'รวมครุภัณฑ์ 70'!R260)</f>
        <v/>
      </c>
      <c r="J435" s="244"/>
      <c r="K435" s="245">
        <f>'[1]รวมครุภัณฑ์ 70 (data)'!L261</f>
        <v>23000</v>
      </c>
      <c r="L435" s="245" t="str">
        <f t="shared" si="4"/>
        <v>ทดแทนครุภัณฑ์เดิม</v>
      </c>
    </row>
    <row r="436" spans="1:12">
      <c r="A436" s="241" t="s">
        <v>1746</v>
      </c>
      <c r="B436" s="244">
        <f>'[1]รวมครุภัณฑ์ 70 (data)'!B262</f>
        <v>2570</v>
      </c>
      <c r="C436" s="241" t="s">
        <v>447</v>
      </c>
      <c r="D436" s="244" t="str">
        <f>'[1]รวมครุภัณฑ์ 70 (data)'!C262</f>
        <v>ครุภัณฑ์งานบ้านงานครัว</v>
      </c>
      <c r="E436" s="244" t="str">
        <f>'[1]รวมครุภัณฑ์ 70 (data)'!G262</f>
        <v>เครื่องทำน้ำร้อน-น้ำเย็น แบบต่อท่อ ขนาด 2 ก๊อก</v>
      </c>
      <c r="F436" s="244" t="str">
        <f>'[1]รวมครุภัณฑ์ 70 (data)'!H262</f>
        <v>พมจ.สมุทรสงคราม</v>
      </c>
      <c r="G436" s="244" t="str">
        <f>'[1]รวมครุภัณฑ์ 70 (data)'!J262</f>
        <v>สมุทรสงคราม</v>
      </c>
      <c r="H436" s="244" t="str">
        <f>IF('รวมครุภัณฑ์ 70'!Q261="","",'รวมครุภัณฑ์ 70'!Q261)</f>
        <v/>
      </c>
      <c r="I436" s="244">
        <f>IF('รวมครุภัณฑ์ 70'!R261="","",'รวมครุภัณฑ์ 70'!R261)</f>
        <v>1</v>
      </c>
      <c r="J436" s="244"/>
      <c r="K436" s="245">
        <f>'[1]รวมครุภัณฑ์ 70 (data)'!L262</f>
        <v>23000</v>
      </c>
      <c r="L436" s="245" t="str">
        <f t="shared" si="4"/>
        <v>เพิ่มประสิทธิภาพ</v>
      </c>
    </row>
    <row r="437" spans="1:12">
      <c r="A437" s="241" t="s">
        <v>1747</v>
      </c>
      <c r="B437" s="244">
        <f>'[1]รวมครุภัณฑ์ 70 (data)'!B263</f>
        <v>2570</v>
      </c>
      <c r="C437" s="241" t="s">
        <v>447</v>
      </c>
      <c r="D437" s="244" t="str">
        <f>'[1]รวมครุภัณฑ์ 70 (data)'!C263</f>
        <v>ครุภัณฑ์งานบ้านงานครัว</v>
      </c>
      <c r="E437" s="244" t="str">
        <f>'[1]รวมครุภัณฑ์ 70 (data)'!G263</f>
        <v>ตู้ทำน้ำเย็นแบบธรรมดา</v>
      </c>
      <c r="F437" s="244" t="str">
        <f>'[1]รวมครุภัณฑ์ 70 (data)'!H263</f>
        <v>พมจ.นครปฐม</v>
      </c>
      <c r="G437" s="244" t="str">
        <f>'[1]รวมครุภัณฑ์ 70 (data)'!J263</f>
        <v>นครปฐม</v>
      </c>
      <c r="H437" s="244">
        <f>IF('รวมครุภัณฑ์ 70'!Q262="","",'รวมครุภัณฑ์ 70'!Q262)</f>
        <v>1</v>
      </c>
      <c r="I437" s="244" t="str">
        <f>IF('รวมครุภัณฑ์ 70'!R262="","",'รวมครุภัณฑ์ 70'!R262)</f>
        <v/>
      </c>
      <c r="J437" s="244"/>
      <c r="K437" s="245">
        <f>'[1]รวมครุภัณฑ์ 70 (data)'!L263</f>
        <v>4390</v>
      </c>
      <c r="L437" s="245" t="str">
        <f t="shared" si="4"/>
        <v>ทดแทนครุภัณฑ์เดิม</v>
      </c>
    </row>
    <row r="438" spans="1:12">
      <c r="A438" s="241" t="s">
        <v>1748</v>
      </c>
      <c r="B438" s="244">
        <f>'[1]รวมครุภัณฑ์ 70 (data)'!B264</f>
        <v>2570</v>
      </c>
      <c r="C438" s="241" t="s">
        <v>447</v>
      </c>
      <c r="D438" s="244" t="str">
        <f>'[1]รวมครุภัณฑ์ 70 (data)'!C264</f>
        <v>ครุภัณฑ์งานบ้านงานครัว</v>
      </c>
      <c r="E438" s="244" t="str">
        <f>'[1]รวมครุภัณฑ์ 70 (data)'!G264</f>
        <v>ตู้ทำน้ำเย็นแบบธรรมดา</v>
      </c>
      <c r="F438" s="244" t="str">
        <f>'[1]รวมครุภัณฑ์ 70 (data)'!H264</f>
        <v>พมจ.น่าน</v>
      </c>
      <c r="G438" s="244" t="str">
        <f>'[1]รวมครุภัณฑ์ 70 (data)'!J264</f>
        <v>น่าน</v>
      </c>
      <c r="H438" s="244" t="str">
        <f>IF('รวมครุภัณฑ์ 70'!Q263="","",'รวมครุภัณฑ์ 70'!Q263)</f>
        <v/>
      </c>
      <c r="I438" s="244">
        <f>IF('รวมครุภัณฑ์ 70'!R263="","",'รวมครุภัณฑ์ 70'!R263)</f>
        <v>1</v>
      </c>
      <c r="J438" s="244"/>
      <c r="K438" s="245">
        <f>'[1]รวมครุภัณฑ์ 70 (data)'!L264</f>
        <v>4390</v>
      </c>
      <c r="L438" s="245" t="str">
        <f t="shared" si="4"/>
        <v>เพิ่มประสิทธิภาพ</v>
      </c>
    </row>
    <row r="439" spans="1:12">
      <c r="A439" s="241" t="s">
        <v>1749</v>
      </c>
      <c r="B439" s="244">
        <f>'[1]รวมครุภัณฑ์ 70 (data)'!B265</f>
        <v>2570</v>
      </c>
      <c r="C439" s="241" t="s">
        <v>447</v>
      </c>
      <c r="D439" s="244" t="str">
        <f>'[1]รวมครุภัณฑ์ 70 (data)'!C265</f>
        <v>ครุภัณฑ์งานบ้านงานครัว</v>
      </c>
      <c r="E439" s="244" t="str">
        <f>'[1]รวมครุภัณฑ์ 70 (data)'!G265</f>
        <v>ตู้ทำน้ำเย็นแบบธรรมดา</v>
      </c>
      <c r="F439" s="244" t="str">
        <f>'[1]รวมครุภัณฑ์ 70 (data)'!H265</f>
        <v>พมจ.นครราชสีมา</v>
      </c>
      <c r="G439" s="244" t="str">
        <f>'[1]รวมครุภัณฑ์ 70 (data)'!J265</f>
        <v>นครราชสีมา</v>
      </c>
      <c r="H439" s="244" t="str">
        <f>IF('รวมครุภัณฑ์ 70'!Q264="","",'รวมครุภัณฑ์ 70'!Q264)</f>
        <v/>
      </c>
      <c r="I439" s="244">
        <f>IF('รวมครุภัณฑ์ 70'!R264="","",'รวมครุภัณฑ์ 70'!R264)</f>
        <v>1</v>
      </c>
      <c r="J439" s="244"/>
      <c r="K439" s="245">
        <f>'[1]รวมครุภัณฑ์ 70 (data)'!L265</f>
        <v>10600</v>
      </c>
      <c r="L439" s="245" t="str">
        <f t="shared" si="4"/>
        <v>เพิ่มประสิทธิภาพ</v>
      </c>
    </row>
    <row r="440" spans="1:12">
      <c r="A440" s="241" t="s">
        <v>1750</v>
      </c>
      <c r="B440" s="244">
        <f>'[1]รวมครุภัณฑ์ 70 (data)'!B266</f>
        <v>2570</v>
      </c>
      <c r="C440" s="241" t="s">
        <v>447</v>
      </c>
      <c r="D440" s="244" t="str">
        <f>'[1]รวมครุภัณฑ์ 70 (data)'!C266</f>
        <v>ครุภัณฑ์งานบ้านงานครัว</v>
      </c>
      <c r="E440" s="244" t="str">
        <f>'[1]รวมครุภัณฑ์ 70 (data)'!G266</f>
        <v>ตู้ทำน้ำเย็นแบบธรรมดา</v>
      </c>
      <c r="F440" s="244" t="str">
        <f>'[1]รวมครุภัณฑ์ 70 (data)'!H266</f>
        <v>พมจ.สุพรรณบุรี</v>
      </c>
      <c r="G440" s="244" t="str">
        <f>'[1]รวมครุภัณฑ์ 70 (data)'!J266</f>
        <v>สุพรรณบุรี</v>
      </c>
      <c r="H440" s="244">
        <f>IF('รวมครุภัณฑ์ 70'!Q265="","",'รวมครุภัณฑ์ 70'!Q265)</f>
        <v>1</v>
      </c>
      <c r="I440" s="244" t="str">
        <f>IF('รวมครุภัณฑ์ 70'!R265="","",'รวมครุภัณฑ์ 70'!R265)</f>
        <v/>
      </c>
      <c r="J440" s="244"/>
      <c r="K440" s="245">
        <f>'[1]รวมครุภัณฑ์ 70 (data)'!L266</f>
        <v>5500</v>
      </c>
      <c r="L440" s="245" t="str">
        <f t="shared" si="4"/>
        <v>ทดแทนครุภัณฑ์เดิม</v>
      </c>
    </row>
    <row r="441" spans="1:12">
      <c r="A441" s="241" t="s">
        <v>1751</v>
      </c>
      <c r="B441" s="244">
        <f>'[1]รวมครุภัณฑ์ 70 (data)'!B267</f>
        <v>2570</v>
      </c>
      <c r="C441" s="241" t="s">
        <v>447</v>
      </c>
      <c r="D441" s="244" t="str">
        <f>'[1]รวมครุภัณฑ์ 70 (data)'!C267</f>
        <v>ครุภัณฑ์งานบ้านงานครัว</v>
      </c>
      <c r="E441" s="244" t="str">
        <f>'[1]รวมครุภัณฑ์ 70 (data)'!G267</f>
        <v>ตู้ทำน้ำเย็นแบบธรรมดา</v>
      </c>
      <c r="F441" s="244" t="str">
        <f>'[1]รวมครุภัณฑ์ 70 (data)'!H267</f>
        <v>พมจ.เชียงใหม่</v>
      </c>
      <c r="G441" s="244" t="str">
        <f>'[1]รวมครุภัณฑ์ 70 (data)'!J267</f>
        <v>เชียงใหม่</v>
      </c>
      <c r="H441" s="244">
        <f>IF('รวมครุภัณฑ์ 70'!Q266="","",'รวมครุภัณฑ์ 70'!Q266)</f>
        <v>1</v>
      </c>
      <c r="I441" s="244" t="str">
        <f>IF('รวมครุภัณฑ์ 70'!R266="","",'รวมครุภัณฑ์ 70'!R266)</f>
        <v/>
      </c>
      <c r="J441" s="244"/>
      <c r="K441" s="245">
        <f>'[1]รวมครุภัณฑ์ 70 (data)'!L267</f>
        <v>23000</v>
      </c>
      <c r="L441" s="245" t="str">
        <f t="shared" si="4"/>
        <v>ทดแทนครุภัณฑ์เดิม</v>
      </c>
    </row>
    <row r="442" spans="1:12">
      <c r="A442" s="241" t="s">
        <v>1752</v>
      </c>
      <c r="B442" s="244">
        <f>'[1]รวมครุภัณฑ์ 70 (data)'!B268</f>
        <v>2570</v>
      </c>
      <c r="C442" s="241" t="s">
        <v>447</v>
      </c>
      <c r="D442" s="244" t="str">
        <f>'[1]รวมครุภัณฑ์ 70 (data)'!C268</f>
        <v>ครุภัณฑ์งานบ้านงานครัว</v>
      </c>
      <c r="E442" s="244" t="str">
        <f>'[1]รวมครุภัณฑ์ 70 (data)'!G268</f>
        <v>เครื่องตัดหญ้า แบบรถเข็น</v>
      </c>
      <c r="F442" s="244" t="str">
        <f>'[1]รวมครุภัณฑ์ 70 (data)'!H268</f>
        <v>พมจ.สุราษฎร์ธานี</v>
      </c>
      <c r="G442" s="244" t="str">
        <f>'[1]รวมครุภัณฑ์ 70 (data)'!J268</f>
        <v>สุราษฎร์ธานี</v>
      </c>
      <c r="H442" s="244" t="str">
        <f>IF('รวมครุภัณฑ์ 70'!Q267="","",'รวมครุภัณฑ์ 70'!Q267)</f>
        <v/>
      </c>
      <c r="I442" s="244">
        <f>IF('รวมครุภัณฑ์ 70'!R267="","",'รวมครุภัณฑ์ 70'!R267)</f>
        <v>1</v>
      </c>
      <c r="J442" s="244"/>
      <c r="K442" s="245">
        <f>'[1]รวมครุภัณฑ์ 70 (data)'!L268</f>
        <v>13600</v>
      </c>
      <c r="L442" s="245" t="str">
        <f t="shared" si="4"/>
        <v>เพิ่มประสิทธิภาพ</v>
      </c>
    </row>
    <row r="443" spans="1:12">
      <c r="A443" s="241" t="s">
        <v>1753</v>
      </c>
      <c r="B443" s="244">
        <f>'[1]รวมครุภัณฑ์ 70 (data)'!B269</f>
        <v>2570</v>
      </c>
      <c r="C443" s="241" t="s">
        <v>447</v>
      </c>
      <c r="D443" s="244" t="str">
        <f>'[1]รวมครุภัณฑ์ 70 (data)'!C269</f>
        <v>ครุภัณฑ์งานบ้านงานครัว</v>
      </c>
      <c r="E443" s="244" t="str">
        <f>'[1]รวมครุภัณฑ์ 70 (data)'!G269</f>
        <v>เครื่องตัดหญ้า แบบข้อแข็ง</v>
      </c>
      <c r="F443" s="244" t="str">
        <f>'[1]รวมครุภัณฑ์ 70 (data)'!H269</f>
        <v>พมจ.ชัยภูมิ</v>
      </c>
      <c r="G443" s="244" t="str">
        <f>'[1]รวมครุภัณฑ์ 70 (data)'!J269</f>
        <v>ชัยภูมิ</v>
      </c>
      <c r="H443" s="244" t="str">
        <f>IF('รวมครุภัณฑ์ 70'!Q268="","",'รวมครุภัณฑ์ 70'!Q268)</f>
        <v/>
      </c>
      <c r="I443" s="244">
        <f>IF('รวมครุภัณฑ์ 70'!R268="","",'รวมครุภัณฑ์ 70'!R268)</f>
        <v>1</v>
      </c>
      <c r="J443" s="244"/>
      <c r="K443" s="245">
        <f>'[1]รวมครุภัณฑ์ 70 (data)'!L269</f>
        <v>9500</v>
      </c>
      <c r="L443" s="245" t="str">
        <f t="shared" si="4"/>
        <v>เพิ่มประสิทธิภาพ</v>
      </c>
    </row>
    <row r="444" spans="1:12">
      <c r="A444" s="241" t="s">
        <v>1754</v>
      </c>
      <c r="B444" s="244">
        <f>'[1]รวมครุภัณฑ์ 70 (data)'!B270</f>
        <v>2570</v>
      </c>
      <c r="C444" s="241" t="s">
        <v>447</v>
      </c>
      <c r="D444" s="244" t="str">
        <f>'[1]รวมครุภัณฑ์ 70 (data)'!C270</f>
        <v>ครุภัณฑ์งานบ้านงานครัว</v>
      </c>
      <c r="E444" s="244" t="str">
        <f>'[1]รวมครุภัณฑ์ 70 (data)'!G270</f>
        <v>เครื่องตัดหญ้า แบบข้ออ่อน</v>
      </c>
      <c r="F444" s="244" t="str">
        <f>'[1]รวมครุภัณฑ์ 70 (data)'!H270</f>
        <v>พมจ.อุบลราชธานี</v>
      </c>
      <c r="G444" s="244" t="str">
        <f>'[1]รวมครุภัณฑ์ 70 (data)'!J270</f>
        <v>อุบลราชธานี</v>
      </c>
      <c r="H444" s="244" t="str">
        <f>IF('รวมครุภัณฑ์ 70'!Q269="","",'รวมครุภัณฑ์ 70'!Q269)</f>
        <v/>
      </c>
      <c r="I444" s="244">
        <f>IF('รวมครุภัณฑ์ 70'!R269="","",'รวมครุภัณฑ์ 70'!R269)</f>
        <v>1</v>
      </c>
      <c r="J444" s="244"/>
      <c r="K444" s="245">
        <f>'[1]รวมครุภัณฑ์ 70 (data)'!L270</f>
        <v>10600</v>
      </c>
      <c r="L444" s="245" t="str">
        <f t="shared" si="4"/>
        <v>เพิ่มประสิทธิภาพ</v>
      </c>
    </row>
    <row r="445" spans="1:12">
      <c r="A445" s="241" t="s">
        <v>1755</v>
      </c>
      <c r="B445" s="244">
        <f>'[1]รวมครุภัณฑ์ 70 (data)'!B271</f>
        <v>2570</v>
      </c>
      <c r="C445" s="241" t="s">
        <v>447</v>
      </c>
      <c r="D445" s="244" t="str">
        <f>'[1]รวมครุภัณฑ์ 70 (data)'!C271</f>
        <v>ครุภัณฑ์งานบ้านงานครัว</v>
      </c>
      <c r="E445" s="244" t="str">
        <f>'[1]รวมครุภัณฑ์ 70 (data)'!G271</f>
        <v>เตาอบไมโครเวฟ</v>
      </c>
      <c r="F445" s="244" t="str">
        <f>'[1]รวมครุภัณฑ์ 70 (data)'!H271</f>
        <v>พมจ.อำนาจเจริญ</v>
      </c>
      <c r="G445" s="244" t="str">
        <f>'[1]รวมครุภัณฑ์ 70 (data)'!J271</f>
        <v>อำนาจเจริญ</v>
      </c>
      <c r="H445" s="244" t="str">
        <f>IF('รวมครุภัณฑ์ 70'!Q270="","",'รวมครุภัณฑ์ 70'!Q270)</f>
        <v/>
      </c>
      <c r="I445" s="244">
        <f>IF('รวมครุภัณฑ์ 70'!R270="","",'รวมครุภัณฑ์ 70'!R270)</f>
        <v>1</v>
      </c>
      <c r="J445" s="244"/>
      <c r="K445" s="245">
        <f>'[1]รวมครุภัณฑ์ 70 (data)'!L271</f>
        <v>7600</v>
      </c>
      <c r="L445" s="245" t="str">
        <f t="shared" si="4"/>
        <v>เพิ่มประสิทธิภาพ</v>
      </c>
    </row>
    <row r="446" spans="1:12">
      <c r="A446" s="241" t="s">
        <v>1756</v>
      </c>
      <c r="B446" s="244">
        <f>'[1]รวมครุภัณฑ์ 70 (data)'!B272</f>
        <v>2570</v>
      </c>
      <c r="C446" s="241" t="s">
        <v>447</v>
      </c>
      <c r="D446" s="244" t="str">
        <f>'[1]รวมครุภัณฑ์ 70 (data)'!C272</f>
        <v>ครุภัณฑ์งานบ้านงานครัว</v>
      </c>
      <c r="E446" s="244" t="str">
        <f>'[1]รวมครุภัณฑ์ 70 (data)'!G272</f>
        <v>ผ้าม่านพร้อมติดตั้ง</v>
      </c>
      <c r="F446" s="244" t="str">
        <f>'[1]รวมครุภัณฑ์ 70 (data)'!H272</f>
        <v>พมจ.พะเยา</v>
      </c>
      <c r="G446" s="244" t="str">
        <f>'[1]รวมครุภัณฑ์ 70 (data)'!J272</f>
        <v>พะเยา</v>
      </c>
      <c r="H446" s="244" t="str">
        <f>IF('รวมครุภัณฑ์ 70'!Q271="","",'รวมครุภัณฑ์ 70'!Q271)</f>
        <v/>
      </c>
      <c r="I446" s="244">
        <f>IF('รวมครุภัณฑ์ 70'!R271="","",'รวมครุภัณฑ์ 70'!R271)</f>
        <v>1</v>
      </c>
      <c r="J446" s="244"/>
      <c r="K446" s="245">
        <f>'[1]รวมครุภัณฑ์ 70 (data)'!L272</f>
        <v>28000</v>
      </c>
      <c r="L446" s="245" t="str">
        <f t="shared" si="4"/>
        <v>เพิ่มประสิทธิภาพ</v>
      </c>
    </row>
    <row r="447" spans="1:12">
      <c r="A447" s="241" t="s">
        <v>1757</v>
      </c>
      <c r="B447" s="244">
        <f>'[1]รวมครุภัณฑ์ 70 (data)'!B273</f>
        <v>2570</v>
      </c>
      <c r="C447" s="241" t="s">
        <v>447</v>
      </c>
      <c r="D447" s="244" t="str">
        <f>'[1]รวมครุภัณฑ์ 70 (data)'!C273</f>
        <v>ครุภัณฑ์ไฟฟ้าและวิทยุ</v>
      </c>
      <c r="E447" s="244" t="str">
        <f>'[1]รวมครุภัณฑ์ 70 (data)'!G273</f>
        <v>เครื่องเสียงสำหรับห้องประชุม ไมโครโฟน พร้อมอุปกรณ์ประกอบ</v>
      </c>
      <c r="F447" s="244" t="str">
        <f>'[1]รวมครุภัณฑ์ 70 (data)'!H273</f>
        <v>พมจ.อุบลราชธานี</v>
      </c>
      <c r="G447" s="244" t="str">
        <f>'[1]รวมครุภัณฑ์ 70 (data)'!J273</f>
        <v>อุบลราชธานี</v>
      </c>
      <c r="H447" s="244">
        <f>IF('รวมครุภัณฑ์ 70'!Q272="","",'รวมครุภัณฑ์ 70'!Q272)</f>
        <v>1</v>
      </c>
      <c r="I447" s="244" t="str">
        <f>IF('รวมครุภัณฑ์ 70'!R272="","",'รวมครุภัณฑ์ 70'!R272)</f>
        <v/>
      </c>
      <c r="J447" s="244"/>
      <c r="K447" s="245">
        <f>'[1]รวมครุภัณฑ์ 70 (data)'!L273</f>
        <v>45800</v>
      </c>
      <c r="L447" s="245" t="str">
        <f t="shared" si="4"/>
        <v>ทดแทนครุภัณฑ์เดิม</v>
      </c>
    </row>
    <row r="448" spans="1:12">
      <c r="A448" s="241" t="s">
        <v>1758</v>
      </c>
      <c r="B448" s="244">
        <f>'[1]รวมครุภัณฑ์ 70 (data)'!B274</f>
        <v>2570</v>
      </c>
      <c r="C448" s="241" t="s">
        <v>447</v>
      </c>
      <c r="D448" s="244" t="str">
        <f>'[1]รวมครุภัณฑ์ 70 (data)'!C274</f>
        <v>ครุภัณฑ์ไฟฟ้าและวิทยุ</v>
      </c>
      <c r="E448" s="244" t="str">
        <f>'[1]รวมครุภัณฑ์ 70 (data)'!G274</f>
        <v>เครื่องเสียงสำหรับห้องประชุม ไมโครโฟน พร้อมอุปกรณ์ประกอบ</v>
      </c>
      <c r="F448" s="244" t="str">
        <f>'[1]รวมครุภัณฑ์ 70 (data)'!H274</f>
        <v>พมจ.ราชบุรี</v>
      </c>
      <c r="G448" s="244" t="str">
        <f>'[1]รวมครุภัณฑ์ 70 (data)'!J274</f>
        <v>ราชบุรี</v>
      </c>
      <c r="H448" s="244">
        <f>IF('รวมครุภัณฑ์ 70'!Q273="","",'รวมครุภัณฑ์ 70'!Q273)</f>
        <v>1</v>
      </c>
      <c r="I448" s="244" t="str">
        <f>IF('รวมครุภัณฑ์ 70'!R273="","",'รวมครุภัณฑ์ 70'!R273)</f>
        <v/>
      </c>
      <c r="J448" s="244"/>
      <c r="K448" s="245">
        <f>'[1]รวมครุภัณฑ์ 70 (data)'!L274</f>
        <v>150900</v>
      </c>
      <c r="L448" s="245" t="str">
        <f t="shared" si="4"/>
        <v>ทดแทนครุภัณฑ์เดิม</v>
      </c>
    </row>
    <row r="449" spans="1:12">
      <c r="A449" s="241" t="s">
        <v>1759</v>
      </c>
      <c r="B449" s="244">
        <f>'[1]รวมครุภัณฑ์ 70 (data)'!B275</f>
        <v>2570</v>
      </c>
      <c r="C449" s="241" t="s">
        <v>447</v>
      </c>
      <c r="D449" s="244" t="str">
        <f>'[1]รวมครุภัณฑ์ 70 (data)'!C275</f>
        <v>ครุภัณฑ์ไฟฟ้าและวิทยุ</v>
      </c>
      <c r="E449" s="244" t="str">
        <f>'[1]รวมครุภัณฑ์ 70 (data)'!G275</f>
        <v>เครื่องเสียงสำหรับห้องประชุม ไมโครโฟน พร้อมอุปกรณ์ประกอบ</v>
      </c>
      <c r="F449" s="244" t="str">
        <f>'[1]รวมครุภัณฑ์ 70 (data)'!H275</f>
        <v>พมจ.หนองบัวลำภู</v>
      </c>
      <c r="G449" s="244" t="str">
        <f>'[1]รวมครุภัณฑ์ 70 (data)'!J275</f>
        <v>หนองบัวลำภู</v>
      </c>
      <c r="H449" s="244" t="str">
        <f>IF('รวมครุภัณฑ์ 70'!Q274="","",'รวมครุภัณฑ์ 70'!Q274)</f>
        <v/>
      </c>
      <c r="I449" s="244">
        <f>IF('รวมครุภัณฑ์ 70'!R274="","",'รวมครุภัณฑ์ 70'!R274)</f>
        <v>1</v>
      </c>
      <c r="J449" s="244"/>
      <c r="K449" s="245">
        <f>'[1]รวมครุภัณฑ์ 70 (data)'!L275</f>
        <v>120000</v>
      </c>
      <c r="L449" s="245" t="str">
        <f t="shared" si="4"/>
        <v>เพิ่มประสิทธิภาพ</v>
      </c>
    </row>
    <row r="450" spans="1:12">
      <c r="A450" s="241" t="s">
        <v>1760</v>
      </c>
      <c r="B450" s="244">
        <f>'[1]รวมครุภัณฑ์ 70 (data)'!B276</f>
        <v>2570</v>
      </c>
      <c r="C450" s="241" t="s">
        <v>447</v>
      </c>
      <c r="D450" s="244" t="str">
        <f>'[1]รวมครุภัณฑ์ 70 (data)'!C276</f>
        <v>ครุภัณฑ์ไฟฟ้าและวิทยุ</v>
      </c>
      <c r="E450" s="244" t="str">
        <f>'[1]รวมครุภัณฑ์ 70 (data)'!G276</f>
        <v>เครื่องเสียงสำหรับห้องประชุม ไมโครโฟน พร้อมอุปกรณ์ประกอบ</v>
      </c>
      <c r="F450" s="244" t="str">
        <f>'[1]รวมครุภัณฑ์ 70 (data)'!H276</f>
        <v>พมจ.กาฬสินธุ์</v>
      </c>
      <c r="G450" s="244" t="str">
        <f>'[1]รวมครุภัณฑ์ 70 (data)'!J276</f>
        <v>กาฬสินธุ์</v>
      </c>
      <c r="H450" s="244" t="str">
        <f>IF('รวมครุภัณฑ์ 70'!Q275="","",'รวมครุภัณฑ์ 70'!Q275)</f>
        <v/>
      </c>
      <c r="I450" s="244">
        <f>IF('รวมครุภัณฑ์ 70'!R275="","",'รวมครุภัณฑ์ 70'!R275)</f>
        <v>1</v>
      </c>
      <c r="J450" s="244"/>
      <c r="K450" s="245">
        <f>'[1]รวมครุภัณฑ์ 70 (data)'!L276</f>
        <v>140000</v>
      </c>
      <c r="L450" s="245" t="str">
        <f t="shared" si="4"/>
        <v>เพิ่มประสิทธิภาพ</v>
      </c>
    </row>
    <row r="451" spans="1:12">
      <c r="A451" s="241" t="s">
        <v>1761</v>
      </c>
      <c r="B451" s="244">
        <f>'[1]รวมครุภัณฑ์ 70 (data)'!B277</f>
        <v>2570</v>
      </c>
      <c r="C451" s="241" t="s">
        <v>447</v>
      </c>
      <c r="D451" s="244" t="str">
        <f>'[1]รวมครุภัณฑ์ 70 (data)'!C277</f>
        <v>ครุภัณฑ์ไฟฟ้าและวิทยุ</v>
      </c>
      <c r="E451" s="244" t="str">
        <f>'[1]รวมครุภัณฑ์ 70 (data)'!G277</f>
        <v>เครื่องเสียงสำหรับห้องประชุม ไมโครโฟน พร้อมอุปกรณ์ประกอบ</v>
      </c>
      <c r="F451" s="244" t="str">
        <f>'[1]รวมครุภัณฑ์ 70 (data)'!H277</f>
        <v>พมจ.ตรัง</v>
      </c>
      <c r="G451" s="244" t="str">
        <f>'[1]รวมครุภัณฑ์ 70 (data)'!J277</f>
        <v>ตรัง</v>
      </c>
      <c r="H451" s="244" t="str">
        <f>IF('รวมครุภัณฑ์ 70'!Q276="","",'รวมครุภัณฑ์ 70'!Q276)</f>
        <v/>
      </c>
      <c r="I451" s="244">
        <f>IF('รวมครุภัณฑ์ 70'!R276="","",'รวมครุภัณฑ์ 70'!R276)</f>
        <v>1</v>
      </c>
      <c r="J451" s="244"/>
      <c r="K451" s="245">
        <f>'[1]รวมครุภัณฑ์ 70 (data)'!L277</f>
        <v>64100</v>
      </c>
      <c r="L451" s="245" t="str">
        <f t="shared" si="4"/>
        <v>เพิ่มประสิทธิภาพ</v>
      </c>
    </row>
    <row r="452" spans="1:12">
      <c r="A452" s="241" t="s">
        <v>1762</v>
      </c>
      <c r="B452" s="244">
        <f>'[1]รวมครุภัณฑ์ 70 (data)'!B278</f>
        <v>2570</v>
      </c>
      <c r="C452" s="241" t="s">
        <v>447</v>
      </c>
      <c r="D452" s="244" t="str">
        <f>'[1]รวมครุภัณฑ์ 70 (data)'!C278</f>
        <v>ครุภัณฑ์ไฟฟ้าและวิทยุ</v>
      </c>
      <c r="E452" s="244" t="str">
        <f>'[1]รวมครุภัณฑ์ 70 (data)'!G278</f>
        <v>เครื่องเสียงสำหรับห้องประชุม ไมโครโฟน พร้อมอุปกรณ์ประกอบ</v>
      </c>
      <c r="F452" s="244" t="str">
        <f>'[1]รวมครุภัณฑ์ 70 (data)'!H278</f>
        <v>พมจ.ศรีสะเกษ</v>
      </c>
      <c r="G452" s="244" t="str">
        <f>'[1]รวมครุภัณฑ์ 70 (data)'!J278</f>
        <v>ศรีสะเกษ</v>
      </c>
      <c r="H452" s="244" t="str">
        <f>IF('รวมครุภัณฑ์ 70'!Q277="","",'รวมครุภัณฑ์ 70'!Q277)</f>
        <v/>
      </c>
      <c r="I452" s="244">
        <f>IF('รวมครุภัณฑ์ 70'!R277="","",'รวมครุภัณฑ์ 70'!R277)</f>
        <v>1</v>
      </c>
      <c r="J452" s="244"/>
      <c r="K452" s="245">
        <f>'[1]รวมครุภัณฑ์ 70 (data)'!L278</f>
        <v>60500</v>
      </c>
      <c r="L452" s="245" t="str">
        <f t="shared" si="4"/>
        <v>เพิ่มประสิทธิภาพ</v>
      </c>
    </row>
    <row r="453" spans="1:12">
      <c r="A453" s="241" t="s">
        <v>1763</v>
      </c>
      <c r="B453" s="244">
        <f>'[1]รวมครุภัณฑ์ 70 (data)'!B279</f>
        <v>2570</v>
      </c>
      <c r="C453" s="241" t="s">
        <v>447</v>
      </c>
      <c r="D453" s="244" t="str">
        <f>'[1]รวมครุภัณฑ์ 70 (data)'!C279</f>
        <v>ครุภัณฑ์ไฟฟ้าและวิทยุ</v>
      </c>
      <c r="E453" s="244" t="str">
        <f>'[1]รวมครุภัณฑ์ 70 (data)'!G279</f>
        <v>เครื่องเสียงสำหรับห้องประชุม ไมโครโฟน พร้อมอุปกรณ์ประกอบ</v>
      </c>
      <c r="F453" s="244" t="str">
        <f>'[1]รวมครุภัณฑ์ 70 (data)'!H279</f>
        <v>พมจ.พะเยา</v>
      </c>
      <c r="G453" s="244" t="str">
        <f>'[1]รวมครุภัณฑ์ 70 (data)'!J279</f>
        <v>พะเยา</v>
      </c>
      <c r="H453" s="244">
        <f>IF('รวมครุภัณฑ์ 70'!Q278="","",'รวมครุภัณฑ์ 70'!Q278)</f>
        <v>1</v>
      </c>
      <c r="I453" s="244" t="str">
        <f>IF('รวมครุภัณฑ์ 70'!R278="","",'รวมครุภัณฑ์ 70'!R278)</f>
        <v/>
      </c>
      <c r="J453" s="244"/>
      <c r="K453" s="245">
        <f>'[1]รวมครุภัณฑ์ 70 (data)'!L279</f>
        <v>280650</v>
      </c>
      <c r="L453" s="245" t="str">
        <f t="shared" si="4"/>
        <v>ทดแทนครุภัณฑ์เดิม</v>
      </c>
    </row>
    <row r="454" spans="1:12">
      <c r="A454" s="241" t="s">
        <v>1764</v>
      </c>
      <c r="B454" s="244">
        <f>'[1]รวมครุภัณฑ์ 70 (data)'!B280</f>
        <v>2570</v>
      </c>
      <c r="C454" s="241" t="s">
        <v>447</v>
      </c>
      <c r="D454" s="244" t="str">
        <f>'[1]รวมครุภัณฑ์ 70 (data)'!C280</f>
        <v>ครุภัณฑ์ไฟฟ้าและวิทยุ</v>
      </c>
      <c r="E454" s="244" t="str">
        <f>'[1]รวมครุภัณฑ์ 70 (data)'!G280</f>
        <v>เครื่องเสียงจัดกิจกรรมเคลื่อนที่ พร้อมอุปกรณ์</v>
      </c>
      <c r="F454" s="244" t="str">
        <f>'[1]รวมครุภัณฑ์ 70 (data)'!H280</f>
        <v>พมจ.นครปฐม</v>
      </c>
      <c r="G454" s="244" t="str">
        <f>'[1]รวมครุภัณฑ์ 70 (data)'!J280</f>
        <v>นครปฐม</v>
      </c>
      <c r="H454" s="244" t="str">
        <f>IF('รวมครุภัณฑ์ 70'!Q279="","",'รวมครุภัณฑ์ 70'!Q279)</f>
        <v/>
      </c>
      <c r="I454" s="244">
        <f>IF('รวมครุภัณฑ์ 70'!R279="","",'รวมครุภัณฑ์ 70'!R279)</f>
        <v>1</v>
      </c>
      <c r="J454" s="244"/>
      <c r="K454" s="245">
        <f>'[1]รวมครุภัณฑ์ 70 (data)'!L280</f>
        <v>4990</v>
      </c>
      <c r="L454" s="245" t="str">
        <f t="shared" si="4"/>
        <v>เพิ่มประสิทธิภาพ</v>
      </c>
    </row>
    <row r="455" spans="1:12">
      <c r="A455" s="241" t="s">
        <v>1765</v>
      </c>
      <c r="B455" s="244">
        <f>'[1]รวมครุภัณฑ์ 70 (data)'!B281</f>
        <v>2570</v>
      </c>
      <c r="C455" s="241" t="s">
        <v>447</v>
      </c>
      <c r="D455" s="244" t="str">
        <f>'[1]รวมครุภัณฑ์ 70 (data)'!C281</f>
        <v>ครุภัณฑ์ไฟฟ้าและวิทยุ</v>
      </c>
      <c r="E455" s="244" t="str">
        <f>'[1]รวมครุภัณฑ์ 70 (data)'!G281</f>
        <v>เครื่องเสียงจัดกิจกรรมเคลื่อนที่ พร้อมอุปกรณ์</v>
      </c>
      <c r="F455" s="244" t="str">
        <f>'[1]รวมครุภัณฑ์ 70 (data)'!H281</f>
        <v>พมจ.กาฬสินธุ์</v>
      </c>
      <c r="G455" s="244" t="str">
        <f>'[1]รวมครุภัณฑ์ 70 (data)'!J281</f>
        <v>กาฬสินธุ์</v>
      </c>
      <c r="H455" s="244" t="str">
        <f>IF('รวมครุภัณฑ์ 70'!Q280="","",'รวมครุภัณฑ์ 70'!Q280)</f>
        <v/>
      </c>
      <c r="I455" s="244">
        <f>IF('รวมครุภัณฑ์ 70'!R280="","",'รวมครุภัณฑ์ 70'!R280)</f>
        <v>1</v>
      </c>
      <c r="J455" s="244"/>
      <c r="K455" s="245">
        <f>'[1]รวมครุภัณฑ์ 70 (data)'!L281</f>
        <v>75000</v>
      </c>
      <c r="L455" s="245" t="str">
        <f t="shared" si="4"/>
        <v>เพิ่มประสิทธิภาพ</v>
      </c>
    </row>
    <row r="456" spans="1:12">
      <c r="A456" s="241" t="s">
        <v>1766</v>
      </c>
      <c r="B456" s="244">
        <f>'[1]รวมครุภัณฑ์ 70 (data)'!B282</f>
        <v>2570</v>
      </c>
      <c r="C456" s="241" t="s">
        <v>447</v>
      </c>
      <c r="D456" s="244" t="str">
        <f>'[1]รวมครุภัณฑ์ 70 (data)'!C282</f>
        <v>ครุภัณฑ์ไฟฟ้าและวิทยุ</v>
      </c>
      <c r="E456" s="244" t="str">
        <f>'[1]รวมครุภัณฑ์ 70 (data)'!G282</f>
        <v>เครื่องเสียงจัดกิจกรรมเคลื่อนที่ พร้อมอุปกรณ์</v>
      </c>
      <c r="F456" s="244" t="str">
        <f>'[1]รวมครุภัณฑ์ 70 (data)'!H282</f>
        <v>พมจ.มุกดาหาร</v>
      </c>
      <c r="G456" s="244" t="str">
        <f>'[1]รวมครุภัณฑ์ 70 (data)'!J282</f>
        <v>มุกดาหาร</v>
      </c>
      <c r="H456" s="244" t="str">
        <f>IF('รวมครุภัณฑ์ 70'!Q281="","",'รวมครุภัณฑ์ 70'!Q281)</f>
        <v/>
      </c>
      <c r="I456" s="244">
        <f>IF('รวมครุภัณฑ์ 70'!R281="","",'รวมครุภัณฑ์ 70'!R281)</f>
        <v>1</v>
      </c>
      <c r="J456" s="244"/>
      <c r="K456" s="245">
        <f>'[1]รวมครุภัณฑ์ 70 (data)'!L282</f>
        <v>36300</v>
      </c>
      <c r="L456" s="245" t="str">
        <f t="shared" si="4"/>
        <v>เพิ่มประสิทธิภาพ</v>
      </c>
    </row>
    <row r="457" spans="1:12">
      <c r="A457" s="241" t="s">
        <v>1767</v>
      </c>
      <c r="B457" s="244">
        <f>'[1]รวมครุภัณฑ์ 70 (data)'!B283</f>
        <v>2570</v>
      </c>
      <c r="C457" s="241" t="s">
        <v>447</v>
      </c>
      <c r="D457" s="244" t="str">
        <f>'[1]รวมครุภัณฑ์ 70 (data)'!C283</f>
        <v>ครุภัณฑ์ไฟฟ้าและวิทยุ</v>
      </c>
      <c r="E457" s="244" t="str">
        <f>'[1]รวมครุภัณฑ์ 70 (data)'!G283</f>
        <v>เครื่องเสียงจัดกิจกรรมเคลื่อนที่ พร้อมอุปกรณ์</v>
      </c>
      <c r="F457" s="244" t="str">
        <f>'[1]รวมครุภัณฑ์ 70 (data)'!H283</f>
        <v>พมจ.ประจวบคีรีขันธ์</v>
      </c>
      <c r="G457" s="244" t="str">
        <f>'[1]รวมครุภัณฑ์ 70 (data)'!J283</f>
        <v>ประจวบคีรีขันธ์</v>
      </c>
      <c r="H457" s="244" t="str">
        <f>IF('รวมครุภัณฑ์ 70'!Q282="","",'รวมครุภัณฑ์ 70'!Q282)</f>
        <v/>
      </c>
      <c r="I457" s="244">
        <f>IF('รวมครุภัณฑ์ 70'!R282="","",'รวมครุภัณฑ์ 70'!R282)</f>
        <v>1</v>
      </c>
      <c r="J457" s="244"/>
      <c r="K457" s="245">
        <f>'[1]รวมครุภัณฑ์ 70 (data)'!L283</f>
        <v>9900</v>
      </c>
      <c r="L457" s="245" t="str">
        <f t="shared" si="4"/>
        <v>เพิ่มประสิทธิภาพ</v>
      </c>
    </row>
    <row r="458" spans="1:12">
      <c r="A458" s="241" t="s">
        <v>1768</v>
      </c>
      <c r="B458" s="244">
        <f>'[1]รวมครุภัณฑ์ 70 (data)'!B284</f>
        <v>2570</v>
      </c>
      <c r="C458" s="241" t="s">
        <v>447</v>
      </c>
      <c r="D458" s="244" t="str">
        <f>'[1]รวมครุภัณฑ์ 70 (data)'!C284</f>
        <v>ครุภัณฑ์ไฟฟ้าและวิทยุ</v>
      </c>
      <c r="E458" s="244" t="str">
        <f>'[1]รวมครุภัณฑ์ 70 (data)'!G284</f>
        <v>เครื่องเสียงจัดกิจกรรมเคลื่อนที่</v>
      </c>
      <c r="F458" s="244" t="str">
        <f>'[1]รวมครุภัณฑ์ 70 (data)'!H284</f>
        <v>พมจ.เพชรบุรี</v>
      </c>
      <c r="G458" s="244" t="str">
        <f>'[1]รวมครุภัณฑ์ 70 (data)'!J284</f>
        <v>เพชรบุรี</v>
      </c>
      <c r="H458" s="244" t="str">
        <f>IF('รวมครุภัณฑ์ 70'!Q283="","",'รวมครุภัณฑ์ 70'!Q283)</f>
        <v/>
      </c>
      <c r="I458" s="244">
        <f>IF('รวมครุภัณฑ์ 70'!R283="","",'รวมครุภัณฑ์ 70'!R283)</f>
        <v>1</v>
      </c>
      <c r="J458" s="244"/>
      <c r="K458" s="245">
        <f>'[1]รวมครุภัณฑ์ 70 (data)'!L284</f>
        <v>9133</v>
      </c>
      <c r="L458" s="245" t="str">
        <f t="shared" si="4"/>
        <v>เพิ่มประสิทธิภาพ</v>
      </c>
    </row>
    <row r="459" spans="1:12">
      <c r="A459" s="241" t="s">
        <v>1769</v>
      </c>
      <c r="B459" s="244">
        <f>'[1]รวมครุภัณฑ์ 70 (data)'!B285</f>
        <v>2570</v>
      </c>
      <c r="C459" s="241" t="s">
        <v>447</v>
      </c>
      <c r="D459" s="244" t="str">
        <f>'[1]รวมครุภัณฑ์ 70 (data)'!C285</f>
        <v>ครุภัณฑ์ไฟฟ้าและวิทยุ</v>
      </c>
      <c r="E459" s="244" t="str">
        <f>'[1]รวมครุภัณฑ์ 70 (data)'!G285</f>
        <v>เครื่องเสียงจัดกิจกรรมเคลื่อนที่</v>
      </c>
      <c r="F459" s="244" t="str">
        <f>'[1]รวมครุภัณฑ์ 70 (data)'!H285</f>
        <v>พมจ.เชียงใหม่</v>
      </c>
      <c r="G459" s="244" t="str">
        <f>'[1]รวมครุภัณฑ์ 70 (data)'!J285</f>
        <v>เชียงใหม่</v>
      </c>
      <c r="H459" s="244" t="str">
        <f>IF('รวมครุภัณฑ์ 70'!Q284="","",'รวมครุภัณฑ์ 70'!Q284)</f>
        <v/>
      </c>
      <c r="I459" s="244">
        <f>IF('รวมครุภัณฑ์ 70'!R284="","",'รวมครุภัณฑ์ 70'!R284)</f>
        <v>1</v>
      </c>
      <c r="J459" s="244"/>
      <c r="K459" s="245">
        <f>'[1]รวมครุภัณฑ์ 70 (data)'!L285</f>
        <v>39000</v>
      </c>
      <c r="L459" s="245" t="str">
        <f t="shared" si="4"/>
        <v>เพิ่มประสิทธิภาพ</v>
      </c>
    </row>
    <row r="460" spans="1:12">
      <c r="A460" s="241" t="s">
        <v>1770</v>
      </c>
      <c r="B460" s="244">
        <f>'[1]รวมครุภัณฑ์ 70 (data)'!B286</f>
        <v>2570</v>
      </c>
      <c r="C460" s="241" t="s">
        <v>447</v>
      </c>
      <c r="D460" s="244" t="str">
        <f>'[1]รวมครุภัณฑ์ 70 (data)'!C286</f>
        <v>ครุภัณฑ์ไฟฟ้าและวิทยุ</v>
      </c>
      <c r="E460" s="244" t="str">
        <f>'[1]รวมครุภัณฑ์ 70 (data)'!G286</f>
        <v>เครื่องเสียงจัดกิจกรรมเคลื่อนที่</v>
      </c>
      <c r="F460" s="244" t="str">
        <f>'[1]รวมครุภัณฑ์ 70 (data)'!H286</f>
        <v>พมจ.น่าน</v>
      </c>
      <c r="G460" s="244" t="str">
        <f>'[1]รวมครุภัณฑ์ 70 (data)'!J286</f>
        <v>น่าน</v>
      </c>
      <c r="H460" s="244" t="str">
        <f>IF('รวมครุภัณฑ์ 70'!Q285="","",'รวมครุภัณฑ์ 70'!Q285)</f>
        <v/>
      </c>
      <c r="I460" s="244">
        <f>IF('รวมครุภัณฑ์ 70'!R285="","",'รวมครุภัณฑ์ 70'!R285)</f>
        <v>1</v>
      </c>
      <c r="J460" s="244"/>
      <c r="K460" s="245">
        <f>'[1]รวมครุภัณฑ์ 70 (data)'!L286</f>
        <v>6900</v>
      </c>
      <c r="L460" s="245" t="str">
        <f t="shared" si="4"/>
        <v>เพิ่มประสิทธิภาพ</v>
      </c>
    </row>
    <row r="461" spans="1:12">
      <c r="A461" s="241" t="s">
        <v>1771</v>
      </c>
      <c r="B461" s="244">
        <f>'[1]รวมครุภัณฑ์ 70 (data)'!B287</f>
        <v>2570</v>
      </c>
      <c r="C461" s="241" t="s">
        <v>447</v>
      </c>
      <c r="D461" s="244" t="str">
        <f>'[1]รวมครุภัณฑ์ 70 (data)'!C287</f>
        <v>ครุภัณฑ์ไฟฟ้าและวิทยุ</v>
      </c>
      <c r="E461" s="244" t="str">
        <f>'[1]รวมครุภัณฑ์ 70 (data)'!G287</f>
        <v>ชุดไมโครโฟนไร้สาย</v>
      </c>
      <c r="F461" s="244" t="str">
        <f>'[1]รวมครุภัณฑ์ 70 (data)'!H287</f>
        <v>พมจ.เพชรบุรี</v>
      </c>
      <c r="G461" s="244" t="str">
        <f>'[1]รวมครุภัณฑ์ 70 (data)'!J287</f>
        <v>เพชรบุรี</v>
      </c>
      <c r="H461" s="244" t="str">
        <f>IF('รวมครุภัณฑ์ 70'!Q286="","",'รวมครุภัณฑ์ 70'!Q286)</f>
        <v/>
      </c>
      <c r="I461" s="244">
        <f>IF('รวมครุภัณฑ์ 70'!R286="","",'รวมครุภัณฑ์ 70'!R286)</f>
        <v>1</v>
      </c>
      <c r="J461" s="244"/>
      <c r="K461" s="245">
        <f>'[1]รวมครุภัณฑ์ 70 (data)'!L287</f>
        <v>4133</v>
      </c>
      <c r="L461" s="245" t="str">
        <f t="shared" si="4"/>
        <v>เพิ่มประสิทธิภาพ</v>
      </c>
    </row>
    <row r="462" spans="1:12">
      <c r="A462" s="241" t="s">
        <v>1772</v>
      </c>
      <c r="B462" s="244">
        <f>'[1]รวมครุภัณฑ์ 70 (data)'!B288</f>
        <v>2570</v>
      </c>
      <c r="C462" s="241" t="s">
        <v>447</v>
      </c>
      <c r="D462" s="244" t="str">
        <f>'[1]รวมครุภัณฑ์ 70 (data)'!C288</f>
        <v>ครุภัณฑ์ไฟฟ้าและวิทยุ</v>
      </c>
      <c r="E462" s="244" t="str">
        <f>'[1]รวมครุภัณฑ์ 70 (data)'!G288</f>
        <v>ชุดไมโครโฟนห้องประชุม</v>
      </c>
      <c r="F462" s="244" t="str">
        <f>'[1]รวมครุภัณฑ์ 70 (data)'!H288</f>
        <v>พมจ.ลำปาง</v>
      </c>
      <c r="G462" s="244" t="str">
        <f>'[1]รวมครุภัณฑ์ 70 (data)'!J288</f>
        <v>ลำปาง</v>
      </c>
      <c r="H462" s="244" t="str">
        <f>IF('รวมครุภัณฑ์ 70'!Q287="","",'รวมครุภัณฑ์ 70'!Q287)</f>
        <v/>
      </c>
      <c r="I462" s="244">
        <f>IF('รวมครุภัณฑ์ 70'!R287="","",'รวมครุภัณฑ์ 70'!R287)</f>
        <v>1</v>
      </c>
      <c r="J462" s="244"/>
      <c r="K462" s="245">
        <f>'[1]รวมครุภัณฑ์ 70 (data)'!L288</f>
        <v>29000</v>
      </c>
      <c r="L462" s="245" t="str">
        <f t="shared" si="4"/>
        <v>เพิ่มประสิทธิภาพ</v>
      </c>
    </row>
    <row r="463" spans="1:12">
      <c r="A463" s="241" t="s">
        <v>1773</v>
      </c>
      <c r="B463" s="244">
        <f>'[1]รวมครุภัณฑ์ 70 (data)'!B289</f>
        <v>2570</v>
      </c>
      <c r="C463" s="241" t="s">
        <v>447</v>
      </c>
      <c r="D463" s="244" t="str">
        <f>'[1]รวมครุภัณฑ์ 70 (data)'!C289</f>
        <v>ครุภัณฑ์ไฟฟ้าและวิทยุ</v>
      </c>
      <c r="E463" s="244" t="str">
        <f>'[1]รวมครุภัณฑ์ 70 (data)'!G289</f>
        <v>ชุดไมโครโฟนห้องประชุม</v>
      </c>
      <c r="F463" s="244" t="str">
        <f>'[1]รวมครุภัณฑ์ 70 (data)'!H289</f>
        <v>พมจ.มหาสารคาม</v>
      </c>
      <c r="G463" s="244" t="str">
        <f>'[1]รวมครุภัณฑ์ 70 (data)'!J289</f>
        <v>มหาสารคาม</v>
      </c>
      <c r="H463" s="244" t="str">
        <f>IF('รวมครุภัณฑ์ 70'!Q288="","",'รวมครุภัณฑ์ 70'!Q288)</f>
        <v/>
      </c>
      <c r="I463" s="244">
        <f>IF('รวมครุภัณฑ์ 70'!R288="","",'รวมครุภัณฑ์ 70'!R288)</f>
        <v>10</v>
      </c>
      <c r="J463" s="244"/>
      <c r="K463" s="245">
        <f>'[1]รวมครุภัณฑ์ 70 (data)'!L289</f>
        <v>42500</v>
      </c>
      <c r="L463" s="245" t="str">
        <f t="shared" si="4"/>
        <v>เพิ่มประสิทธิภาพ</v>
      </c>
    </row>
    <row r="464" spans="1:12">
      <c r="A464" s="241" t="s">
        <v>1774</v>
      </c>
      <c r="B464" s="244">
        <f>'[1]รวมครุภัณฑ์ 70 (data)'!B290</f>
        <v>2570</v>
      </c>
      <c r="C464" s="241" t="s">
        <v>447</v>
      </c>
      <c r="D464" s="244" t="str">
        <f>'[1]รวมครุภัณฑ์ 70 (data)'!C290</f>
        <v>ครุภัณฑ์ไฟฟ้าและวิทยุ</v>
      </c>
      <c r="E464" s="244" t="str">
        <f>'[1]รวมครุภัณฑ์ 70 (data)'!G290</f>
        <v>ชุดไมโครโฟนห้องประชุม</v>
      </c>
      <c r="F464" s="244" t="str">
        <f>'[1]รวมครุภัณฑ์ 70 (data)'!H290</f>
        <v>พมจ.เพชรบุรี</v>
      </c>
      <c r="G464" s="244" t="str">
        <f>'[1]รวมครุภัณฑ์ 70 (data)'!J290</f>
        <v>เพชรบุรี</v>
      </c>
      <c r="H464" s="244">
        <f>IF('รวมครุภัณฑ์ 70'!Q289="","",'รวมครุภัณฑ์ 70'!Q289)</f>
        <v>1</v>
      </c>
      <c r="I464" s="244" t="str">
        <f>IF('รวมครุภัณฑ์ 70'!R289="","",'รวมครุภัณฑ์ 70'!R289)</f>
        <v/>
      </c>
      <c r="J464" s="244"/>
      <c r="K464" s="245">
        <f>'[1]รวมครุภัณฑ์ 70 (data)'!L290</f>
        <v>76000</v>
      </c>
      <c r="L464" s="245" t="str">
        <f t="shared" si="4"/>
        <v>ทดแทนครุภัณฑ์เดิม</v>
      </c>
    </row>
    <row r="465" spans="1:12">
      <c r="A465" s="241" t="s">
        <v>1775</v>
      </c>
      <c r="B465" s="244">
        <f>'[1]รวมครุภัณฑ์ 70 (data)'!B291</f>
        <v>2570</v>
      </c>
      <c r="C465" s="241" t="s">
        <v>447</v>
      </c>
      <c r="D465" s="244" t="str">
        <f>'[1]รวมครุภัณฑ์ 70 (data)'!C291</f>
        <v>ครุภัณฑ์ไฟฟ้าและวิทยุ</v>
      </c>
      <c r="E465" s="244" t="str">
        <f>'[1]รวมครุภัณฑ์ 70 (data)'!G291</f>
        <v>ชุดไมโครโฟนห้องประชุม</v>
      </c>
      <c r="F465" s="244" t="str">
        <f>'[1]รวมครุภัณฑ์ 70 (data)'!H291</f>
        <v>พมจ.มุกดาหาร</v>
      </c>
      <c r="G465" s="244" t="str">
        <f>'[1]รวมครุภัณฑ์ 70 (data)'!J291</f>
        <v>มุกดาหาร</v>
      </c>
      <c r="H465" s="244" t="str">
        <f>IF('รวมครุภัณฑ์ 70'!Q290="","",'รวมครุภัณฑ์ 70'!Q290)</f>
        <v/>
      </c>
      <c r="I465" s="244">
        <f>IF('รวมครุภัณฑ์ 70'!R290="","",'รวมครุภัณฑ์ 70'!R290)</f>
        <v>20</v>
      </c>
      <c r="J465" s="244"/>
      <c r="K465" s="245">
        <f>'[1]รวมครุภัณฑ์ 70 (data)'!L291</f>
        <v>76000</v>
      </c>
      <c r="L465" s="245" t="str">
        <f t="shared" si="4"/>
        <v>เพิ่มประสิทธิภาพ</v>
      </c>
    </row>
    <row r="466" spans="1:12">
      <c r="A466" s="241" t="s">
        <v>1776</v>
      </c>
      <c r="B466" s="244">
        <f>'[1]รวมครุภัณฑ์ 70 (data)'!B292</f>
        <v>2570</v>
      </c>
      <c r="C466" s="241" t="s">
        <v>447</v>
      </c>
      <c r="D466" s="244" t="str">
        <f>'[1]รวมครุภัณฑ์ 70 (data)'!C292</f>
        <v>ครุภัณฑ์ไฟฟ้าและวิทยุ</v>
      </c>
      <c r="E466" s="244" t="str">
        <f>'[1]รวมครุภัณฑ์ 70 (data)'!G292</f>
        <v>ชุดไมโครโฟนห้องประชุม</v>
      </c>
      <c r="F466" s="244" t="str">
        <f>'[1]รวมครุภัณฑ์ 70 (data)'!H292</f>
        <v>พมจ.นราธิวาส</v>
      </c>
      <c r="G466" s="244" t="str">
        <f>'[1]รวมครุภัณฑ์ 70 (data)'!J292</f>
        <v>นราธิวาส</v>
      </c>
      <c r="H466" s="244" t="str">
        <f>IF('รวมครุภัณฑ์ 70'!Q291="","",'รวมครุภัณฑ์ 70'!Q291)</f>
        <v/>
      </c>
      <c r="I466" s="244">
        <f>IF('รวมครุภัณฑ์ 70'!R291="","",'รวมครุภัณฑ์ 70'!R291)</f>
        <v>1</v>
      </c>
      <c r="J466" s="244"/>
      <c r="K466" s="245">
        <f>'[1]รวมครุภัณฑ์ 70 (data)'!L292</f>
        <v>90980</v>
      </c>
      <c r="L466" s="245" t="str">
        <f t="shared" si="4"/>
        <v>เพิ่มประสิทธิภาพ</v>
      </c>
    </row>
    <row r="467" spans="1:12">
      <c r="A467" s="241" t="s">
        <v>1777</v>
      </c>
      <c r="B467" s="244">
        <f>'[1]รวมครุภัณฑ์ 70 (data)'!B293</f>
        <v>2570</v>
      </c>
      <c r="C467" s="241" t="s">
        <v>447</v>
      </c>
      <c r="D467" s="244" t="str">
        <f>'[1]รวมครุภัณฑ์ 70 (data)'!C293</f>
        <v>ครุภัณฑ์ไฟฟ้าและวิทยุ</v>
      </c>
      <c r="E467" s="244" t="str">
        <f>'[1]รวมครุภัณฑ์ 70 (data)'!G293</f>
        <v>ชุดไมโครโฟนห้องประชุม</v>
      </c>
      <c r="F467" s="244" t="str">
        <f>'[1]รวมครุภัณฑ์ 70 (data)'!H293</f>
        <v>พมจ.กาฬสินธุ์</v>
      </c>
      <c r="G467" s="244" t="str">
        <f>'[1]รวมครุภัณฑ์ 70 (data)'!J293</f>
        <v>กาฬสินธุ์</v>
      </c>
      <c r="H467" s="244">
        <f>IF('รวมครุภัณฑ์ 70'!Q292="","",'รวมครุภัณฑ์ 70'!Q292)</f>
        <v>1</v>
      </c>
      <c r="I467" s="244" t="str">
        <f>IF('รวมครุภัณฑ์ 70'!R292="","",'รวมครุภัณฑ์ 70'!R292)</f>
        <v/>
      </c>
      <c r="J467" s="244"/>
      <c r="K467" s="245">
        <f>'[1]รวมครุภัณฑ์ 70 (data)'!L293</f>
        <v>140000</v>
      </c>
      <c r="L467" s="245" t="str">
        <f t="shared" si="4"/>
        <v>ทดแทนครุภัณฑ์เดิม</v>
      </c>
    </row>
    <row r="468" spans="1:12">
      <c r="A468" s="241" t="s">
        <v>1778</v>
      </c>
      <c r="B468" s="244">
        <f>'[1]รวมครุภัณฑ์ 70 (data)'!B294</f>
        <v>2570</v>
      </c>
      <c r="C468" s="241" t="s">
        <v>447</v>
      </c>
      <c r="D468" s="244" t="str">
        <f>'[1]รวมครุภัณฑ์ 70 (data)'!C294</f>
        <v>ครุภัณฑ์ไฟฟ้าและวิทยุ</v>
      </c>
      <c r="E468" s="244" t="str">
        <f>'[1]รวมครุภัณฑ์ 70 (data)'!G294</f>
        <v>เครื่องงรับ - ส่งวิทยุ ระบบ VHF/FM ชนิดมือถือ 5 วัตต์</v>
      </c>
      <c r="F468" s="244" t="str">
        <f>'[1]รวมครุภัณฑ์ 70 (data)'!H294</f>
        <v>พมจ.พระนครศรีอยุธยา</v>
      </c>
      <c r="G468" s="244" t="str">
        <f>'[1]รวมครุภัณฑ์ 70 (data)'!J294</f>
        <v>พระนครศรีอยุธยา</v>
      </c>
      <c r="H468" s="244" t="str">
        <f>IF('รวมครุภัณฑ์ 70'!Q293="","",'รวมครุภัณฑ์ 70'!Q293)</f>
        <v/>
      </c>
      <c r="I468" s="244">
        <f>IF('รวมครุภัณฑ์ 70'!R293="","",'รวมครุภัณฑ์ 70'!R293)</f>
        <v>6</v>
      </c>
      <c r="J468" s="244"/>
      <c r="K468" s="245">
        <f>'[1]รวมครุภัณฑ์ 70 (data)'!L294</f>
        <v>72000</v>
      </c>
      <c r="L468" s="245" t="str">
        <f t="shared" si="4"/>
        <v>เพิ่มประสิทธิภาพ</v>
      </c>
    </row>
    <row r="469" spans="1:12">
      <c r="A469" s="241" t="s">
        <v>1779</v>
      </c>
      <c r="B469" s="244">
        <f>'[1]รวมครุภัณฑ์ 70 (data)'!B295</f>
        <v>2570</v>
      </c>
      <c r="C469" s="241" t="s">
        <v>447</v>
      </c>
      <c r="D469" s="244" t="str">
        <f>'[1]รวมครุภัณฑ์ 70 (data)'!C295</f>
        <v>ครุภัณฑ์ยานพาหนะและขนส่ง</v>
      </c>
      <c r="E469" s="244" t="str">
        <f>'[1]รวมครุภัณฑ์ 70 (data)'!G295</f>
        <v>รถโดยสารขนาด 12 ที่นั่ง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69" s="244" t="str">
        <f>'[1]รวมครุภัณฑ์ 70 (data)'!H295</f>
        <v>พมจ.จันทบุรี</v>
      </c>
      <c r="G469" s="244" t="str">
        <f>'[1]รวมครุภัณฑ์ 70 (data)'!J295</f>
        <v>จันทบุรี</v>
      </c>
      <c r="H469" s="244">
        <f>IF('รวมครุภัณฑ์ 70'!Q294="","",'รวมครุภัณฑ์ 70'!Q294)</f>
        <v>1</v>
      </c>
      <c r="I469" s="244" t="str">
        <f>IF('รวมครุภัณฑ์ 70'!R294="","",'รวมครุภัณฑ์ 70'!R294)</f>
        <v/>
      </c>
      <c r="J469" s="244"/>
      <c r="K469" s="245">
        <f>'[1]รวมครุภัณฑ์ 70 (data)'!L295</f>
        <v>1498000</v>
      </c>
      <c r="L469" s="245" t="str">
        <f t="shared" si="4"/>
        <v>ทดแทนครุภัณฑ์เดิม</v>
      </c>
    </row>
    <row r="470" spans="1:12">
      <c r="A470" s="241" t="s">
        <v>1780</v>
      </c>
      <c r="B470" s="244">
        <f>'[1]รวมครุภัณฑ์ 70 (data)'!B296</f>
        <v>2570</v>
      </c>
      <c r="C470" s="241" t="s">
        <v>447</v>
      </c>
      <c r="D470" s="244" t="str">
        <f>'[1]รวมครุภัณฑ์ 70 (data)'!C296</f>
        <v>ครุภัณฑ์ยานพาหนะและขนส่ง</v>
      </c>
      <c r="E470" s="244" t="str">
        <f>'[1]รวมครุภัณฑ์ 70 (data)'!G296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70" s="244" t="str">
        <f>'[1]รวมครุภัณฑ์ 70 (data)'!H296</f>
        <v>พมจ.ชัยนาท</v>
      </c>
      <c r="G470" s="244" t="str">
        <f>'[1]รวมครุภัณฑ์ 70 (data)'!J296</f>
        <v>ชัยนาท</v>
      </c>
      <c r="H470" s="244">
        <f>IF('รวมครุภัณฑ์ 70'!Q295="","",'รวมครุภัณฑ์ 70'!Q295)</f>
        <v>1</v>
      </c>
      <c r="I470" s="244" t="str">
        <f>IF('รวมครุภัณฑ์ 70'!R295="","",'รวมครุภัณฑ์ 70'!R295)</f>
        <v/>
      </c>
      <c r="J470" s="244"/>
      <c r="K470" s="245">
        <f>'[1]รวมครุภัณฑ์ 70 (data)'!L296</f>
        <v>1498000</v>
      </c>
      <c r="L470" s="245" t="str">
        <f t="shared" si="4"/>
        <v>ทดแทนครุภัณฑ์เดิม</v>
      </c>
    </row>
    <row r="471" spans="1:12">
      <c r="A471" s="241" t="s">
        <v>1781</v>
      </c>
      <c r="B471" s="244">
        <f>'[1]รวมครุภัณฑ์ 70 (data)'!B297</f>
        <v>2570</v>
      </c>
      <c r="C471" s="241" t="s">
        <v>447</v>
      </c>
      <c r="D471" s="244" t="str">
        <f>'[1]รวมครุภัณฑ์ 70 (data)'!C297</f>
        <v>ครุภัณฑ์ยานพาหนะและขนส่ง</v>
      </c>
      <c r="E471" s="244" t="str">
        <f>'[1]รวมครุภัณฑ์ 70 (data)'!G297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71" s="244" t="str">
        <f>'[1]รวมครุภัณฑ์ 70 (data)'!H297</f>
        <v>พมจ.นราธิวาส</v>
      </c>
      <c r="G471" s="244" t="str">
        <f>'[1]รวมครุภัณฑ์ 70 (data)'!J297</f>
        <v>นราธิวาส</v>
      </c>
      <c r="H471" s="244">
        <f>IF('รวมครุภัณฑ์ 70'!Q296="","",'รวมครุภัณฑ์ 70'!Q296)</f>
        <v>1</v>
      </c>
      <c r="I471" s="244" t="str">
        <f>IF('รวมครุภัณฑ์ 70'!R296="","",'รวมครุภัณฑ์ 70'!R296)</f>
        <v/>
      </c>
      <c r="J471" s="244"/>
      <c r="K471" s="245">
        <f>'[1]รวมครุภัณฑ์ 70 (data)'!L297</f>
        <v>1498000</v>
      </c>
      <c r="L471" s="245" t="str">
        <f t="shared" si="4"/>
        <v>ทดแทนครุภัณฑ์เดิม</v>
      </c>
    </row>
    <row r="472" spans="1:12">
      <c r="A472" s="241" t="s">
        <v>1782</v>
      </c>
      <c r="B472" s="244">
        <f>'[1]รวมครุภัณฑ์ 70 (data)'!B298</f>
        <v>2570</v>
      </c>
      <c r="C472" s="241" t="s">
        <v>447</v>
      </c>
      <c r="D472" s="244" t="str">
        <f>'[1]รวมครุภัณฑ์ 70 (data)'!C298</f>
        <v>ครุภัณฑ์ยานพาหนะและขนส่ง</v>
      </c>
      <c r="E472" s="244" t="str">
        <f>'[1]รวมครุภัณฑ์ 70 (data)'!G298</f>
        <v>รถโดยสารขนาด 12 ที่นัjง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72" s="244" t="str">
        <f>'[1]รวมครุภัณฑ์ 70 (data)'!H298</f>
        <v>พมจ.ปัตตานี</v>
      </c>
      <c r="G472" s="244" t="str">
        <f>'[1]รวมครุภัณฑ์ 70 (data)'!J298</f>
        <v>ปัตตานี</v>
      </c>
      <c r="H472" s="244">
        <f>IF('รวมครุภัณฑ์ 70'!Q297="","",'รวมครุภัณฑ์ 70'!Q297)</f>
        <v>1</v>
      </c>
      <c r="I472" s="244" t="str">
        <f>IF('รวมครุภัณฑ์ 70'!R297="","",'รวมครุภัณฑ์ 70'!R297)</f>
        <v/>
      </c>
      <c r="J472" s="244"/>
      <c r="K472" s="245">
        <f>'[1]รวมครุภัณฑ์ 70 (data)'!L298</f>
        <v>1498000</v>
      </c>
      <c r="L472" s="245" t="str">
        <f t="shared" si="4"/>
        <v>ทดแทนครุภัณฑ์เดิม</v>
      </c>
    </row>
    <row r="473" spans="1:12">
      <c r="A473" s="241" t="s">
        <v>1783</v>
      </c>
      <c r="B473" s="244">
        <f>'[1]รวมครุภัณฑ์ 70 (data)'!B299</f>
        <v>2570</v>
      </c>
      <c r="C473" s="241" t="s">
        <v>447</v>
      </c>
      <c r="D473" s="244" t="str">
        <f>'[1]รวมครุภัณฑ์ 70 (data)'!C299</f>
        <v>ครุภัณฑ์ยานพาหนะและขนส่ง</v>
      </c>
      <c r="E473" s="244" t="str">
        <f>'[1]รวมครุภัณฑ์ 70 (data)'!G299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73" s="244" t="str">
        <f>'[1]รวมครุภัณฑ์ 70 (data)'!H299</f>
        <v>พมจ.พัทลุง</v>
      </c>
      <c r="G473" s="244" t="str">
        <f>'[1]รวมครุภัณฑ์ 70 (data)'!J299</f>
        <v>พัทลุง</v>
      </c>
      <c r="H473" s="244">
        <f>IF('รวมครุภัณฑ์ 70'!Q298="","",'รวมครุภัณฑ์ 70'!Q298)</f>
        <v>1</v>
      </c>
      <c r="I473" s="244" t="str">
        <f>IF('รวมครุภัณฑ์ 70'!R298="","",'รวมครุภัณฑ์ 70'!R298)</f>
        <v/>
      </c>
      <c r="J473" s="244"/>
      <c r="K473" s="245">
        <f>'[1]รวมครุภัณฑ์ 70 (data)'!L299</f>
        <v>1498000</v>
      </c>
      <c r="L473" s="245" t="str">
        <f t="shared" si="4"/>
        <v>ทดแทนครุภัณฑ์เดิม</v>
      </c>
    </row>
    <row r="474" spans="1:12">
      <c r="A474" s="241" t="s">
        <v>1784</v>
      </c>
      <c r="B474" s="244">
        <f>'[1]รวมครุภัณฑ์ 70 (data)'!B300</f>
        <v>2570</v>
      </c>
      <c r="C474" s="241" t="s">
        <v>447</v>
      </c>
      <c r="D474" s="244" t="str">
        <f>'[1]รวมครุภัณฑ์ 70 (data)'!C300</f>
        <v>ครุภัณฑ์ยานพาหนะและขนส่ง</v>
      </c>
      <c r="E474" s="244" t="str">
        <f>'[1]รวมครุภัณฑ์ 70 (data)'!G300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74" s="244" t="str">
        <f>'[1]รวมครุภัณฑ์ 70 (data)'!H300</f>
        <v>พมจ.สระแก้ว</v>
      </c>
      <c r="G474" s="244" t="str">
        <f>'[1]รวมครุภัณฑ์ 70 (data)'!J300</f>
        <v>สระแก้ว</v>
      </c>
      <c r="H474" s="244">
        <f>IF('รวมครุภัณฑ์ 70'!Q299="","",'รวมครุภัณฑ์ 70'!Q299)</f>
        <v>1</v>
      </c>
      <c r="I474" s="244" t="str">
        <f>IF('รวมครุภัณฑ์ 70'!R299="","",'รวมครุภัณฑ์ 70'!R299)</f>
        <v/>
      </c>
      <c r="J474" s="244"/>
      <c r="K474" s="245">
        <f>'[1]รวมครุภัณฑ์ 70 (data)'!L300</f>
        <v>1498000</v>
      </c>
      <c r="L474" s="245" t="str">
        <f t="shared" si="4"/>
        <v>ทดแทนครุภัณฑ์เดิม</v>
      </c>
    </row>
    <row r="475" spans="1:12">
      <c r="A475" s="241" t="s">
        <v>1785</v>
      </c>
      <c r="B475" s="244">
        <f>'[1]รวมครุภัณฑ์ 70 (data)'!B301</f>
        <v>2570</v>
      </c>
      <c r="C475" s="241" t="s">
        <v>447</v>
      </c>
      <c r="D475" s="244" t="str">
        <f>'[1]รวมครุภัณฑ์ 70 (data)'!C301</f>
        <v>ครุภัณฑ์ยานพาหนะและขนส่ง</v>
      </c>
      <c r="E475" s="244" t="str">
        <f>'[1]รวมครุภัณฑ์ 70 (data)'!G301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75" s="244" t="str">
        <f>'[1]รวมครุภัณฑ์ 70 (data)'!H301</f>
        <v>พมจ.สิงห์บุรี</v>
      </c>
      <c r="G475" s="244" t="str">
        <f>'[1]รวมครุภัณฑ์ 70 (data)'!J301</f>
        <v>สิงห์บุรี</v>
      </c>
      <c r="H475" s="244">
        <f>IF('รวมครุภัณฑ์ 70'!Q300="","",'รวมครุภัณฑ์ 70'!Q300)</f>
        <v>1</v>
      </c>
      <c r="I475" s="244" t="str">
        <f>IF('รวมครุภัณฑ์ 70'!R300="","",'รวมครุภัณฑ์ 70'!R300)</f>
        <v/>
      </c>
      <c r="J475" s="244"/>
      <c r="K475" s="245">
        <f>'[1]รวมครุภัณฑ์ 70 (data)'!L301</f>
        <v>1498000</v>
      </c>
      <c r="L475" s="245" t="str">
        <f t="shared" si="4"/>
        <v>ทดแทนครุภัณฑ์เดิม</v>
      </c>
    </row>
    <row r="476" spans="1:12">
      <c r="A476" s="241" t="s">
        <v>1786</v>
      </c>
      <c r="B476" s="244">
        <f>'[1]รวมครุภัณฑ์ 70 (data)'!B302</f>
        <v>2570</v>
      </c>
      <c r="C476" s="241" t="s">
        <v>447</v>
      </c>
      <c r="D476" s="244" t="str">
        <f>'[1]รวมครุภัณฑ์ 70 (data)'!C302</f>
        <v>ครุภัณฑ์ยานพาหนะและขนส่ง</v>
      </c>
      <c r="E476" s="244" t="str">
        <f>'[1]รวมครุภัณฑ์ 70 (data)'!G302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76" s="244" t="str">
        <f>'[1]รวมครุภัณฑ์ 70 (data)'!H302</f>
        <v>พมจ.สุรินทร์</v>
      </c>
      <c r="G476" s="244" t="str">
        <f>'[1]รวมครุภัณฑ์ 70 (data)'!J302</f>
        <v>สุรินทร์</v>
      </c>
      <c r="H476" s="244">
        <f>IF('รวมครุภัณฑ์ 70'!Q301="","",'รวมครุภัณฑ์ 70'!Q301)</f>
        <v>1</v>
      </c>
      <c r="I476" s="244" t="str">
        <f>IF('รวมครุภัณฑ์ 70'!R301="","",'รวมครุภัณฑ์ 70'!R301)</f>
        <v/>
      </c>
      <c r="J476" s="244"/>
      <c r="K476" s="245">
        <f>'[1]รวมครุภัณฑ์ 70 (data)'!L302</f>
        <v>1498000</v>
      </c>
      <c r="L476" s="245" t="str">
        <f t="shared" si="4"/>
        <v>ทดแทนครุภัณฑ์เดิม</v>
      </c>
    </row>
    <row r="477" spans="1:12">
      <c r="A477" s="241" t="s">
        <v>1787</v>
      </c>
      <c r="B477" s="244">
        <f>'[1]รวมครุภัณฑ์ 70 (data)'!B303</f>
        <v>2570</v>
      </c>
      <c r="C477" s="241" t="s">
        <v>447</v>
      </c>
      <c r="D477" s="244" t="str">
        <f>'[1]รวมครุภัณฑ์ 70 (data)'!C303</f>
        <v>ครุภัณฑ์ยานพาหนะและขนส่ง</v>
      </c>
      <c r="E477" s="244" t="str">
        <f>'[1]รวมครุภัณฑ์ 70 (data)'!G303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77" s="244" t="str">
        <f>'[1]รวมครุภัณฑ์ 70 (data)'!H303</f>
        <v>พมจ.อุตรดิตถ์</v>
      </c>
      <c r="G477" s="244" t="str">
        <f>'[1]รวมครุภัณฑ์ 70 (data)'!J303</f>
        <v>อุตรดิตถ์</v>
      </c>
      <c r="H477" s="244">
        <f>IF('รวมครุภัณฑ์ 70'!Q302="","",'รวมครุภัณฑ์ 70'!Q302)</f>
        <v>1</v>
      </c>
      <c r="I477" s="244" t="str">
        <f>IF('รวมครุภัณฑ์ 70'!R302="","",'รวมครุภัณฑ์ 70'!R302)</f>
        <v/>
      </c>
      <c r="J477" s="244"/>
      <c r="K477" s="245">
        <f>'[1]รวมครุภัณฑ์ 70 (data)'!L303</f>
        <v>1498000</v>
      </c>
      <c r="L477" s="245" t="str">
        <f t="shared" si="4"/>
        <v>ทดแทนครุภัณฑ์เดิม</v>
      </c>
    </row>
    <row r="478" spans="1:12">
      <c r="A478" s="241" t="s">
        <v>1788</v>
      </c>
      <c r="B478" s="244">
        <f>'[1]รวมครุภัณฑ์ 70 (data)'!B304</f>
        <v>2570</v>
      </c>
      <c r="C478" s="241" t="s">
        <v>447</v>
      </c>
      <c r="D478" s="244" t="str">
        <f>'[1]รวมครุภัณฑ์ 70 (data)'!C304</f>
        <v>ครุภัณฑ์ยานพาหนะและขนส่ง</v>
      </c>
      <c r="E478" s="244" t="str">
        <f>'[1]รวมครุภัณฑ์ 70 (data)'!G304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78" s="244" t="str">
        <f>'[1]รวมครุภัณฑ์ 70 (data)'!H304</f>
        <v>พมจ.ปราจีนบุรี</v>
      </c>
      <c r="G478" s="244" t="str">
        <f>'[1]รวมครุภัณฑ์ 70 (data)'!J304</f>
        <v>ปราจีนบุรี</v>
      </c>
      <c r="H478" s="244">
        <f>IF('รวมครุภัณฑ์ 70'!Q303="","",'รวมครุภัณฑ์ 70'!Q303)</f>
        <v>1</v>
      </c>
      <c r="I478" s="244" t="str">
        <f>IF('รวมครุภัณฑ์ 70'!R303="","",'รวมครุภัณฑ์ 70'!R303)</f>
        <v/>
      </c>
      <c r="J478" s="244"/>
      <c r="K478" s="245">
        <f>'[1]รวมครุภัณฑ์ 70 (data)'!L304</f>
        <v>1498000</v>
      </c>
      <c r="L478" s="245" t="str">
        <f t="shared" si="4"/>
        <v>ทดแทนครุภัณฑ์เดิม</v>
      </c>
    </row>
    <row r="479" spans="1:12">
      <c r="A479" s="241" t="s">
        <v>1789</v>
      </c>
      <c r="B479" s="244">
        <f>'[1]รวมครุภัณฑ์ 70 (data)'!B305</f>
        <v>2570</v>
      </c>
      <c r="C479" s="241" t="s">
        <v>447</v>
      </c>
      <c r="D479" s="244" t="str">
        <f>'[1]รวมครุภัณฑ์ 70 (data)'!C305</f>
        <v>ครุภัณฑ์ยานพาหนะและขนส่ง</v>
      </c>
      <c r="E479" s="244" t="str">
        <f>'[1]รวมครุภัณฑ์ 70 (data)'!G305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79" s="244" t="str">
        <f>'[1]รวมครุภัณฑ์ 70 (data)'!H305</f>
        <v>พมจ.สระบุรี</v>
      </c>
      <c r="G479" s="244" t="str">
        <f>'[1]รวมครุภัณฑ์ 70 (data)'!J305</f>
        <v>สระบุรี</v>
      </c>
      <c r="H479" s="244">
        <f>IF('รวมครุภัณฑ์ 70'!Q304="","",'รวมครุภัณฑ์ 70'!Q304)</f>
        <v>1</v>
      </c>
      <c r="I479" s="244" t="str">
        <f>IF('รวมครุภัณฑ์ 70'!R304="","",'รวมครุภัณฑ์ 70'!R304)</f>
        <v/>
      </c>
      <c r="J479" s="244"/>
      <c r="K479" s="245">
        <f>'[1]รวมครุภัณฑ์ 70 (data)'!L305</f>
        <v>1498000</v>
      </c>
      <c r="L479" s="245" t="str">
        <f t="shared" si="4"/>
        <v>ทดแทนครุภัณฑ์เดิม</v>
      </c>
    </row>
    <row r="480" spans="1:12">
      <c r="A480" s="241" t="s">
        <v>1790</v>
      </c>
      <c r="B480" s="244">
        <f>'[1]รวมครุภัณฑ์ 70 (data)'!B306</f>
        <v>2570</v>
      </c>
      <c r="C480" s="241" t="s">
        <v>447</v>
      </c>
      <c r="D480" s="244" t="str">
        <f>'[1]รวมครุภัณฑ์ 70 (data)'!C306</f>
        <v>ครุภัณฑ์ยานพาหนะและขนส่ง</v>
      </c>
      <c r="E480" s="244" t="str">
        <f>'[1]รวมครุภัณฑ์ 70 (data)'!G306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80" s="244" t="str">
        <f>'[1]รวมครุภัณฑ์ 70 (data)'!H306</f>
        <v>พมจ.ลำพูน</v>
      </c>
      <c r="G480" s="244" t="str">
        <f>'[1]รวมครุภัณฑ์ 70 (data)'!J306</f>
        <v>ลำพูน</v>
      </c>
      <c r="H480" s="244">
        <f>IF('รวมครุภัณฑ์ 70'!Q305="","",'รวมครุภัณฑ์ 70'!Q305)</f>
        <v>1</v>
      </c>
      <c r="I480" s="244" t="str">
        <f>IF('รวมครุภัณฑ์ 70'!R305="","",'รวมครุภัณฑ์ 70'!R305)</f>
        <v/>
      </c>
      <c r="J480" s="244"/>
      <c r="K480" s="245">
        <f>'[1]รวมครุภัณฑ์ 70 (data)'!L306</f>
        <v>1498000</v>
      </c>
      <c r="L480" s="245" t="str">
        <f t="shared" si="4"/>
        <v>ทดแทนครุภัณฑ์เดิม</v>
      </c>
    </row>
    <row r="481" spans="1:12">
      <c r="A481" s="241" t="s">
        <v>1791</v>
      </c>
      <c r="B481" s="244">
        <f>'[1]รวมครุภัณฑ์ 70 (data)'!B307</f>
        <v>2570</v>
      </c>
      <c r="C481" s="241" t="s">
        <v>447</v>
      </c>
      <c r="D481" s="244" t="str">
        <f>'[1]รวมครุภัณฑ์ 70 (data)'!C307</f>
        <v>ครุภัณฑ์ยานพาหนะและขนส่ง</v>
      </c>
      <c r="E481" s="244" t="str">
        <f>'[1]รวมครุภัณฑ์ 70 (data)'!G307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81" s="244" t="str">
        <f>'[1]รวมครุภัณฑ์ 70 (data)'!H307</f>
        <v>พมจ.หนองบัวลำภู</v>
      </c>
      <c r="G481" s="244" t="str">
        <f>'[1]รวมครุภัณฑ์ 70 (data)'!J307</f>
        <v>หนองบัวลำภู</v>
      </c>
      <c r="H481" s="244">
        <f>IF('รวมครุภัณฑ์ 70'!Q306="","",'รวมครุภัณฑ์ 70'!Q306)</f>
        <v>1</v>
      </c>
      <c r="I481" s="244" t="str">
        <f>IF('รวมครุภัณฑ์ 70'!R306="","",'รวมครุภัณฑ์ 70'!R306)</f>
        <v/>
      </c>
      <c r="J481" s="244"/>
      <c r="K481" s="245">
        <f>'[1]รวมครุภัณฑ์ 70 (data)'!L307</f>
        <v>1498000</v>
      </c>
      <c r="L481" s="245" t="str">
        <f t="shared" si="4"/>
        <v>ทดแทนครุภัณฑ์เดิม</v>
      </c>
    </row>
    <row r="482" spans="1:12">
      <c r="A482" s="241" t="s">
        <v>1792</v>
      </c>
      <c r="B482" s="244">
        <f>'[1]รวมครุภัณฑ์ 70 (data)'!B308</f>
        <v>2570</v>
      </c>
      <c r="C482" s="241" t="s">
        <v>447</v>
      </c>
      <c r="D482" s="244" t="str">
        <f>'[1]รวมครุภัณฑ์ 70 (data)'!C308</f>
        <v>ครุภัณฑ์ยานพาหนะและขนส่ง</v>
      </c>
      <c r="E482" s="244" t="str">
        <f>'[1]รวมครุภัณฑ์ 70 (data)'!G308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82" s="244" t="str">
        <f>'[1]รวมครุภัณฑ์ 70 (data)'!H308</f>
        <v>พมจ.ชุมพร</v>
      </c>
      <c r="G482" s="244" t="str">
        <f>'[1]รวมครุภัณฑ์ 70 (data)'!J308</f>
        <v>ชุมพร</v>
      </c>
      <c r="H482" s="244">
        <f>IF('รวมครุภัณฑ์ 70'!Q307="","",'รวมครุภัณฑ์ 70'!Q307)</f>
        <v>1</v>
      </c>
      <c r="I482" s="244" t="str">
        <f>IF('รวมครุภัณฑ์ 70'!R307="","",'รวมครุภัณฑ์ 70'!R307)</f>
        <v/>
      </c>
      <c r="J482" s="244"/>
      <c r="K482" s="245">
        <f>'[1]รวมครุภัณฑ์ 70 (data)'!L308</f>
        <v>1498000</v>
      </c>
      <c r="L482" s="245" t="str">
        <f t="shared" si="4"/>
        <v>ทดแทนครุภัณฑ์เดิม</v>
      </c>
    </row>
    <row r="483" spans="1:12">
      <c r="A483" s="241" t="s">
        <v>1793</v>
      </c>
      <c r="B483" s="244">
        <f>'[1]รวมครุภัณฑ์ 70 (data)'!B309</f>
        <v>2570</v>
      </c>
      <c r="C483" s="241" t="s">
        <v>447</v>
      </c>
      <c r="D483" s="244" t="str">
        <f>'[1]รวมครุภัณฑ์ 70 (data)'!C309</f>
        <v>ครุภัณฑ์ยานพาหนะและขนส่ง</v>
      </c>
      <c r="E483" s="244" t="str">
        <f>'[1]รวมครุภัณฑ์ 70 (data)'!G309</f>
        <v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</v>
      </c>
      <c r="F483" s="244" t="str">
        <f>'[1]รวมครุภัณฑ์ 70 (data)'!H309</f>
        <v>พมจ.กาฬสินธุ์</v>
      </c>
      <c r="G483" s="244" t="str">
        <f>'[1]รวมครุภัณฑ์ 70 (data)'!J309</f>
        <v>กาฬสินธุ์</v>
      </c>
      <c r="H483" s="244">
        <f>IF('รวมครุภัณฑ์ 70'!Q308="","",'รวมครุภัณฑ์ 70'!Q308)</f>
        <v>1</v>
      </c>
      <c r="I483" s="244" t="str">
        <f>IF('รวมครุภัณฑ์ 70'!R308="","",'รวมครุภัณฑ์ 70'!R308)</f>
        <v/>
      </c>
      <c r="J483" s="244"/>
      <c r="K483" s="245">
        <f>'[1]รวมครุภัณฑ์ 70 (data)'!L309</f>
        <v>1498000</v>
      </c>
      <c r="L483" s="245" t="str">
        <f t="shared" si="4"/>
        <v>ทดแทนครุภัณฑ์เดิม</v>
      </c>
    </row>
    <row r="484" spans="1:12">
      <c r="A484" s="241" t="s">
        <v>1794</v>
      </c>
      <c r="B484" s="244">
        <f>'[1]รวมครุภัณฑ์ 70 (data)'!B310</f>
        <v>2570</v>
      </c>
      <c r="C484" s="241" t="s">
        <v>447</v>
      </c>
      <c r="D484" s="244" t="str">
        <f>'[1]รวมครุภัณฑ์ 70 (data)'!C310</f>
        <v>ครุภัณฑ์ยานพาหนะและขนส่ง</v>
      </c>
      <c r="E484" s="244" t="str">
        <f>'[1]รวมครุภัณฑ์ 70 (data)'!G310</f>
        <v>รถโดยสารขนาด 12 ที่นั่ง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84" s="244" t="str">
        <f>'[1]รวมครุภัณฑ์ 70 (data)'!H310</f>
        <v>พมจ.นครราชสีมา</v>
      </c>
      <c r="G484" s="244" t="str">
        <f>'[1]รวมครุภัณฑ์ 70 (data)'!J310</f>
        <v xml:space="preserve">นครราชสีมา </v>
      </c>
      <c r="H484" s="244">
        <f>IF('รวมครุภัณฑ์ 70'!Q309="","",'รวมครุภัณฑ์ 70'!Q309)</f>
        <v>1</v>
      </c>
      <c r="I484" s="244" t="str">
        <f>IF('รวมครุภัณฑ์ 70'!R309="","",'รวมครุภัณฑ์ 70'!R309)</f>
        <v/>
      </c>
      <c r="J484" s="244"/>
      <c r="K484" s="245">
        <f>'[1]รวมครุภัณฑ์ 70 (data)'!L310</f>
        <v>1498000</v>
      </c>
      <c r="L484" s="245" t="str">
        <f t="shared" si="4"/>
        <v>ทดแทนครุภัณฑ์เดิม</v>
      </c>
    </row>
    <row r="485" spans="1:12">
      <c r="A485" s="241" t="s">
        <v>1795</v>
      </c>
      <c r="B485" s="244">
        <f>'[1]รวมครุภัณฑ์ 70 (data)'!B311</f>
        <v>2570</v>
      </c>
      <c r="C485" s="241" t="s">
        <v>447</v>
      </c>
      <c r="D485" s="244" t="str">
        <f>'[1]รวมครุภัณฑ์ 70 (data)'!C311</f>
        <v>ครุภัณฑ์ยานพาหนะและขนส่ง</v>
      </c>
      <c r="E485" s="244" t="str">
        <f>'[1]รวมครุภัณฑ์ 70 (data)'!G311</f>
        <v>รถโดยสารขนาด 12 ที่นั้ง  (ดีเซล)  ปริมาตรกระบอกสูบไม่ต่ำกว่า 2,400 ซีซี หรือกำลังเครื่องยนต์สูงสุดไม่ต่ำกว่า 90 กิโลวัตต์</v>
      </c>
      <c r="F485" s="244" t="str">
        <f>'[1]รวมครุภัณฑ์ 70 (data)'!H311</f>
        <v>พมจ.อุบลราชธานี</v>
      </c>
      <c r="G485" s="244" t="str">
        <f>'[1]รวมครุภัณฑ์ 70 (data)'!J311</f>
        <v xml:space="preserve">อุบลราชธานี </v>
      </c>
      <c r="H485" s="244">
        <f>IF('รวมครุภัณฑ์ 70'!Q310="","",'รวมครุภัณฑ์ 70'!Q310)</f>
        <v>1</v>
      </c>
      <c r="I485" s="244" t="str">
        <f>IF('รวมครุภัณฑ์ 70'!R310="","",'รวมครุภัณฑ์ 70'!R310)</f>
        <v/>
      </c>
      <c r="J485" s="244"/>
      <c r="K485" s="245">
        <f>'[1]รวมครุภัณฑ์ 70 (data)'!L311</f>
        <v>1498000</v>
      </c>
      <c r="L485" s="245" t="str">
        <f t="shared" si="4"/>
        <v>ทดแทนครุภัณฑ์เดิม</v>
      </c>
    </row>
    <row r="486" spans="1:12">
      <c r="A486" s="241" t="s">
        <v>1796</v>
      </c>
      <c r="B486" s="244">
        <f>'[1]รวมครุภัณฑ์ 70 (data)'!B312</f>
        <v>2570</v>
      </c>
      <c r="C486" s="241" t="s">
        <v>447</v>
      </c>
      <c r="D486" s="244" t="str">
        <f>'[1]รวมครุภัณฑ์ 70 (data)'!C312</f>
        <v>ครุภัณฑ์ยานพาหนะและขนส่ง</v>
      </c>
      <c r="E486" s="244" t="str">
        <f>'[1]รวมครุภัณฑ์ 70 (data)'!G312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86" s="244" t="str">
        <f>'[1]รวมครุภัณฑ์ 70 (data)'!H312</f>
        <v>พมจ.นราธิวาส</v>
      </c>
      <c r="G486" s="244" t="str">
        <f>'[1]รวมครุภัณฑ์ 70 (data)'!J312</f>
        <v>นราธิวาส</v>
      </c>
      <c r="H486" s="244">
        <f>IF('รวมครุภัณฑ์ 70'!Q311="","",'รวมครุภัณฑ์ 70'!Q311)</f>
        <v>1</v>
      </c>
      <c r="I486" s="244" t="str">
        <f>IF('รวมครุภัณฑ์ 70'!R311="","",'รวมครุภัณฑ์ 70'!R311)</f>
        <v/>
      </c>
      <c r="J486" s="244"/>
      <c r="K486" s="245">
        <f>'[1]รวมครุภัณฑ์ 70 (data)'!L312</f>
        <v>970900</v>
      </c>
      <c r="L486" s="245" t="str">
        <f t="shared" si="4"/>
        <v>ทดแทนครุภัณฑ์เดิม</v>
      </c>
    </row>
    <row r="487" spans="1:12">
      <c r="A487" s="241" t="s">
        <v>1797</v>
      </c>
      <c r="B487" s="244">
        <f>'[1]รวมครุภัณฑ์ 70 (data)'!B313</f>
        <v>2570</v>
      </c>
      <c r="C487" s="241" t="s">
        <v>447</v>
      </c>
      <c r="D487" s="244" t="str">
        <f>'[1]รวมครุภัณฑ์ 70 (data)'!C313</f>
        <v>ครุภัณฑ์ยานพาหนะและขนส่ง</v>
      </c>
      <c r="E487" s="244" t="str">
        <f>'[1]รวมครุภัณฑ์ 70 (data)'!G313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87" s="244" t="str">
        <f>'[1]รวมครุภัณฑ์ 70 (data)'!H313</f>
        <v>พมจ.ลำปาง</v>
      </c>
      <c r="G487" s="244" t="str">
        <f>'[1]รวมครุภัณฑ์ 70 (data)'!J313</f>
        <v>ลำปาง</v>
      </c>
      <c r="H487" s="244">
        <f>IF('รวมครุภัณฑ์ 70'!Q312="","",'รวมครุภัณฑ์ 70'!Q312)</f>
        <v>1</v>
      </c>
      <c r="I487" s="244" t="str">
        <f>IF('รวมครุภัณฑ์ 70'!R312="","",'รวมครุภัณฑ์ 70'!R312)</f>
        <v/>
      </c>
      <c r="J487" s="244"/>
      <c r="K487" s="245">
        <f>'[1]รวมครุภัณฑ์ 70 (data)'!L313</f>
        <v>970900</v>
      </c>
      <c r="L487" s="245" t="str">
        <f t="shared" si="4"/>
        <v>ทดแทนครุภัณฑ์เดิม</v>
      </c>
    </row>
    <row r="488" spans="1:12">
      <c r="A488" s="241" t="s">
        <v>1798</v>
      </c>
      <c r="B488" s="244">
        <f>'[1]รวมครุภัณฑ์ 70 (data)'!B314</f>
        <v>2570</v>
      </c>
      <c r="C488" s="241" t="s">
        <v>447</v>
      </c>
      <c r="D488" s="244" t="str">
        <f>'[1]รวมครุภัณฑ์ 70 (data)'!C314</f>
        <v>ครุภัณฑ์ยานพาหนะและขนส่ง</v>
      </c>
      <c r="E488" s="244" t="str">
        <f>'[1]รวมครุภัณฑ์ 70 (data)'!G314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88" s="244" t="str">
        <f>'[1]รวมครุภัณฑ์ 70 (data)'!H314</f>
        <v>พมจ.ยะลา</v>
      </c>
      <c r="G488" s="244" t="str">
        <f>'[1]รวมครุภัณฑ์ 70 (data)'!J314</f>
        <v>ยะลา</v>
      </c>
      <c r="H488" s="244">
        <f>IF('รวมครุภัณฑ์ 70'!Q313="","",'รวมครุภัณฑ์ 70'!Q313)</f>
        <v>1</v>
      </c>
      <c r="I488" s="244" t="str">
        <f>IF('รวมครุภัณฑ์ 70'!R313="","",'รวมครุภัณฑ์ 70'!R313)</f>
        <v/>
      </c>
      <c r="J488" s="244"/>
      <c r="K488" s="245">
        <f>'[1]รวมครุภัณฑ์ 70 (data)'!L314</f>
        <v>970900</v>
      </c>
      <c r="L488" s="245" t="str">
        <f t="shared" si="4"/>
        <v>ทดแทนครุภัณฑ์เดิม</v>
      </c>
    </row>
    <row r="489" spans="1:12">
      <c r="A489" s="241" t="s">
        <v>1799</v>
      </c>
      <c r="B489" s="244">
        <f>'[1]รวมครุภัณฑ์ 70 (data)'!B315</f>
        <v>2570</v>
      </c>
      <c r="C489" s="241" t="s">
        <v>447</v>
      </c>
      <c r="D489" s="244" t="str">
        <f>'[1]รวมครุภัณฑ์ 70 (data)'!C315</f>
        <v>ครุภัณฑ์ยานพาหนะและขนส่ง</v>
      </c>
      <c r="E489" s="244" t="str">
        <f>'[1]รวมครุภัณฑ์ 70 (data)'!G315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89" s="244" t="str">
        <f>'[1]รวมครุภัณฑ์ 70 (data)'!H315</f>
        <v>พมจ.อุดรธานี</v>
      </c>
      <c r="G489" s="244" t="str">
        <f>'[1]รวมครุภัณฑ์ 70 (data)'!J315</f>
        <v>อุดรธานี</v>
      </c>
      <c r="H489" s="244">
        <f>IF('รวมครุภัณฑ์ 70'!Q314="","",'รวมครุภัณฑ์ 70'!Q314)</f>
        <v>1</v>
      </c>
      <c r="I489" s="244" t="str">
        <f>IF('รวมครุภัณฑ์ 70'!R314="","",'รวมครุภัณฑ์ 70'!R314)</f>
        <v/>
      </c>
      <c r="J489" s="244"/>
      <c r="K489" s="245">
        <f>'[1]รวมครุภัณฑ์ 70 (data)'!L315</f>
        <v>970900</v>
      </c>
      <c r="L489" s="245" t="str">
        <f t="shared" si="4"/>
        <v>ทดแทนครุภัณฑ์เดิม</v>
      </c>
    </row>
    <row r="490" spans="1:12">
      <c r="A490" s="241" t="s">
        <v>1800</v>
      </c>
      <c r="B490" s="244">
        <f>'[1]รวมครุภัณฑ์ 70 (data)'!B316</f>
        <v>2570</v>
      </c>
      <c r="C490" s="241" t="s">
        <v>447</v>
      </c>
      <c r="D490" s="244" t="str">
        <f>'[1]รวมครุภัณฑ์ 70 (data)'!C316</f>
        <v>ครุภัณฑ์ยานพาหนะและขนส่ง</v>
      </c>
      <c r="E490" s="244" t="str">
        <f>'[1]รวมครุภัณฑ์ 70 (data)'!G316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90" s="244" t="str">
        <f>'[1]รวมครุภัณฑ์ 70 (data)'!H316</f>
        <v>พมจ.สมุทรสงคราม</v>
      </c>
      <c r="G490" s="244" t="str">
        <f>'[1]รวมครุภัณฑ์ 70 (data)'!J316</f>
        <v>สมุทรสงคราม</v>
      </c>
      <c r="H490" s="244">
        <f>IF('รวมครุภัณฑ์ 70'!Q315="","",'รวมครุภัณฑ์ 70'!Q315)</f>
        <v>1</v>
      </c>
      <c r="I490" s="244" t="str">
        <f>IF('รวมครุภัณฑ์ 70'!R315="","",'รวมครุภัณฑ์ 70'!R315)</f>
        <v/>
      </c>
      <c r="J490" s="244"/>
      <c r="K490" s="245">
        <f>'[1]รวมครุภัณฑ์ 70 (data)'!L316</f>
        <v>970900</v>
      </c>
      <c r="L490" s="245" t="str">
        <f t="shared" si="4"/>
        <v>ทดแทนครุภัณฑ์เดิม</v>
      </c>
    </row>
    <row r="491" spans="1:12">
      <c r="A491" s="241" t="s">
        <v>1801</v>
      </c>
      <c r="B491" s="244">
        <f>'[1]รวมครุภัณฑ์ 70 (data)'!B317</f>
        <v>2570</v>
      </c>
      <c r="C491" s="241" t="s">
        <v>447</v>
      </c>
      <c r="D491" s="244" t="str">
        <f>'[1]รวมครุภัณฑ์ 70 (data)'!C317</f>
        <v>ครุภัณฑ์ยานพาหนะและขนส่ง</v>
      </c>
      <c r="E491" s="244" t="str">
        <f>'[1]รวมครุภัณฑ์ 70 (data)'!G317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91" s="244" t="str">
        <f>'[1]รวมครุภัณฑ์ 70 (data)'!H317</f>
        <v>พมจ.สุโขทัย</v>
      </c>
      <c r="G491" s="244" t="str">
        <f>'[1]รวมครุภัณฑ์ 70 (data)'!J317</f>
        <v>สุโขทัย</v>
      </c>
      <c r="H491" s="244">
        <f>IF('รวมครุภัณฑ์ 70'!Q316="","",'รวมครุภัณฑ์ 70'!Q316)</f>
        <v>1</v>
      </c>
      <c r="I491" s="244" t="str">
        <f>IF('รวมครุภัณฑ์ 70'!R316="","",'รวมครุภัณฑ์ 70'!R316)</f>
        <v/>
      </c>
      <c r="J491" s="244"/>
      <c r="K491" s="245">
        <f>'[1]รวมครุภัณฑ์ 70 (data)'!L317</f>
        <v>970900</v>
      </c>
      <c r="L491" s="245" t="str">
        <f t="shared" si="4"/>
        <v>ทดแทนครุภัณฑ์เดิม</v>
      </c>
    </row>
    <row r="492" spans="1:12">
      <c r="A492" s="241" t="s">
        <v>1802</v>
      </c>
      <c r="B492" s="244">
        <f>'[1]รวมครุภัณฑ์ 70 (data)'!B318</f>
        <v>2570</v>
      </c>
      <c r="C492" s="241" t="s">
        <v>447</v>
      </c>
      <c r="D492" s="244" t="str">
        <f>'[1]รวมครุภัณฑ์ 70 (data)'!C318</f>
        <v>ครุภัณฑ์ยานพาหนะและขนส่ง</v>
      </c>
      <c r="E492" s="244" t="str">
        <f>'[1]รวมครุภัณฑ์ 70 (data)'!G318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92" s="244" t="str">
        <f>'[1]รวมครุภัณฑ์ 70 (data)'!H318</f>
        <v>พมจ.ชลบุรี</v>
      </c>
      <c r="G492" s="244" t="str">
        <f>'[1]รวมครุภัณฑ์ 70 (data)'!J318</f>
        <v>ชลบุรี</v>
      </c>
      <c r="H492" s="244">
        <f>IF('รวมครุภัณฑ์ 70'!Q317="","",'รวมครุภัณฑ์ 70'!Q317)</f>
        <v>1</v>
      </c>
      <c r="I492" s="244" t="str">
        <f>IF('รวมครุภัณฑ์ 70'!R317="","",'รวมครุภัณฑ์ 70'!R317)</f>
        <v/>
      </c>
      <c r="J492" s="244"/>
      <c r="K492" s="245">
        <f>'[1]รวมครุภัณฑ์ 70 (data)'!L318</f>
        <v>970900</v>
      </c>
      <c r="L492" s="245" t="str">
        <f t="shared" si="4"/>
        <v>ทดแทนครุภัณฑ์เดิม</v>
      </c>
    </row>
    <row r="493" spans="1:12">
      <c r="A493" s="241" t="s">
        <v>1803</v>
      </c>
      <c r="B493" s="244">
        <f>'[1]รวมครุภัณฑ์ 70 (data)'!B319</f>
        <v>2570</v>
      </c>
      <c r="C493" s="241" t="s">
        <v>447</v>
      </c>
      <c r="D493" s="244" t="str">
        <f>'[1]รวมครุภัณฑ์ 70 (data)'!C319</f>
        <v>ครุภัณฑ์ยานพาหนะและขนส่ง</v>
      </c>
      <c r="E493" s="244" t="str">
        <f>'[1]รวมครุภัณฑ์ 70 (data)'!G319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93" s="244" t="str">
        <f>'[1]รวมครุภัณฑ์ 70 (data)'!H319</f>
        <v>พมจ.สตูล</v>
      </c>
      <c r="G493" s="244" t="str">
        <f>'[1]รวมครุภัณฑ์ 70 (data)'!J319</f>
        <v>สตูล</v>
      </c>
      <c r="H493" s="244">
        <f>IF('รวมครุภัณฑ์ 70'!Q318="","",'รวมครุภัณฑ์ 70'!Q318)</f>
        <v>1</v>
      </c>
      <c r="I493" s="244" t="str">
        <f>IF('รวมครุภัณฑ์ 70'!R318="","",'รวมครุภัณฑ์ 70'!R318)</f>
        <v/>
      </c>
      <c r="J493" s="244"/>
      <c r="K493" s="245">
        <f>'[1]รวมครุภัณฑ์ 70 (data)'!L319</f>
        <v>970900</v>
      </c>
      <c r="L493" s="245" t="str">
        <f t="shared" si="4"/>
        <v>ทดแทนครุภัณฑ์เดิม</v>
      </c>
    </row>
    <row r="494" spans="1:12">
      <c r="A494" s="241" t="s">
        <v>1804</v>
      </c>
      <c r="B494" s="244">
        <f>'[1]รวมครุภัณฑ์ 70 (data)'!B320</f>
        <v>2570</v>
      </c>
      <c r="C494" s="241" t="s">
        <v>447</v>
      </c>
      <c r="D494" s="244" t="str">
        <f>'[1]รวมครุภัณฑ์ 70 (data)'!C320</f>
        <v>ครุภัณฑ์ยานพาหนะและขนส่ง</v>
      </c>
      <c r="E494" s="244" t="str">
        <f>'[1]รวมครุภัณฑ์ 70 (data)'!G320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94" s="244" t="str">
        <f>'[1]รวมครุภัณฑ์ 70 (data)'!H320</f>
        <v>พมจ.สตูล</v>
      </c>
      <c r="G494" s="244" t="str">
        <f>'[1]รวมครุภัณฑ์ 70 (data)'!J320</f>
        <v>สตูล</v>
      </c>
      <c r="H494" s="244">
        <f>IF('รวมครุภัณฑ์ 70'!Q319="","",'รวมครุภัณฑ์ 70'!Q319)</f>
        <v>1</v>
      </c>
      <c r="I494" s="244" t="str">
        <f>IF('รวมครุภัณฑ์ 70'!R319="","",'รวมครุภัณฑ์ 70'!R319)</f>
        <v/>
      </c>
      <c r="J494" s="244"/>
      <c r="K494" s="245">
        <f>'[1]รวมครุภัณฑ์ 70 (data)'!L320</f>
        <v>970900</v>
      </c>
      <c r="L494" s="245" t="str">
        <f t="shared" si="4"/>
        <v>ทดแทนครุภัณฑ์เดิม</v>
      </c>
    </row>
    <row r="495" spans="1:12">
      <c r="A495" s="241" t="s">
        <v>1805</v>
      </c>
      <c r="B495" s="244">
        <f>'[1]รวมครุภัณฑ์ 70 (data)'!B321</f>
        <v>2570</v>
      </c>
      <c r="C495" s="241" t="s">
        <v>447</v>
      </c>
      <c r="D495" s="244" t="str">
        <f>'[1]รวมครุภัณฑ์ 70 (data)'!C321</f>
        <v>ครุภัณฑ์ยานพาหนะและขนส่ง</v>
      </c>
      <c r="E495" s="244" t="str">
        <f>'[1]รวมครุภัณฑ์ 70 (data)'!G321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95" s="244" t="str">
        <f>'[1]รวมครุภัณฑ์ 70 (data)'!H321</f>
        <v>พมจ.สตูล</v>
      </c>
      <c r="G495" s="244" t="str">
        <f>'[1]รวมครุภัณฑ์ 70 (data)'!J321</f>
        <v>สตูล</v>
      </c>
      <c r="H495" s="244">
        <f>IF('รวมครุภัณฑ์ 70'!Q320="","",'รวมครุภัณฑ์ 70'!Q320)</f>
        <v>1</v>
      </c>
      <c r="I495" s="244" t="str">
        <f>IF('รวมครุภัณฑ์ 70'!R320="","",'รวมครุภัณฑ์ 70'!R320)</f>
        <v/>
      </c>
      <c r="J495" s="244"/>
      <c r="K495" s="245">
        <f>'[1]รวมครุภัณฑ์ 70 (data)'!L321</f>
        <v>970900</v>
      </c>
      <c r="L495" s="245" t="str">
        <f t="shared" si="4"/>
        <v>ทดแทนครุภัณฑ์เดิม</v>
      </c>
    </row>
    <row r="496" spans="1:12">
      <c r="A496" s="241" t="s">
        <v>1806</v>
      </c>
      <c r="B496" s="244">
        <f>'[1]รวมครุภัณฑ์ 70 (data)'!B322</f>
        <v>2570</v>
      </c>
      <c r="C496" s="241" t="s">
        <v>447</v>
      </c>
      <c r="D496" s="244" t="str">
        <f>'[1]รวมครุภัณฑ์ 70 (data)'!C322</f>
        <v>ครุภัณฑ์ยานพาหนะและขนส่ง</v>
      </c>
      <c r="E496" s="244" t="str">
        <f>'[1]รวมครุภัณฑ์ 70 (data)'!G322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96" s="244" t="str">
        <f>'[1]รวมครุภัณฑ์ 70 (data)'!H322</f>
        <v>พมจ.สตูล</v>
      </c>
      <c r="G496" s="244" t="str">
        <f>'[1]รวมครุภัณฑ์ 70 (data)'!J322</f>
        <v>สตูล</v>
      </c>
      <c r="H496" s="244">
        <f>IF('รวมครุภัณฑ์ 70'!Q321="","",'รวมครุภัณฑ์ 70'!Q321)</f>
        <v>1</v>
      </c>
      <c r="I496" s="244" t="str">
        <f>IF('รวมครุภัณฑ์ 70'!R321="","",'รวมครุภัณฑ์ 70'!R321)</f>
        <v/>
      </c>
      <c r="J496" s="244"/>
      <c r="K496" s="245">
        <f>'[1]รวมครุภัณฑ์ 70 (data)'!L322</f>
        <v>970900</v>
      </c>
      <c r="L496" s="245" t="str">
        <f t="shared" si="4"/>
        <v>ทดแทนครุภัณฑ์เดิม</v>
      </c>
    </row>
    <row r="497" spans="1:12">
      <c r="A497" s="241" t="s">
        <v>1807</v>
      </c>
      <c r="B497" s="244">
        <f>'[1]รวมครุภัณฑ์ 70 (data)'!B323</f>
        <v>2570</v>
      </c>
      <c r="C497" s="241" t="s">
        <v>447</v>
      </c>
      <c r="D497" s="244" t="str">
        <f>'[1]รวมครุภัณฑ์ 70 (data)'!C323</f>
        <v>ครุภัณฑ์ยานพาหนะและขนส่ง</v>
      </c>
      <c r="E497" s="244" t="str">
        <f>'[1]รวมครุภัณฑ์ 70 (data)'!G323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97" s="244" t="str">
        <f>'[1]รวมครุภัณฑ์ 70 (data)'!H323</f>
        <v>พมจ.สตูล</v>
      </c>
      <c r="G497" s="244" t="str">
        <f>'[1]รวมครุภัณฑ์ 70 (data)'!J323</f>
        <v>สตูล</v>
      </c>
      <c r="H497" s="244">
        <f>IF('รวมครุภัณฑ์ 70'!Q322="","",'รวมครุภัณฑ์ 70'!Q322)</f>
        <v>1</v>
      </c>
      <c r="I497" s="244" t="str">
        <f>IF('รวมครุภัณฑ์ 70'!R322="","",'รวมครุภัณฑ์ 70'!R322)</f>
        <v/>
      </c>
      <c r="J497" s="244"/>
      <c r="K497" s="245">
        <f>'[1]รวมครุภัณฑ์ 70 (data)'!L323</f>
        <v>970900</v>
      </c>
      <c r="L497" s="245" t="str">
        <f t="shared" si="4"/>
        <v>ทดแทนครุภัณฑ์เดิม</v>
      </c>
    </row>
    <row r="498" spans="1:12">
      <c r="A498" s="241" t="s">
        <v>1808</v>
      </c>
      <c r="B498" s="244">
        <f>'[1]รวมครุภัณฑ์ 70 (data)'!B324</f>
        <v>2570</v>
      </c>
      <c r="C498" s="241" t="s">
        <v>447</v>
      </c>
      <c r="D498" s="244" t="str">
        <f>'[1]รวมครุภัณฑ์ 70 (data)'!C324</f>
        <v>ครุภัณฑ์ยานพาหนะและขนส่ง</v>
      </c>
      <c r="E498" s="244" t="str">
        <f>'[1]รวมครุภัณฑ์ 70 (data)'!G324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98" s="244" t="str">
        <f>'[1]รวมครุภัณฑ์ 70 (data)'!H324</f>
        <v>พมจ.ปทุมธานี</v>
      </c>
      <c r="G498" s="244" t="str">
        <f>'[1]รวมครุภัณฑ์ 70 (data)'!J324</f>
        <v>ปทุมธานี</v>
      </c>
      <c r="H498" s="244">
        <f>IF('รวมครุภัณฑ์ 70'!Q323="","",'รวมครุภัณฑ์ 70'!Q323)</f>
        <v>1</v>
      </c>
      <c r="I498" s="244" t="str">
        <f>IF('รวมครุภัณฑ์ 70'!R323="","",'รวมครุภัณฑ์ 70'!R323)</f>
        <v/>
      </c>
      <c r="J498" s="244"/>
      <c r="K498" s="245">
        <f>'[1]รวมครุภัณฑ์ 70 (data)'!L324</f>
        <v>970900</v>
      </c>
      <c r="L498" s="245" t="str">
        <f t="shared" ref="L498:L561" si="5">_xlfn.TEXTJOIN(", ",TRUE,
IF(H498&lt;&gt;"","ทดแทนครุภัณฑ์เดิม",""),
IF(I498&lt;&gt;"","เพิ่มประสิทธิภาพ",""))</f>
        <v>ทดแทนครุภัณฑ์เดิม</v>
      </c>
    </row>
    <row r="499" spans="1:12">
      <c r="A499" s="241" t="s">
        <v>1809</v>
      </c>
      <c r="B499" s="244">
        <f>'[1]รวมครุภัณฑ์ 70 (data)'!B325</f>
        <v>2570</v>
      </c>
      <c r="C499" s="241" t="s">
        <v>447</v>
      </c>
      <c r="D499" s="244" t="str">
        <f>'[1]รวมครุภัณฑ์ 70 (data)'!C325</f>
        <v>ครุภัณฑ์ยานพาหนะและขนส่ง</v>
      </c>
      <c r="E499" s="244" t="str">
        <f>'[1]รวมครุภัณฑ์ 70 (data)'!G325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499" s="244" t="str">
        <f>'[1]รวมครุภัณฑ์ 70 (data)'!H325</f>
        <v>พมจ.สมุทรปราการ</v>
      </c>
      <c r="G499" s="244" t="str">
        <f>'[1]รวมครุภัณฑ์ 70 (data)'!J325</f>
        <v>สมุทรปราการ</v>
      </c>
      <c r="H499" s="244">
        <f>IF('รวมครุภัณฑ์ 70'!Q324="","",'รวมครุภัณฑ์ 70'!Q324)</f>
        <v>1</v>
      </c>
      <c r="I499" s="244" t="str">
        <f>IF('รวมครุภัณฑ์ 70'!R324="","",'รวมครุภัณฑ์ 70'!R324)</f>
        <v/>
      </c>
      <c r="J499" s="244"/>
      <c r="K499" s="245">
        <f>'[1]รวมครุภัณฑ์ 70 (data)'!L325</f>
        <v>970900</v>
      </c>
      <c r="L499" s="245" t="str">
        <f t="shared" si="5"/>
        <v>ทดแทนครุภัณฑ์เดิม</v>
      </c>
    </row>
    <row r="500" spans="1:12">
      <c r="A500" s="241" t="s">
        <v>1810</v>
      </c>
      <c r="B500" s="244">
        <f>'[1]รวมครุภัณฑ์ 70 (data)'!B326</f>
        <v>2570</v>
      </c>
      <c r="C500" s="241" t="s">
        <v>447</v>
      </c>
      <c r="D500" s="244" t="str">
        <f>'[1]รวมครุภัณฑ์ 70 (data)'!C326</f>
        <v>ครุภัณฑ์ยานพาหนะและขนส่ง</v>
      </c>
      <c r="E500" s="244" t="str">
        <f>'[1]รวมครุภัณฑ์ 70 (data)'!G326</f>
        <v>รถบรรทุก (ดีเซล)  ขนาด 1 ตัน ปริมาตรกระบอกสูบไม่ต่ำกว่า  2,400 ซีซี หรือกำลังเครื่องยนต์สูงสุดไม่ต่ำกว่า 110 กิโลวัตต์ ขับเคลื่อน  2 ล้อ แบบดับเบิ้ลแค็บ พร้อมหลังคา ไฟเบอร์กลาสหรือเหล็ก</v>
      </c>
      <c r="F500" s="244" t="str">
        <f>'[1]รวมครุภัณฑ์ 70 (data)'!H326</f>
        <v>พมจ.สระบุรี</v>
      </c>
      <c r="G500" s="244" t="str">
        <f>'[1]รวมครุภัณฑ์ 70 (data)'!J326</f>
        <v>สระบุรี</v>
      </c>
      <c r="H500" s="244">
        <f>IF('รวมครุภัณฑ์ 70'!Q325="","",'รวมครุภัณฑ์ 70'!Q325)</f>
        <v>1</v>
      </c>
      <c r="I500" s="244" t="str">
        <f>IF('รวมครุภัณฑ์ 70'!R325="","",'รวมครุภัณฑ์ 70'!R325)</f>
        <v/>
      </c>
      <c r="J500" s="244"/>
      <c r="K500" s="245">
        <f>'[1]รวมครุภัณฑ์ 70 (data)'!L326</f>
        <v>970900</v>
      </c>
      <c r="L500" s="245" t="str">
        <f t="shared" si="5"/>
        <v>ทดแทนครุภัณฑ์เดิม</v>
      </c>
    </row>
    <row r="501" spans="1:12">
      <c r="A501" s="241" t="s">
        <v>1811</v>
      </c>
      <c r="B501" s="244">
        <f>'[1]รวมครุภัณฑ์ 70 (data)'!B327</f>
        <v>2570</v>
      </c>
      <c r="C501" s="241" t="s">
        <v>447</v>
      </c>
      <c r="D501" s="244" t="str">
        <f>'[1]รวมครุภัณฑ์ 70 (data)'!C327</f>
        <v>ครุภัณฑ์ยานพาหนะและขนส่ง</v>
      </c>
      <c r="E501" s="244" t="str">
        <f>'[1]รวมครุภัณฑ์ 70 (data)'!G327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01" s="244" t="str">
        <f>'[1]รวมครุภัณฑ์ 70 (data)'!H327</f>
        <v>พมจ.อุตรดิตถ์</v>
      </c>
      <c r="G501" s="244" t="str">
        <f>'[1]รวมครุภัณฑ์ 70 (data)'!J327</f>
        <v>อุตรดิตถ์</v>
      </c>
      <c r="H501" s="244">
        <f>IF('รวมครุภัณฑ์ 70'!Q326="","",'รวมครุภัณฑ์ 70'!Q326)</f>
        <v>1</v>
      </c>
      <c r="I501" s="244" t="str">
        <f>IF('รวมครุภัณฑ์ 70'!R326="","",'รวมครุภัณฑ์ 70'!R326)</f>
        <v/>
      </c>
      <c r="J501" s="244"/>
      <c r="K501" s="245">
        <f>'[1]รวมครุภัณฑ์ 70 (data)'!L327</f>
        <v>1207900</v>
      </c>
      <c r="L501" s="245" t="str">
        <f t="shared" si="5"/>
        <v>ทดแทนครุภัณฑ์เดิม</v>
      </c>
    </row>
    <row r="502" spans="1:12">
      <c r="A502" s="241" t="s">
        <v>1812</v>
      </c>
      <c r="B502" s="244">
        <f>'[1]รวมครุภัณฑ์ 70 (data)'!B328</f>
        <v>2570</v>
      </c>
      <c r="C502" s="241" t="s">
        <v>447</v>
      </c>
      <c r="D502" s="244" t="str">
        <f>'[1]รวมครุภัณฑ์ 70 (data)'!C328</f>
        <v>ครุภัณฑ์ยานพาหนะและขนส่ง</v>
      </c>
      <c r="E502" s="244" t="str">
        <f>'[1]รวมครุภัณฑ์ 70 (data)'!G328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02" s="244" t="str">
        <f>'[1]รวมครุภัณฑ์ 70 (data)'!H328</f>
        <v>พมจ.พังงา</v>
      </c>
      <c r="G502" s="244" t="str">
        <f>'[1]รวมครุภัณฑ์ 70 (data)'!J328</f>
        <v xml:space="preserve">พังงา </v>
      </c>
      <c r="H502" s="244">
        <f>IF('รวมครุภัณฑ์ 70'!Q327="","",'รวมครุภัณฑ์ 70'!Q327)</f>
        <v>1</v>
      </c>
      <c r="I502" s="244" t="str">
        <f>IF('รวมครุภัณฑ์ 70'!R327="","",'รวมครุภัณฑ์ 70'!R327)</f>
        <v/>
      </c>
      <c r="J502" s="244"/>
      <c r="K502" s="245">
        <f>'[1]รวมครุภัณฑ์ 70 (data)'!L328</f>
        <v>1207900</v>
      </c>
      <c r="L502" s="245" t="str">
        <f t="shared" si="5"/>
        <v>ทดแทนครุภัณฑ์เดิม</v>
      </c>
    </row>
    <row r="503" spans="1:12">
      <c r="A503" s="241" t="s">
        <v>1813</v>
      </c>
      <c r="B503" s="244">
        <f>'[1]รวมครุภัณฑ์ 70 (data)'!B329</f>
        <v>2570</v>
      </c>
      <c r="C503" s="241" t="s">
        <v>447</v>
      </c>
      <c r="D503" s="244" t="str">
        <f>'[1]รวมครุภัณฑ์ 70 (data)'!C329</f>
        <v>ครุภัณฑ์ยานพาหนะและขนส่ง</v>
      </c>
      <c r="E503" s="244" t="str">
        <f>'[1]รวมครุภัณฑ์ 70 (data)'!G329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03" s="244" t="str">
        <f>'[1]รวมครุภัณฑ์ 70 (data)'!H329</f>
        <v>พมจ.ชัยภูมิ</v>
      </c>
      <c r="G503" s="244" t="str">
        <f>'[1]รวมครุภัณฑ์ 70 (data)'!J329</f>
        <v>ชัยภูมิ</v>
      </c>
      <c r="H503" s="244">
        <f>IF('รวมครุภัณฑ์ 70'!Q328="","",'รวมครุภัณฑ์ 70'!Q328)</f>
        <v>1</v>
      </c>
      <c r="I503" s="244" t="str">
        <f>IF('รวมครุภัณฑ์ 70'!R328="","",'รวมครุภัณฑ์ 70'!R328)</f>
        <v/>
      </c>
      <c r="J503" s="244"/>
      <c r="K503" s="245">
        <f>'[1]รวมครุภัณฑ์ 70 (data)'!L329</f>
        <v>1207900</v>
      </c>
      <c r="L503" s="245" t="str">
        <f t="shared" si="5"/>
        <v>ทดแทนครุภัณฑ์เดิม</v>
      </c>
    </row>
    <row r="504" spans="1:12">
      <c r="A504" s="241" t="s">
        <v>1814</v>
      </c>
      <c r="B504" s="244">
        <f>'[1]รวมครุภัณฑ์ 70 (data)'!B330</f>
        <v>2570</v>
      </c>
      <c r="C504" s="241" t="s">
        <v>447</v>
      </c>
      <c r="D504" s="244" t="str">
        <f>'[1]รวมครุภัณฑ์ 70 (data)'!C330</f>
        <v>ครุภัณฑ์ยานพาหนะและขนส่ง</v>
      </c>
      <c r="E504" s="244" t="str">
        <f>'[1]รวมครุภัณฑ์ 70 (data)'!G330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04" s="244" t="str">
        <f>'[1]รวมครุภัณฑ์ 70 (data)'!H330</f>
        <v>พมจ.เชียงใหม่</v>
      </c>
      <c r="G504" s="244" t="str">
        <f>'[1]รวมครุภัณฑ์ 70 (data)'!J330</f>
        <v>เชียงใหม่</v>
      </c>
      <c r="H504" s="244">
        <f>IF('รวมครุภัณฑ์ 70'!Q329="","",'รวมครุภัณฑ์ 70'!Q329)</f>
        <v>1</v>
      </c>
      <c r="I504" s="244" t="str">
        <f>IF('รวมครุภัณฑ์ 70'!R329="","",'รวมครุภัณฑ์ 70'!R329)</f>
        <v/>
      </c>
      <c r="J504" s="244"/>
      <c r="K504" s="245">
        <f>'[1]รวมครุภัณฑ์ 70 (data)'!L330</f>
        <v>1207900</v>
      </c>
      <c r="L504" s="245" t="str">
        <f t="shared" si="5"/>
        <v>ทดแทนครุภัณฑ์เดิม</v>
      </c>
    </row>
    <row r="505" spans="1:12">
      <c r="A505" s="241" t="s">
        <v>1815</v>
      </c>
      <c r="B505" s="244">
        <f>'[1]รวมครุภัณฑ์ 70 (data)'!B331</f>
        <v>2570</v>
      </c>
      <c r="C505" s="241" t="s">
        <v>447</v>
      </c>
      <c r="D505" s="244" t="str">
        <f>'[1]รวมครุภัณฑ์ 70 (data)'!C331</f>
        <v>ครุภัณฑ์ยานพาหนะและขนส่ง</v>
      </c>
      <c r="E505" s="244" t="str">
        <f>'[1]รวมครุภัณฑ์ 70 (data)'!G331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05" s="244" t="str">
        <f>'[1]รวมครุภัณฑ์ 70 (data)'!H331</f>
        <v>พมจ.สระแก้ว</v>
      </c>
      <c r="G505" s="244" t="str">
        <f>'[1]รวมครุภัณฑ์ 70 (data)'!J331</f>
        <v>สระแก้ว</v>
      </c>
      <c r="H505" s="244">
        <f>IF('รวมครุภัณฑ์ 70'!Q330="","",'รวมครุภัณฑ์ 70'!Q330)</f>
        <v>1</v>
      </c>
      <c r="I505" s="244" t="str">
        <f>IF('รวมครุภัณฑ์ 70'!R330="","",'รวมครุภัณฑ์ 70'!R330)</f>
        <v/>
      </c>
      <c r="J505" s="244"/>
      <c r="K505" s="245">
        <f>'[1]รวมครุภัณฑ์ 70 (data)'!L331</f>
        <v>1207900</v>
      </c>
      <c r="L505" s="245" t="str">
        <f t="shared" si="5"/>
        <v>ทดแทนครุภัณฑ์เดิม</v>
      </c>
    </row>
    <row r="506" spans="1:12">
      <c r="A506" s="241" t="s">
        <v>1816</v>
      </c>
      <c r="B506" s="244">
        <f>'[1]รวมครุภัณฑ์ 70 (data)'!B332</f>
        <v>2570</v>
      </c>
      <c r="C506" s="241" t="s">
        <v>447</v>
      </c>
      <c r="D506" s="244" t="str">
        <f>'[1]รวมครุภัณฑ์ 70 (data)'!C332</f>
        <v>ครุภัณฑ์ยานพาหนะและขนส่ง</v>
      </c>
      <c r="E506" s="244" t="str">
        <f>'[1]รวมครุภัณฑ์ 70 (data)'!G332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06" s="244" t="str">
        <f>'[1]รวมครุภัณฑ์ 70 (data)'!H332</f>
        <v>พมจ.สตูล</v>
      </c>
      <c r="G506" s="244" t="str">
        <f>'[1]รวมครุภัณฑ์ 70 (data)'!J332</f>
        <v>สตูล</v>
      </c>
      <c r="H506" s="244">
        <f>IF('รวมครุภัณฑ์ 70'!Q331="","",'รวมครุภัณฑ์ 70'!Q331)</f>
        <v>1</v>
      </c>
      <c r="I506" s="244" t="str">
        <f>IF('รวมครุภัณฑ์ 70'!R331="","",'รวมครุภัณฑ์ 70'!R331)</f>
        <v/>
      </c>
      <c r="J506" s="244"/>
      <c r="K506" s="245">
        <f>'[1]รวมครุภัณฑ์ 70 (data)'!L332</f>
        <v>1207900</v>
      </c>
      <c r="L506" s="245" t="str">
        <f t="shared" si="5"/>
        <v>ทดแทนครุภัณฑ์เดิม</v>
      </c>
    </row>
    <row r="507" spans="1:12">
      <c r="A507" s="241" t="s">
        <v>1817</v>
      </c>
      <c r="B507" s="244">
        <f>'[1]รวมครุภัณฑ์ 70 (data)'!B333</f>
        <v>2570</v>
      </c>
      <c r="C507" s="241" t="s">
        <v>447</v>
      </c>
      <c r="D507" s="244" t="str">
        <f>'[1]รวมครุภัณฑ์ 70 (data)'!C333</f>
        <v>ครุภัณฑ์ยานพาหนะและขนส่ง</v>
      </c>
      <c r="E507" s="244" t="str">
        <f>'[1]รวมครุภัณฑ์ 70 (data)'!G333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07" s="244" t="str">
        <f>'[1]รวมครุภัณฑ์ 70 (data)'!H333</f>
        <v>พมจ.สตูล</v>
      </c>
      <c r="G507" s="244" t="str">
        <f>'[1]รวมครุภัณฑ์ 70 (data)'!J333</f>
        <v>สตูล</v>
      </c>
      <c r="H507" s="244">
        <f>IF('รวมครุภัณฑ์ 70'!Q332="","",'รวมครุภัณฑ์ 70'!Q332)</f>
        <v>1</v>
      </c>
      <c r="I507" s="244" t="str">
        <f>IF('รวมครุภัณฑ์ 70'!R332="","",'รวมครุภัณฑ์ 70'!R332)</f>
        <v/>
      </c>
      <c r="J507" s="244"/>
      <c r="K507" s="245">
        <f>'[1]รวมครุภัณฑ์ 70 (data)'!L333</f>
        <v>1207900</v>
      </c>
      <c r="L507" s="245" t="str">
        <f t="shared" si="5"/>
        <v>ทดแทนครุภัณฑ์เดิม</v>
      </c>
    </row>
    <row r="508" spans="1:12">
      <c r="A508" s="241" t="s">
        <v>1818</v>
      </c>
      <c r="B508" s="244">
        <f>'[1]รวมครุภัณฑ์ 70 (data)'!B334</f>
        <v>2570</v>
      </c>
      <c r="C508" s="241" t="s">
        <v>447</v>
      </c>
      <c r="D508" s="244" t="str">
        <f>'[1]รวมครุภัณฑ์ 70 (data)'!C334</f>
        <v>ครุภัณฑ์ยานพาหนะและขนส่ง</v>
      </c>
      <c r="E508" s="244" t="str">
        <f>'[1]รวมครุภัณฑ์ 70 (data)'!G334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08" s="244" t="str">
        <f>'[1]รวมครุภัณฑ์ 70 (data)'!H334</f>
        <v>พมจ.จันทบุรี</v>
      </c>
      <c r="G508" s="244" t="str">
        <f>'[1]รวมครุภัณฑ์ 70 (data)'!J334</f>
        <v>จันทบุรี</v>
      </c>
      <c r="H508" s="244">
        <f>IF('รวมครุภัณฑ์ 70'!Q333="","",'รวมครุภัณฑ์ 70'!Q333)</f>
        <v>1</v>
      </c>
      <c r="I508" s="244" t="str">
        <f>IF('รวมครุภัณฑ์ 70'!R333="","",'รวมครุภัณฑ์ 70'!R333)</f>
        <v/>
      </c>
      <c r="J508" s="244"/>
      <c r="K508" s="245">
        <f>'[1]รวมครุภัณฑ์ 70 (data)'!L334</f>
        <v>1207900</v>
      </c>
      <c r="L508" s="245" t="str">
        <f t="shared" si="5"/>
        <v>ทดแทนครุภัณฑ์เดิม</v>
      </c>
    </row>
    <row r="509" spans="1:12">
      <c r="A509" s="241" t="s">
        <v>1819</v>
      </c>
      <c r="B509" s="244">
        <f>'[1]รวมครุภัณฑ์ 70 (data)'!B335</f>
        <v>2570</v>
      </c>
      <c r="C509" s="241" t="s">
        <v>447</v>
      </c>
      <c r="D509" s="244" t="str">
        <f>'[1]รวมครุภัณฑ์ 70 (data)'!C335</f>
        <v>ครุภัณฑ์ยานพาหนะและขนส่ง</v>
      </c>
      <c r="E509" s="244" t="str">
        <f>'[1]รวมครุภัณฑ์ 70 (data)'!G335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09" s="244" t="str">
        <f>'[1]รวมครุภัณฑ์ 70 (data)'!H335</f>
        <v>พมจ.เชียงราย</v>
      </c>
      <c r="G509" s="244" t="str">
        <f>'[1]รวมครุภัณฑ์ 70 (data)'!J335</f>
        <v>เชียงราย</v>
      </c>
      <c r="H509" s="244">
        <f>IF('รวมครุภัณฑ์ 70'!Q334="","",'รวมครุภัณฑ์ 70'!Q334)</f>
        <v>1</v>
      </c>
      <c r="I509" s="244" t="str">
        <f>IF('รวมครุภัณฑ์ 70'!R334="","",'รวมครุภัณฑ์ 70'!R334)</f>
        <v/>
      </c>
      <c r="J509" s="244"/>
      <c r="K509" s="245">
        <f>'[1]รวมครุภัณฑ์ 70 (data)'!L335</f>
        <v>1207900</v>
      </c>
      <c r="L509" s="245" t="str">
        <f t="shared" si="5"/>
        <v>ทดแทนครุภัณฑ์เดิม</v>
      </c>
    </row>
    <row r="510" spans="1:12">
      <c r="A510" s="241" t="s">
        <v>1820</v>
      </c>
      <c r="B510" s="244">
        <f>'[1]รวมครุภัณฑ์ 70 (data)'!B336</f>
        <v>2570</v>
      </c>
      <c r="C510" s="241" t="s">
        <v>447</v>
      </c>
      <c r="D510" s="244" t="str">
        <f>'[1]รวมครุภัณฑ์ 70 (data)'!C336</f>
        <v>ครุภัณฑ์ยานพาหนะและขนส่ง</v>
      </c>
      <c r="E510" s="244" t="str">
        <f>'[1]รวมครุภัณฑ์ 70 (data)'!G336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10" s="244" t="str">
        <f>'[1]รวมครุภัณฑ์ 70 (data)'!H336</f>
        <v>พมจ.น่าน</v>
      </c>
      <c r="G510" s="244" t="str">
        <f>'[1]รวมครุภัณฑ์ 70 (data)'!J336</f>
        <v>น่าน</v>
      </c>
      <c r="H510" s="244">
        <f>IF('รวมครุภัณฑ์ 70'!Q335="","",'รวมครุภัณฑ์ 70'!Q335)</f>
        <v>1</v>
      </c>
      <c r="I510" s="244" t="str">
        <f>IF('รวมครุภัณฑ์ 70'!R335="","",'รวมครุภัณฑ์ 70'!R335)</f>
        <v/>
      </c>
      <c r="J510" s="244"/>
      <c r="K510" s="245">
        <f>'[1]รวมครุภัณฑ์ 70 (data)'!L336</f>
        <v>1207900</v>
      </c>
      <c r="L510" s="245" t="str">
        <f t="shared" si="5"/>
        <v>ทดแทนครุภัณฑ์เดิม</v>
      </c>
    </row>
    <row r="511" spans="1:12">
      <c r="A511" s="241" t="s">
        <v>1821</v>
      </c>
      <c r="B511" s="244">
        <f>'[1]รวมครุภัณฑ์ 70 (data)'!B337</f>
        <v>2570</v>
      </c>
      <c r="C511" s="241" t="s">
        <v>447</v>
      </c>
      <c r="D511" s="244" t="str">
        <f>'[1]รวมครุภัณฑ์ 70 (data)'!C337</f>
        <v>ครุภัณฑ์ยานพาหนะและขนส่ง</v>
      </c>
      <c r="E511" s="244" t="str">
        <f>'[1]รวมครุภัณฑ์ 70 (data)'!G337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11" s="244" t="str">
        <f>'[1]รวมครุภัณฑ์ 70 (data)'!H337</f>
        <v>พมจ.สกลนคร</v>
      </c>
      <c r="G511" s="244" t="str">
        <f>'[1]รวมครุภัณฑ์ 70 (data)'!J337</f>
        <v>สกลนคร</v>
      </c>
      <c r="H511" s="244">
        <f>IF('รวมครุภัณฑ์ 70'!Q336="","",'รวมครุภัณฑ์ 70'!Q336)</f>
        <v>1</v>
      </c>
      <c r="I511" s="244" t="str">
        <f>IF('รวมครุภัณฑ์ 70'!R336="","",'รวมครุภัณฑ์ 70'!R336)</f>
        <v/>
      </c>
      <c r="J511" s="244"/>
      <c r="K511" s="245">
        <f>'[1]รวมครุภัณฑ์ 70 (data)'!L337</f>
        <v>1207900</v>
      </c>
      <c r="L511" s="245" t="str">
        <f t="shared" si="5"/>
        <v>ทดแทนครุภัณฑ์เดิม</v>
      </c>
    </row>
    <row r="512" spans="1:12">
      <c r="A512" s="241" t="s">
        <v>1822</v>
      </c>
      <c r="B512" s="244">
        <f>'[1]รวมครุภัณฑ์ 70 (data)'!B338</f>
        <v>2570</v>
      </c>
      <c r="C512" s="241" t="s">
        <v>447</v>
      </c>
      <c r="D512" s="244" t="str">
        <f>'[1]รวมครุภัณฑ์ 70 (data)'!C338</f>
        <v>ครุภัณฑ์ยานพาหนะและขนส่ง</v>
      </c>
      <c r="E512" s="244" t="str">
        <f>'[1]รวมครุภัณฑ์ 70 (data)'!G338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12" s="244" t="str">
        <f>'[1]รวมครุภัณฑ์ 70 (data)'!H338</f>
        <v>พมจ.สุพรรณบุรี</v>
      </c>
      <c r="G512" s="244" t="str">
        <f>'[1]รวมครุภัณฑ์ 70 (data)'!J338</f>
        <v>สุพรรณบุรี</v>
      </c>
      <c r="H512" s="244">
        <f>IF('รวมครุภัณฑ์ 70'!Q337="","",'รวมครุภัณฑ์ 70'!Q337)</f>
        <v>1</v>
      </c>
      <c r="I512" s="244" t="str">
        <f>IF('รวมครุภัณฑ์ 70'!R337="","",'รวมครุภัณฑ์ 70'!R337)</f>
        <v/>
      </c>
      <c r="J512" s="244"/>
      <c r="K512" s="245">
        <f>'[1]รวมครุภัณฑ์ 70 (data)'!L338</f>
        <v>1207900</v>
      </c>
      <c r="L512" s="245" t="str">
        <f t="shared" si="5"/>
        <v>ทดแทนครุภัณฑ์เดิม</v>
      </c>
    </row>
    <row r="513" spans="1:12">
      <c r="A513" s="241" t="s">
        <v>1823</v>
      </c>
      <c r="B513" s="244">
        <f>'[1]รวมครุภัณฑ์ 70 (data)'!B339</f>
        <v>2570</v>
      </c>
      <c r="C513" s="241" t="s">
        <v>447</v>
      </c>
      <c r="D513" s="244" t="str">
        <f>'[1]รวมครุภัณฑ์ 70 (data)'!C339</f>
        <v>ครุภัณฑ์ยานพาหนะและขนส่ง</v>
      </c>
      <c r="E513" s="244" t="str">
        <f>'[1]รวมครุภัณฑ์ 70 (data)'!G339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13" s="244" t="str">
        <f>'[1]รวมครุภัณฑ์ 70 (data)'!H339</f>
        <v>พมจ.อุทัยธานี</v>
      </c>
      <c r="G513" s="244" t="str">
        <f>'[1]รวมครุภัณฑ์ 70 (data)'!J339</f>
        <v>อุทัยธานี</v>
      </c>
      <c r="H513" s="244">
        <f>IF('รวมครุภัณฑ์ 70'!Q338="","",'รวมครุภัณฑ์ 70'!Q338)</f>
        <v>1</v>
      </c>
      <c r="I513" s="244" t="str">
        <f>IF('รวมครุภัณฑ์ 70'!R338="","",'รวมครุภัณฑ์ 70'!R338)</f>
        <v/>
      </c>
      <c r="J513" s="244"/>
      <c r="K513" s="245">
        <f>'[1]รวมครุภัณฑ์ 70 (data)'!L339</f>
        <v>1207900</v>
      </c>
      <c r="L513" s="245" t="str">
        <f t="shared" si="5"/>
        <v>ทดแทนครุภัณฑ์เดิม</v>
      </c>
    </row>
    <row r="514" spans="1:12">
      <c r="A514" s="241" t="s">
        <v>1824</v>
      </c>
      <c r="B514" s="244">
        <f>'[1]รวมครุภัณฑ์ 70 (data)'!B340</f>
        <v>2570</v>
      </c>
      <c r="C514" s="241" t="s">
        <v>447</v>
      </c>
      <c r="D514" s="244" t="str">
        <f>'[1]รวมครุภัณฑ์ 70 (data)'!C340</f>
        <v>ครุภัณฑ์ยานพาหนะและขนส่ง</v>
      </c>
      <c r="E514" s="244" t="str">
        <f>'[1]รวมครุภัณฑ์ 70 (data)'!G340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14" s="244" t="str">
        <f>'[1]รวมครุภัณฑ์ 70 (data)'!H340</f>
        <v>พมจ.ลำพูน</v>
      </c>
      <c r="G514" s="244" t="str">
        <f>'[1]รวมครุภัณฑ์ 70 (data)'!J340</f>
        <v>ลำพูน</v>
      </c>
      <c r="H514" s="244">
        <f>IF('รวมครุภัณฑ์ 70'!Q339="","",'รวมครุภัณฑ์ 70'!Q339)</f>
        <v>1</v>
      </c>
      <c r="I514" s="244" t="str">
        <f>IF('รวมครุภัณฑ์ 70'!R339="","",'รวมครุภัณฑ์ 70'!R339)</f>
        <v/>
      </c>
      <c r="J514" s="244"/>
      <c r="K514" s="245">
        <f>'[1]รวมครุภัณฑ์ 70 (data)'!L340</f>
        <v>1207900</v>
      </c>
      <c r="L514" s="245" t="str">
        <f t="shared" si="5"/>
        <v>ทดแทนครุภัณฑ์เดิม</v>
      </c>
    </row>
    <row r="515" spans="1:12">
      <c r="A515" s="241" t="s">
        <v>1825</v>
      </c>
      <c r="B515" s="244">
        <f>'[1]รวมครุภัณฑ์ 70 (data)'!B341</f>
        <v>2570</v>
      </c>
      <c r="C515" s="241" t="s">
        <v>447</v>
      </c>
      <c r="D515" s="244" t="str">
        <f>'[1]รวมครุภัณฑ์ 70 (data)'!C341</f>
        <v>ครุภัณฑ์ยานพาหนะและขนส่ง</v>
      </c>
      <c r="E515" s="244" t="str">
        <f>'[1]รวมครุภัณฑ์ 70 (data)'!G341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15" s="244" t="str">
        <f>'[1]รวมครุภัณฑ์ 70 (data)'!H341</f>
        <v>พมจ.ลพบุรี</v>
      </c>
      <c r="G515" s="244" t="str">
        <f>'[1]รวมครุภัณฑ์ 70 (data)'!J341</f>
        <v>ลพบุรี</v>
      </c>
      <c r="H515" s="244">
        <f>IF('รวมครุภัณฑ์ 70'!Q340="","",'รวมครุภัณฑ์ 70'!Q340)</f>
        <v>1</v>
      </c>
      <c r="I515" s="244" t="str">
        <f>IF('รวมครุภัณฑ์ 70'!R340="","",'รวมครุภัณฑ์ 70'!R340)</f>
        <v/>
      </c>
      <c r="J515" s="244"/>
      <c r="K515" s="245">
        <f>'[1]รวมครุภัณฑ์ 70 (data)'!L341</f>
        <v>1207900</v>
      </c>
      <c r="L515" s="245" t="str">
        <f t="shared" si="5"/>
        <v>ทดแทนครุภัณฑ์เดิม</v>
      </c>
    </row>
    <row r="516" spans="1:12">
      <c r="A516" s="241" t="s">
        <v>1826</v>
      </c>
      <c r="B516" s="244">
        <f>'[1]รวมครุภัณฑ์ 70 (data)'!B342</f>
        <v>2570</v>
      </c>
      <c r="C516" s="241" t="s">
        <v>447</v>
      </c>
      <c r="D516" s="244" t="str">
        <f>'[1]รวมครุภัณฑ์ 70 (data)'!C342</f>
        <v>ครุภัณฑ์ยานพาหนะและขนส่ง</v>
      </c>
      <c r="E516" s="244" t="str">
        <f>'[1]รวมครุภัณฑ์ 70 (data)'!G342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16" s="244" t="str">
        <f>'[1]รวมครุภัณฑ์ 70 (data)'!H342</f>
        <v>พมจ.ชัยภูมิ</v>
      </c>
      <c r="G516" s="244" t="str">
        <f>'[1]รวมครุภัณฑ์ 70 (data)'!J342</f>
        <v>ชัยภูมิ</v>
      </c>
      <c r="H516" s="244">
        <f>IF('รวมครุภัณฑ์ 70'!Q341="","",'รวมครุภัณฑ์ 70'!Q341)</f>
        <v>1</v>
      </c>
      <c r="I516" s="244" t="str">
        <f>IF('รวมครุภัณฑ์ 70'!R341="","",'รวมครุภัณฑ์ 70'!R341)</f>
        <v/>
      </c>
      <c r="J516" s="244"/>
      <c r="K516" s="245">
        <f>'[1]รวมครุภัณฑ์ 70 (data)'!L342</f>
        <v>1207900</v>
      </c>
      <c r="L516" s="245" t="str">
        <f t="shared" si="5"/>
        <v>ทดแทนครุภัณฑ์เดิม</v>
      </c>
    </row>
    <row r="517" spans="1:12">
      <c r="A517" s="241" t="s">
        <v>1827</v>
      </c>
      <c r="B517" s="244">
        <f>'[1]รวมครุภัณฑ์ 70 (data)'!B343</f>
        <v>2570</v>
      </c>
      <c r="C517" s="241" t="s">
        <v>447</v>
      </c>
      <c r="D517" s="244" t="str">
        <f>'[1]รวมครุภัณฑ์ 70 (data)'!C343</f>
        <v>ครุภัณฑ์ยานพาหนะและขนส่ง</v>
      </c>
      <c r="E517" s="244" t="str">
        <f>'[1]รวมครุภัณฑ์ 70 (data)'!G343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17" s="244" t="str">
        <f>'[1]รวมครุภัณฑ์ 70 (data)'!H343</f>
        <v>พมจ.พระนครศรีอยุธยา</v>
      </c>
      <c r="G517" s="244" t="str">
        <f>'[1]รวมครุภัณฑ์ 70 (data)'!J343</f>
        <v>พระนครศรีอยุธยา</v>
      </c>
      <c r="H517" s="244">
        <f>IF('รวมครุภัณฑ์ 70'!Q342="","",'รวมครุภัณฑ์ 70'!Q342)</f>
        <v>1</v>
      </c>
      <c r="I517" s="244" t="str">
        <f>IF('รวมครุภัณฑ์ 70'!R342="","",'รวมครุภัณฑ์ 70'!R342)</f>
        <v/>
      </c>
      <c r="J517" s="244"/>
      <c r="K517" s="245">
        <f>'[1]รวมครุภัณฑ์ 70 (data)'!L343</f>
        <v>1207900</v>
      </c>
      <c r="L517" s="245" t="str">
        <f t="shared" si="5"/>
        <v>ทดแทนครุภัณฑ์เดิม</v>
      </c>
    </row>
    <row r="518" spans="1:12">
      <c r="A518" s="241" t="s">
        <v>1828</v>
      </c>
      <c r="B518" s="244">
        <f>'[1]รวมครุภัณฑ์ 70 (data)'!B344</f>
        <v>2570</v>
      </c>
      <c r="C518" s="241" t="s">
        <v>447</v>
      </c>
      <c r="D518" s="244" t="str">
        <f>'[1]รวมครุภัณฑ์ 70 (data)'!C344</f>
        <v>ครุภัณฑ์ยานพาหนะและขนส่ง</v>
      </c>
      <c r="E518" s="244" t="str">
        <f>'[1]รวมครุภัณฑ์ 70 (data)'!G344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18" s="244" t="str">
        <f>'[1]รวมครุภัณฑ์ 70 (data)'!H344</f>
        <v>พมจ.ตรัง</v>
      </c>
      <c r="G518" s="244" t="str">
        <f>'[1]รวมครุภัณฑ์ 70 (data)'!J344</f>
        <v>ตรัง</v>
      </c>
      <c r="H518" s="244">
        <f>IF('รวมครุภัณฑ์ 70'!Q343="","",'รวมครุภัณฑ์ 70'!Q343)</f>
        <v>1</v>
      </c>
      <c r="I518" s="244" t="str">
        <f>IF('รวมครุภัณฑ์ 70'!R343="","",'รวมครุภัณฑ์ 70'!R343)</f>
        <v/>
      </c>
      <c r="J518" s="244"/>
      <c r="K518" s="245">
        <f>'[1]รวมครุภัณฑ์ 70 (data)'!L344</f>
        <v>1207900</v>
      </c>
      <c r="L518" s="245" t="str">
        <f t="shared" si="5"/>
        <v>ทดแทนครุภัณฑ์เดิม</v>
      </c>
    </row>
    <row r="519" spans="1:12">
      <c r="A519" s="241" t="s">
        <v>1829</v>
      </c>
      <c r="B519" s="244">
        <f>'[1]รวมครุภัณฑ์ 70 (data)'!B345</f>
        <v>2570</v>
      </c>
      <c r="C519" s="241" t="s">
        <v>447</v>
      </c>
      <c r="D519" s="244" t="str">
        <f>'[1]รวมครุภัณฑ์ 70 (data)'!C345</f>
        <v>ครุภัณฑ์ยานพาหนะและขนส่ง</v>
      </c>
      <c r="E519" s="244" t="str">
        <f>'[1]รวมครุภัณฑ์ 70 (data)'!G345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19" s="244" t="str">
        <f>'[1]รวมครุภัณฑ์ 70 (data)'!H345</f>
        <v>พมจ.พัทลุง</v>
      </c>
      <c r="G519" s="244" t="str">
        <f>'[1]รวมครุภัณฑ์ 70 (data)'!J345</f>
        <v>พัทลุง</v>
      </c>
      <c r="H519" s="244">
        <f>IF('รวมครุภัณฑ์ 70'!Q344="","",'รวมครุภัณฑ์ 70'!Q344)</f>
        <v>1</v>
      </c>
      <c r="I519" s="244" t="str">
        <f>IF('รวมครุภัณฑ์ 70'!R344="","",'รวมครุภัณฑ์ 70'!R344)</f>
        <v/>
      </c>
      <c r="J519" s="244"/>
      <c r="K519" s="245">
        <f>'[1]รวมครุภัณฑ์ 70 (data)'!L345</f>
        <v>1207900</v>
      </c>
      <c r="L519" s="245" t="str">
        <f t="shared" si="5"/>
        <v>ทดแทนครุภัณฑ์เดิม</v>
      </c>
    </row>
    <row r="520" spans="1:12">
      <c r="A520" s="241" t="s">
        <v>1830</v>
      </c>
      <c r="B520" s="244">
        <f>'[1]รวมครุภัณฑ์ 70 (data)'!B346</f>
        <v>2570</v>
      </c>
      <c r="C520" s="241" t="s">
        <v>447</v>
      </c>
      <c r="D520" s="244" t="str">
        <f>'[1]รวมครุภัณฑ์ 70 (data)'!C346</f>
        <v>ครุภัณฑ์ยานพาหนะและขนส่ง</v>
      </c>
      <c r="E520" s="244" t="str">
        <f>'[1]รวมครุภัณฑ์ 70 (data)'!G346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20" s="244" t="str">
        <f>'[1]รวมครุภัณฑ์ 70 (data)'!H346</f>
        <v>พมจ.พิษณุโลก</v>
      </c>
      <c r="G520" s="244" t="str">
        <f>'[1]รวมครุภัณฑ์ 70 (data)'!J346</f>
        <v>พิษณุโลก</v>
      </c>
      <c r="H520" s="244">
        <f>IF('รวมครุภัณฑ์ 70'!Q345="","",'รวมครุภัณฑ์ 70'!Q345)</f>
        <v>1</v>
      </c>
      <c r="I520" s="244" t="str">
        <f>IF('รวมครุภัณฑ์ 70'!R345="","",'รวมครุภัณฑ์ 70'!R345)</f>
        <v/>
      </c>
      <c r="J520" s="244"/>
      <c r="K520" s="245">
        <f>'[1]รวมครุภัณฑ์ 70 (data)'!L346</f>
        <v>1207900</v>
      </c>
      <c r="L520" s="245" t="str">
        <f t="shared" si="5"/>
        <v>ทดแทนครุภัณฑ์เดิม</v>
      </c>
    </row>
    <row r="521" spans="1:12">
      <c r="A521" s="241" t="s">
        <v>1831</v>
      </c>
      <c r="B521" s="244">
        <f>'[1]รวมครุภัณฑ์ 70 (data)'!B347</f>
        <v>2570</v>
      </c>
      <c r="C521" s="241" t="s">
        <v>447</v>
      </c>
      <c r="D521" s="244" t="str">
        <f>'[1]รวมครุภัณฑ์ 70 (data)'!C347</f>
        <v>ครุภัณฑ์ยานพาหนะและขนส่ง</v>
      </c>
      <c r="E521" s="244" t="str">
        <f>'[1]รวมครุภัณฑ์ 70 (data)'!G347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21" s="244" t="str">
        <f>'[1]รวมครุภัณฑ์ 70 (data)'!H347</f>
        <v>พมจ.แม่ฮ่องสอน</v>
      </c>
      <c r="G521" s="244" t="str">
        <f>'[1]รวมครุภัณฑ์ 70 (data)'!J347</f>
        <v xml:space="preserve">แม่ฮ่องสอน </v>
      </c>
      <c r="H521" s="244">
        <f>IF('รวมครุภัณฑ์ 70'!Q346="","",'รวมครุภัณฑ์ 70'!Q346)</f>
        <v>1</v>
      </c>
      <c r="I521" s="244" t="str">
        <f>IF('รวมครุภัณฑ์ 70'!R346="","",'รวมครุภัณฑ์ 70'!R346)</f>
        <v/>
      </c>
      <c r="J521" s="244"/>
      <c r="K521" s="245">
        <f>'[1]รวมครุภัณฑ์ 70 (data)'!L347</f>
        <v>1207900</v>
      </c>
      <c r="L521" s="245" t="str">
        <f t="shared" si="5"/>
        <v>ทดแทนครุภัณฑ์เดิม</v>
      </c>
    </row>
    <row r="522" spans="1:12">
      <c r="A522" s="241" t="s">
        <v>1832</v>
      </c>
      <c r="B522" s="244">
        <f>'[1]รวมครุภัณฑ์ 70 (data)'!B348</f>
        <v>2570</v>
      </c>
      <c r="C522" s="241" t="s">
        <v>447</v>
      </c>
      <c r="D522" s="244" t="str">
        <f>'[1]รวมครุภัณฑ์ 70 (data)'!C348</f>
        <v>ครุภัณฑ์ยานพาหนะและขนส่ง</v>
      </c>
      <c r="E522" s="244" t="str">
        <f>'[1]รวมครุภัณฑ์ 70 (data)'!G348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22" s="244" t="str">
        <f>'[1]รวมครุภัณฑ์ 70 (data)'!H348</f>
        <v>พมจ.บึงกาฬ</v>
      </c>
      <c r="G522" s="244" t="str">
        <f>'[1]รวมครุภัณฑ์ 70 (data)'!J348</f>
        <v>บึงกาฬ</v>
      </c>
      <c r="H522" s="244">
        <f>IF('รวมครุภัณฑ์ 70'!Q347="","",'รวมครุภัณฑ์ 70'!Q347)</f>
        <v>1</v>
      </c>
      <c r="I522" s="244" t="str">
        <f>IF('รวมครุภัณฑ์ 70'!R347="","",'รวมครุภัณฑ์ 70'!R347)</f>
        <v/>
      </c>
      <c r="J522" s="244"/>
      <c r="K522" s="245">
        <f>'[1]รวมครุภัณฑ์ 70 (data)'!L348</f>
        <v>1207900</v>
      </c>
      <c r="L522" s="245" t="str">
        <f t="shared" si="5"/>
        <v>ทดแทนครุภัณฑ์เดิม</v>
      </c>
    </row>
    <row r="523" spans="1:12">
      <c r="A523" s="241" t="s">
        <v>1833</v>
      </c>
      <c r="B523" s="244">
        <f>'[1]รวมครุภัณฑ์ 70 (data)'!B349</f>
        <v>2570</v>
      </c>
      <c r="C523" s="241" t="s">
        <v>447</v>
      </c>
      <c r="D523" s="244" t="str">
        <f>'[1]รวมครุภัณฑ์ 70 (data)'!C349</f>
        <v>ครุภัณฑ์ยานพาหนะและขนส่ง</v>
      </c>
      <c r="E523" s="244" t="str">
        <f>'[1]รวมครุภัณฑ์ 70 (data)'!G349</f>
        <v>รถบรรทุก (ดีเซล)  ขนาด 1 ตัน ปริมาตรกระบอกสูบไม่ต่ำกว่า2,400 ซีซี หรือกำลังเครื่องยนต์สูงสุดไม่ต่ำกว่า 110 กิโลวัตต์ ขับเคลื่อน 4 ล้อแบบดับเบิ้ลแค็บ พร้อมหลังคา ไฟเบอร์กลาสหรือเหล็ก</v>
      </c>
      <c r="F523" s="244" t="str">
        <f>'[1]รวมครุภัณฑ์ 70 (data)'!H349</f>
        <v>พมจ.ยะลา</v>
      </c>
      <c r="G523" s="244" t="str">
        <f>'[1]รวมครุภัณฑ์ 70 (data)'!J349</f>
        <v>ยะลา</v>
      </c>
      <c r="H523" s="244" t="str">
        <f>IF('รวมครุภัณฑ์ 70'!Q348="","",'รวมครุภัณฑ์ 70'!Q348)</f>
        <v/>
      </c>
      <c r="I523" s="244">
        <f>IF('รวมครุภัณฑ์ 70'!R348="","",'รวมครุภัณฑ์ 70'!R348)</f>
        <v>1</v>
      </c>
      <c r="J523" s="244"/>
      <c r="K523" s="245">
        <f>'[1]รวมครุภัณฑ์ 70 (data)'!L349</f>
        <v>1207900</v>
      </c>
      <c r="L523" s="245" t="str">
        <f t="shared" si="5"/>
        <v>เพิ่มประสิทธิภาพ</v>
      </c>
    </row>
    <row r="524" spans="1:12">
      <c r="A524" s="241" t="s">
        <v>1834</v>
      </c>
      <c r="B524" s="244">
        <f>'[1]รวมครุภัณฑ์ 70 (data)'!B350</f>
        <v>2570</v>
      </c>
      <c r="C524" s="241" t="s">
        <v>447</v>
      </c>
      <c r="D524" s="244" t="str">
        <f>'[1]รวมครุภัณฑ์ 70 (data)'!C350</f>
        <v>ครุภัณฑ์ยานพาหนะและขนส่ง</v>
      </c>
      <c r="E524" s="244" t="str">
        <f>'[1]รวมครุภัณฑ์ 70 (data)'!G350</f>
        <v xml:space="preserve">รถยนต์ตรวจการณ์ ปริมาตรกระบอกสูบไม่ต่ำกว่า 2,000 ซีซี หรือกำลังเครื่องยนต์ สูงสุดไม่ต่ำกว่า 100 กิโลวัตต์ เครื่องยนต์เบนซิน แบบขับเคลื่อน 2 ล้อ </v>
      </c>
      <c r="F524" s="244" t="str">
        <f>'[1]รวมครุภัณฑ์ 70 (data)'!H350</f>
        <v>พมจ.นครราชสีมา</v>
      </c>
      <c r="G524" s="244" t="str">
        <f>'[1]รวมครุภัณฑ์ 70 (data)'!J350</f>
        <v xml:space="preserve">นครราชสีมา </v>
      </c>
      <c r="H524" s="244" t="str">
        <f>IF('รวมครุภัณฑ์ 70'!Q349="","",'รวมครุภัณฑ์ 70'!Q349)</f>
        <v/>
      </c>
      <c r="I524" s="244">
        <f>IF('รวมครุภัณฑ์ 70'!R349="","",'รวมครุภัณฑ์ 70'!R349)</f>
        <v>1</v>
      </c>
      <c r="J524" s="244"/>
      <c r="K524" s="245">
        <f>'[1]รวมครุภัณฑ์ 70 (data)'!L350</f>
        <v>1477000</v>
      </c>
      <c r="L524" s="245" t="str">
        <f t="shared" si="5"/>
        <v>เพิ่มประสิทธิภาพ</v>
      </c>
    </row>
    <row r="525" spans="1:12">
      <c r="A525" s="241" t="s">
        <v>1835</v>
      </c>
      <c r="B525" s="244">
        <f>'[1]รวมครุภัณฑ์ 70 (data)'!B351</f>
        <v>2570</v>
      </c>
      <c r="C525" s="241" t="s">
        <v>447</v>
      </c>
      <c r="D525" s="244" t="str">
        <f>'[1]รวมครุภัณฑ์ 70 (data)'!C351</f>
        <v>ครุภัณฑ์ยานพาหนะและขนส่ง</v>
      </c>
      <c r="E525" s="244" t="str">
        <f>'[1]รวมครุภัณฑ์ 70 (data)'!G351</f>
        <v xml:space="preserve">รถยนต์ตรวจการณ์ ปริมาตรกระบอกสูบไม่ต่ำกว่า 2,000 ซีซี หรือกำลังเครื่องยนต์ สูงสุดไม่ต่ำกว่า 110 กิโลวัตต์ เครื่องยนต์ดิเซล แบบขับเคลื่อน 4 ล้อ </v>
      </c>
      <c r="F525" s="244" t="str">
        <f>'[1]รวมครุภัณฑ์ 70 (data)'!H351</f>
        <v>พมจ.สกลนคร</v>
      </c>
      <c r="G525" s="244" t="str">
        <f>'[1]รวมครุภัณฑ์ 70 (data)'!J351</f>
        <v>สกลนคร</v>
      </c>
      <c r="H525" s="244" t="str">
        <f>IF('รวมครุภัณฑ์ 70'!Q350="","",'รวมครุภัณฑ์ 70'!Q350)</f>
        <v/>
      </c>
      <c r="I525" s="244">
        <f>IF('รวมครุภัณฑ์ 70'!R350="","",'รวมครุภัณฑ์ 70'!R350)</f>
        <v>1</v>
      </c>
      <c r="J525" s="244"/>
      <c r="K525" s="245">
        <f>'[1]รวมครุภัณฑ์ 70 (data)'!L351</f>
        <v>1664000</v>
      </c>
      <c r="L525" s="245" t="str">
        <f t="shared" si="5"/>
        <v>เพิ่มประสิทธิภาพ</v>
      </c>
    </row>
    <row r="526" spans="1:12">
      <c r="A526" s="241" t="s">
        <v>1836</v>
      </c>
      <c r="B526" s="244">
        <f>'[1]รวมครุภัณฑ์ 70 (data)'!B352</f>
        <v>2570</v>
      </c>
      <c r="C526" s="241" t="s">
        <v>447</v>
      </c>
      <c r="D526" s="244" t="str">
        <f>'[1]รวมครุภัณฑ์ 70 (data)'!C352</f>
        <v>ครุภัณฑ์ยานพาหนะและขนส่ง</v>
      </c>
      <c r="E526" s="244" t="str">
        <f>'[1]รวมครุภัณฑ์ 70 (data)'!G352</f>
        <v>รถจักรยานยนต์ ขนาด 110 ซีซี แบบเกียร์อัตโนมัติ</v>
      </c>
      <c r="F526" s="244" t="str">
        <f>'[1]รวมครุภัณฑ์ 70 (data)'!H352</f>
        <v>พมจ.ยโสธร</v>
      </c>
      <c r="G526" s="244" t="str">
        <f>'[1]รวมครุภัณฑ์ 70 (data)'!J352</f>
        <v>ยโสธร</v>
      </c>
      <c r="H526" s="244">
        <f>IF('รวมครุภัณฑ์ 70'!Q351="","",'รวมครุภัณฑ์ 70'!Q351)</f>
        <v>1</v>
      </c>
      <c r="I526" s="244" t="str">
        <f>IF('รวมครุภัณฑ์ 70'!R351="","",'รวมครุภัณฑ์ 70'!R351)</f>
        <v/>
      </c>
      <c r="J526" s="244"/>
      <c r="K526" s="245">
        <f>'[1]รวมครุภัณฑ์ 70 (data)'!L352</f>
        <v>52000</v>
      </c>
      <c r="L526" s="245" t="str">
        <f t="shared" si="5"/>
        <v>ทดแทนครุภัณฑ์เดิม</v>
      </c>
    </row>
    <row r="527" spans="1:12">
      <c r="A527" s="241" t="s">
        <v>1837</v>
      </c>
      <c r="B527" s="244">
        <f>'[1]รวมครุภัณฑ์ 70 (data)'!B353</f>
        <v>2570</v>
      </c>
      <c r="C527" s="241" t="s">
        <v>447</v>
      </c>
      <c r="D527" s="244" t="str">
        <f>'[1]รวมครุภัณฑ์ 70 (data)'!C353</f>
        <v>ครุภัณฑ์ยานพาหนะและขนส่ง</v>
      </c>
      <c r="E527" s="244" t="str">
        <f>'[1]รวมครุภัณฑ์ 70 (data)'!G353</f>
        <v xml:space="preserve">รถจักรยานยนต์ ขนาด 120 ซีซี </v>
      </c>
      <c r="F527" s="244" t="str">
        <f>'[1]รวมครุภัณฑ์ 70 (data)'!H353</f>
        <v>พมจ.แม่ฮ่องสอน</v>
      </c>
      <c r="G527" s="244" t="str">
        <f>'[1]รวมครุภัณฑ์ 70 (data)'!J353</f>
        <v xml:space="preserve">แม่ฮ่องสอน </v>
      </c>
      <c r="H527" s="244">
        <f>IF('รวมครุภัณฑ์ 70'!Q352="","",'รวมครุภัณฑ์ 70'!Q352)</f>
        <v>1</v>
      </c>
      <c r="I527" s="244" t="str">
        <f>IF('รวมครุภัณฑ์ 70'!R352="","",'รวมครุภัณฑ์ 70'!R352)</f>
        <v/>
      </c>
      <c r="J527" s="244"/>
      <c r="K527" s="245">
        <f>'[1]รวมครุภัณฑ์ 70 (data)'!L353</f>
        <v>60100</v>
      </c>
      <c r="L527" s="245" t="str">
        <f t="shared" si="5"/>
        <v>ทดแทนครุภัณฑ์เดิม</v>
      </c>
    </row>
    <row r="528" spans="1:12">
      <c r="A528" s="241" t="s">
        <v>1838</v>
      </c>
      <c r="B528" s="244">
        <f>'[1]รวมครุภัณฑ์ 70 (data)'!B354</f>
        <v>2570</v>
      </c>
      <c r="C528" s="241" t="s">
        <v>447</v>
      </c>
      <c r="D528" s="244" t="str">
        <f>'[1]รวมครุภัณฑ์ 70 (data)'!C354</f>
        <v>ครุภัณฑ์ยานพาหนะและขนส่ง</v>
      </c>
      <c r="E528" s="244" t="str">
        <f>'[1]รวมครุภัณฑ์ 70 (data)'!G354</f>
        <v xml:space="preserve">รถจักรยานยนต์ ขนาด 120 ซีซี </v>
      </c>
      <c r="F528" s="244" t="str">
        <f>'[1]รวมครุภัณฑ์ 70 (data)'!H354</f>
        <v>พมจ.นครศรีธรรมราช</v>
      </c>
      <c r="G528" s="244" t="str">
        <f>'[1]รวมครุภัณฑ์ 70 (data)'!J354</f>
        <v>นครศรีธรรมราช</v>
      </c>
      <c r="H528" s="244">
        <f>IF('รวมครุภัณฑ์ 70'!Q353="","",'รวมครุภัณฑ์ 70'!Q353)</f>
        <v>1</v>
      </c>
      <c r="I528" s="244" t="str">
        <f>IF('รวมครุภัณฑ์ 70'!R353="","",'รวมครุภัณฑ์ 70'!R353)</f>
        <v/>
      </c>
      <c r="J528" s="244"/>
      <c r="K528" s="245">
        <f>'[1]รวมครุภัณฑ์ 70 (data)'!L354</f>
        <v>60100</v>
      </c>
      <c r="L528" s="245" t="str">
        <f t="shared" si="5"/>
        <v>ทดแทนครุภัณฑ์เดิม</v>
      </c>
    </row>
    <row r="529" spans="1:12">
      <c r="A529" s="241" t="s">
        <v>1839</v>
      </c>
      <c r="B529" s="244">
        <f>'[1]รวมครุภัณฑ์ 70 (data)'!B355</f>
        <v>2570</v>
      </c>
      <c r="C529" s="241" t="s">
        <v>447</v>
      </c>
      <c r="D529" s="244" t="str">
        <f>'[1]รวมครุภัณฑ์ 70 (data)'!C355</f>
        <v>ครุภัณฑ์ยานพาหนะและขนส่ง</v>
      </c>
      <c r="E529" s="244" t="str">
        <f>'[1]รวมครุภัณฑ์ 70 (data)'!G355</f>
        <v xml:space="preserve">รถจักรยานยนต์ ขนาด 120 ซีซี </v>
      </c>
      <c r="F529" s="244" t="str">
        <f>'[1]รวมครุภัณฑ์ 70 (data)'!H355</f>
        <v>พมจ.สุโขทัย</v>
      </c>
      <c r="G529" s="244" t="str">
        <f>'[1]รวมครุภัณฑ์ 70 (data)'!J355</f>
        <v>สุโขทัย</v>
      </c>
      <c r="H529" s="244">
        <f>IF('รวมครุภัณฑ์ 70'!Q354="","",'รวมครุภัณฑ์ 70'!Q354)</f>
        <v>1</v>
      </c>
      <c r="I529" s="244" t="str">
        <f>IF('รวมครุภัณฑ์ 70'!R354="","",'รวมครุภัณฑ์ 70'!R354)</f>
        <v/>
      </c>
      <c r="J529" s="244"/>
      <c r="K529" s="245">
        <f>'[1]รวมครุภัณฑ์ 70 (data)'!L355</f>
        <v>60100</v>
      </c>
      <c r="L529" s="245" t="str">
        <f t="shared" si="5"/>
        <v>ทดแทนครุภัณฑ์เดิม</v>
      </c>
    </row>
    <row r="530" spans="1:12">
      <c r="A530" s="241" t="s">
        <v>1840</v>
      </c>
      <c r="B530" s="244">
        <f>'[1]รวมครุภัณฑ์ 70 (data)'!B356</f>
        <v>2570</v>
      </c>
      <c r="C530" s="241" t="s">
        <v>447</v>
      </c>
      <c r="D530" s="244" t="str">
        <f>'[1]รวมครุภัณฑ์ 70 (data)'!C356</f>
        <v>ครุภัณฑ์คอมพิวเตอร์</v>
      </c>
      <c r="E530" s="244" t="str">
        <f>'[1]รวมครุภัณฑ์ 70 (data)'!G356</f>
        <v xml:space="preserve"> เครื่องคอมพิวเตอร์ สำหรับงานประมวลผลแบบที่ 1 (จอแสดงภาพขนาด   ไม่น้อยกว่า 19 นิ้ว) พร้อมชุดโปรแกรมระบบปฏิบัติการ และเครื่องสำรองไฟฟ้า </v>
      </c>
      <c r="F530" s="244" t="str">
        <f>'[1]รวมครุภัณฑ์ 70 (data)'!H356</f>
        <v>ศทส.</v>
      </c>
      <c r="G530" s="244" t="str">
        <f>'[1]รวมครุภัณฑ์ 70 (data)'!J356</f>
        <v>กรุงเทพมหานคร</v>
      </c>
      <c r="H530" s="244">
        <f>IF('รวมครุภัณฑ์ 70'!Q355="","",'รวมครุภัณฑ์ 70'!Q355)</f>
        <v>687</v>
      </c>
      <c r="I530" s="244" t="str">
        <f>IF('รวมครุภัณฑ์ 70'!R355="","",'รวมครุภัณฑ์ 70'!R355)</f>
        <v/>
      </c>
      <c r="J530" s="244"/>
      <c r="K530" s="245">
        <f>'[1]รวมครุภัณฑ์ 70 (data)'!L356</f>
        <v>21090900</v>
      </c>
      <c r="L530" s="245" t="str">
        <f t="shared" si="5"/>
        <v>ทดแทนครุภัณฑ์เดิม</v>
      </c>
    </row>
    <row r="531" spans="1:12">
      <c r="A531" s="241" t="s">
        <v>1841</v>
      </c>
      <c r="B531" s="244">
        <f>'[1]รวมครุภัณฑ์ 70 (data)'!B357</f>
        <v>2570</v>
      </c>
      <c r="C531" s="241" t="s">
        <v>447</v>
      </c>
      <c r="D531" s="244" t="str">
        <f>'[1]รวมครุภัณฑ์ 70 (data)'!C357</f>
        <v>ครุภัณฑ์คอมพิวเตอร์</v>
      </c>
      <c r="E531" s="244" t="str">
        <f>'[1]รวมครุภัณฑ์ 70 (data)'!G357</f>
        <v>เครื่องคอมพิวเตอร์โน้ตบุ๊ก สำหรับงานประมวลผล พร้อมชุดโปรแกรมระบบปฏิบัติการ</v>
      </c>
      <c r="F531" s="244" t="str">
        <f>'[1]รวมครุภัณฑ์ 70 (data)'!H357</f>
        <v>ศทส.</v>
      </c>
      <c r="G531" s="244" t="str">
        <f>'[1]รวมครุภัณฑ์ 70 (data)'!J357</f>
        <v>กรุงเทพมหานคร</v>
      </c>
      <c r="H531" s="244">
        <f>IF('รวมครุภัณฑ์ 70'!Q356="","",'รวมครุภัณฑ์ 70'!Q356)</f>
        <v>219</v>
      </c>
      <c r="I531" s="244" t="str">
        <f>IF('รวมครุภัณฑ์ 70'!R356="","",'รวมครุภัณฑ์ 70'!R356)</f>
        <v/>
      </c>
      <c r="J531" s="244"/>
      <c r="K531" s="245">
        <f>'[1]รวมครุภัณฑ์ 70 (data)'!L357</f>
        <v>6175800</v>
      </c>
      <c r="L531" s="245" t="str">
        <f t="shared" si="5"/>
        <v>ทดแทนครุภัณฑ์เดิม</v>
      </c>
    </row>
    <row r="532" spans="1:12">
      <c r="A532" s="241" t="s">
        <v>1842</v>
      </c>
      <c r="B532" s="244">
        <f>'[1]รวมครุภัณฑ์ 70 (data)'!B358</f>
        <v>2570</v>
      </c>
      <c r="C532" s="241" t="s">
        <v>447</v>
      </c>
      <c r="D532" s="244" t="str">
        <f>'[1]รวมครุภัณฑ์ 70 (data)'!C358</f>
        <v>ครุภัณฑ์คอมพิวเตอร์</v>
      </c>
      <c r="E532" s="244" t="str">
        <f>'[1]รวมครุภัณฑ์ 70 (data)'!G358</f>
        <v>เครื่องพิมพ์เลเซอร์ หรือ LED ขาวดำ ชนิด Network แบบที่ 1 (28หน้า/นาที)</v>
      </c>
      <c r="F532" s="244" t="str">
        <f>'[1]รวมครุภัณฑ์ 70 (data)'!H358</f>
        <v>ศทส.</v>
      </c>
      <c r="G532" s="244" t="str">
        <f>'[1]รวมครุภัณฑ์ 70 (data)'!J358</f>
        <v>กรุงเทพมหานคร</v>
      </c>
      <c r="H532" s="244">
        <f>IF('รวมครุภัณฑ์ 70'!Q357="","",'รวมครุภัณฑ์ 70'!Q357)</f>
        <v>168</v>
      </c>
      <c r="I532" s="244" t="str">
        <f>IF('รวมครุภัณฑ์ 70'!R357="","",'รวมครุภัณฑ์ 70'!R357)</f>
        <v/>
      </c>
      <c r="J532" s="244"/>
      <c r="K532" s="245">
        <f>'[1]รวมครุภัณฑ์ 70 (data)'!L358</f>
        <v>1495200</v>
      </c>
      <c r="L532" s="245" t="str">
        <f t="shared" si="5"/>
        <v>ทดแทนครุภัณฑ์เดิม</v>
      </c>
    </row>
    <row r="533" spans="1:12">
      <c r="A533" s="241" t="s">
        <v>1843</v>
      </c>
      <c r="B533" s="244">
        <f>'[1]รวมครุภัณฑ์ 70 (data)'!B359</f>
        <v>2570</v>
      </c>
      <c r="C533" s="241" t="s">
        <v>447</v>
      </c>
      <c r="D533" s="244" t="str">
        <f>'[1]รวมครุภัณฑ์ 70 (data)'!C359</f>
        <v>ครุภัณฑ์คอมพิวเตอร์</v>
      </c>
      <c r="E533" s="244" t="str">
        <f>'[1]รวมครุภัณฑ์ 70 (data)'!G359</f>
        <v>เครื่องพิมพ์เลเซอร์ หรือ LED สี ชนิด Network แบบที่ 1</v>
      </c>
      <c r="F533" s="244" t="str">
        <f>'[1]รวมครุภัณฑ์ 70 (data)'!H359</f>
        <v>ศทส.</v>
      </c>
      <c r="G533" s="244" t="str">
        <f>'[1]รวมครุภัณฑ์ 70 (data)'!J359</f>
        <v>กรุงเทพมหานคร</v>
      </c>
      <c r="H533" s="244">
        <f>IF('รวมครุภัณฑ์ 70'!Q358="","",'รวมครุภัณฑ์ 70'!Q358)</f>
        <v>3</v>
      </c>
      <c r="I533" s="244" t="str">
        <f>IF('รวมครุภัณฑ์ 70'!R358="","",'รวมครุภัณฑ์ 70'!R358)</f>
        <v/>
      </c>
      <c r="J533" s="244"/>
      <c r="K533" s="245">
        <f>'[1]รวมครุภัณฑ์ 70 (data)'!L359</f>
        <v>33000</v>
      </c>
      <c r="L533" s="245" t="str">
        <f t="shared" si="5"/>
        <v>ทดแทนครุภัณฑ์เดิม</v>
      </c>
    </row>
    <row r="534" spans="1:12">
      <c r="A534" s="241" t="s">
        <v>1844</v>
      </c>
      <c r="B534" s="244">
        <f>'[1]รวมครุภัณฑ์ 70 (data)'!B360</f>
        <v>2570</v>
      </c>
      <c r="C534" s="241" t="s">
        <v>447</v>
      </c>
      <c r="D534" s="244" t="str">
        <f>'[1]รวมครุภัณฑ์ 70 (data)'!C360</f>
        <v>ครุภัณฑ์คอมพิวเตอร์</v>
      </c>
      <c r="E534" s="244" t="str">
        <f>'[1]รวมครุภัณฑ์ 70 (data)'!G360</f>
        <v xml:space="preserve">เครื่องพิมพ์แบบฉีดหมึกพร้อมติดตั้งถังหมึกพิมพ์ (Ink Tank Printer) </v>
      </c>
      <c r="F534" s="244" t="str">
        <f>'[1]รวมครุภัณฑ์ 70 (data)'!H360</f>
        <v>ศทส.</v>
      </c>
      <c r="G534" s="244" t="str">
        <f>'[1]รวมครุภัณฑ์ 70 (data)'!J360</f>
        <v>กรุงเทพมหานคร</v>
      </c>
      <c r="H534" s="244">
        <f>IF('รวมครุภัณฑ์ 70'!Q359="","",'รวมครุภัณฑ์ 70'!Q359)</f>
        <v>1</v>
      </c>
      <c r="I534" s="244" t="str">
        <f>IF('รวมครุภัณฑ์ 70'!R359="","",'รวมครุภัณฑ์ 70'!R359)</f>
        <v/>
      </c>
      <c r="J534" s="244"/>
      <c r="K534" s="245">
        <f>'[1]รวมครุภัณฑ์ 70 (data)'!L360</f>
        <v>4100</v>
      </c>
      <c r="L534" s="245" t="str">
        <f t="shared" si="5"/>
        <v>ทดแทนครุภัณฑ์เดิม</v>
      </c>
    </row>
    <row r="535" spans="1:12">
      <c r="A535" s="241" t="s">
        <v>1845</v>
      </c>
      <c r="B535" s="244">
        <f>'[1]รวมครุภัณฑ์ 70 (data)'!B361</f>
        <v>2570</v>
      </c>
      <c r="C535" s="241" t="s">
        <v>447</v>
      </c>
      <c r="D535" s="244" t="str">
        <f>'[1]รวมครุภัณฑ์ 70 (data)'!C361</f>
        <v>ครุภัณฑ์คอมพิวเตอร์</v>
      </c>
      <c r="E535" s="244" t="str">
        <f>'[1]รวมครุภัณฑ์ 70 (data)'!G361</f>
        <v>เครื่องสแกนเนอร์ สำหรับงานเก็บเอกสารระดับศูนย์บริการแบบที่ 1</v>
      </c>
      <c r="F535" s="244" t="str">
        <f>'[1]รวมครุภัณฑ์ 70 (data)'!H361</f>
        <v>ศทส.</v>
      </c>
      <c r="G535" s="244" t="str">
        <f>'[1]รวมครุภัณฑ์ 70 (data)'!J361</f>
        <v>กรุงเทพมหานคร</v>
      </c>
      <c r="H535" s="244">
        <f>IF('รวมครุภัณฑ์ 70'!Q360="","",'รวมครุภัณฑ์ 70'!Q360)</f>
        <v>34</v>
      </c>
      <c r="I535" s="244" t="str">
        <f>IF('รวมครุภัณฑ์ 70'!R360="","",'รวมครุภัณฑ์ 70'!R360)</f>
        <v/>
      </c>
      <c r="J535" s="244"/>
      <c r="K535" s="245">
        <f>'[1]รวมครุภัณฑ์ 70 (data)'!L361</f>
        <v>544000</v>
      </c>
      <c r="L535" s="245" t="str">
        <f t="shared" si="5"/>
        <v>ทดแทนครุภัณฑ์เดิม</v>
      </c>
    </row>
    <row r="536" spans="1:12">
      <c r="A536" s="241" t="s">
        <v>1846</v>
      </c>
      <c r="B536" s="244">
        <f>'[1]รวมครุภัณฑ์ 70 (data)'!B362</f>
        <v>2570</v>
      </c>
      <c r="C536" s="241" t="s">
        <v>447</v>
      </c>
      <c r="D536" s="244" t="str">
        <f>'[1]รวมครุภัณฑ์ 70 (data)'!C362</f>
        <v>ครุภัณฑ์คอมพิวเตอร์</v>
      </c>
      <c r="E536" s="244" t="str">
        <f>'[1]รวมครุภัณฑ์ 70 (data)'!G362</f>
        <v>ชุดลำโพงพร้อมไมโครโฟนสำหรับการประชุมทางไกลออนไลน์</v>
      </c>
      <c r="F536" s="244" t="str">
        <f>'[1]รวมครุภัณฑ์ 70 (data)'!H362</f>
        <v>ศทส.</v>
      </c>
      <c r="G536" s="244" t="str">
        <f>'[1]รวมครุภัณฑ์ 70 (data)'!J362</f>
        <v>กรุงเทพมหานคร</v>
      </c>
      <c r="H536" s="244">
        <f>IF('รวมครุภัณฑ์ 70'!Q361="","",'รวมครุภัณฑ์ 70'!Q361)</f>
        <v>20</v>
      </c>
      <c r="I536" s="244" t="str">
        <f>IF('รวมครุภัณฑ์ 70'!R361="","",'รวมครุภัณฑ์ 70'!R361)</f>
        <v/>
      </c>
      <c r="J536" s="244"/>
      <c r="K536" s="245">
        <f>'[1]รวมครุภัณฑ์ 70 (data)'!L362</f>
        <v>520000</v>
      </c>
      <c r="L536" s="245" t="str">
        <f t="shared" si="5"/>
        <v>ทดแทนครุภัณฑ์เดิม</v>
      </c>
    </row>
    <row r="537" spans="1:12">
      <c r="A537" s="241" t="s">
        <v>1847</v>
      </c>
      <c r="B537" s="244">
        <f>'[1]รวมครุภัณฑ์ 70 (data)'!B363</f>
        <v>2570</v>
      </c>
      <c r="C537" s="241" t="s">
        <v>447</v>
      </c>
      <c r="D537" s="244" t="str">
        <f>'[1]รวมครุภัณฑ์ 70 (data)'!C363</f>
        <v>ครุภัณฑ์คอมพิวเตอร์</v>
      </c>
      <c r="E537" s="244" t="str">
        <f>'[1]รวมครุภัณฑ์ 70 (data)'!G363</f>
        <v xml:space="preserve">กล้องวิดีโอแบบ PTZ สำหรับการประชุมทางไกลออนไลน์ </v>
      </c>
      <c r="F537" s="244" t="str">
        <f>'[1]รวมครุภัณฑ์ 70 (data)'!H363</f>
        <v>ศทส.</v>
      </c>
      <c r="G537" s="244" t="str">
        <f>'[1]รวมครุภัณฑ์ 70 (data)'!J363</f>
        <v>กรุงเทพมหานคร</v>
      </c>
      <c r="H537" s="244">
        <f>IF('รวมครุภัณฑ์ 70'!Q362="","",'รวมครุภัณฑ์ 70'!Q362)</f>
        <v>20</v>
      </c>
      <c r="I537" s="244" t="str">
        <f>IF('รวมครุภัณฑ์ 70'!R362="","",'รวมครุภัณฑ์ 70'!R362)</f>
        <v/>
      </c>
      <c r="J537" s="244"/>
      <c r="K537" s="245">
        <f>'[1]รวมครุภัณฑ์ 70 (data)'!L363</f>
        <v>440000</v>
      </c>
      <c r="L537" s="245" t="str">
        <f t="shared" si="5"/>
        <v>ทดแทนครุภัณฑ์เดิม</v>
      </c>
    </row>
    <row r="538" spans="1:12">
      <c r="A538" s="241" t="s">
        <v>1848</v>
      </c>
      <c r="B538" s="244">
        <f>'[1]รวมครุภัณฑ์ 70 (data)'!B364</f>
        <v>2570</v>
      </c>
      <c r="C538" s="241" t="s">
        <v>447</v>
      </c>
      <c r="D538" s="244" t="str">
        <f>'[1]รวมครุภัณฑ์ 70 (data)'!C364</f>
        <v>ครุภัณฑ์คอมพิวเตอร์</v>
      </c>
      <c r="E538" s="244" t="str">
        <f>'[1]รวมครุภัณฑ์ 70 (data)'!G364</f>
        <v>ชุดโปรแกรมจัดการสํานักงาน แบบที่ 3 ที่มีลิขสิทธิ์ถูกต้องตามกฎหมาย</v>
      </c>
      <c r="F538" s="244" t="str">
        <f>'[1]รวมครุภัณฑ์ 70 (data)'!H364</f>
        <v>ศทส.</v>
      </c>
      <c r="G538" s="244" t="str">
        <f>'[1]รวมครุภัณฑ์ 70 (data)'!J364</f>
        <v>กรุงเทพมหานคร</v>
      </c>
      <c r="H538" s="244">
        <f>IF('รวมครุภัณฑ์ 70'!Q363="","",'รวมครุภัณฑ์ 70'!Q363)</f>
        <v>906</v>
      </c>
      <c r="I538" s="244" t="str">
        <f>IF('รวมครุภัณฑ์ 70'!R363="","",'รวมครุภัณฑ์ 70'!R363)</f>
        <v/>
      </c>
      <c r="J538" s="244"/>
      <c r="K538" s="245">
        <f>'[1]รวมครุภัณฑ์ 70 (data)'!L364</f>
        <v>4077000</v>
      </c>
      <c r="L538" s="245" t="str">
        <f t="shared" si="5"/>
        <v>ทดแทนครุภัณฑ์เดิม</v>
      </c>
    </row>
    <row r="539" spans="1:12">
      <c r="A539" s="241" t="s">
        <v>1849</v>
      </c>
      <c r="B539" s="244">
        <f>'[1]รวมครุภัณฑ์ 70 (data)'!B365</f>
        <v>2570</v>
      </c>
      <c r="C539" s="241" t="s">
        <v>447</v>
      </c>
      <c r="D539" s="244" t="str">
        <f>'[1]รวมครุภัณฑ์ 70 (data)'!C365</f>
        <v>ครุภัณฑ์คอมพิวเตอร์</v>
      </c>
      <c r="E539" s="244" t="str">
        <f>'[1]รวมครุภัณฑ์ 70 (data)'!G365</f>
        <v>เครื่องคอมพิวเตอร์แม่ข่ายแบบที่ 2</v>
      </c>
      <c r="F539" s="244" t="str">
        <f>'[1]รวมครุภัณฑ์ 70 (data)'!H365</f>
        <v>ศทส.</v>
      </c>
      <c r="G539" s="244" t="str">
        <f>'[1]รวมครุภัณฑ์ 70 (data)'!J365</f>
        <v>กรุงเทพมหานคร</v>
      </c>
      <c r="H539" s="244">
        <f>IF('รวมครุภัณฑ์ 70'!Q364="","",'รวมครุภัณฑ์ 70'!Q364)</f>
        <v>22</v>
      </c>
      <c r="I539" s="244" t="str">
        <f>IF('รวมครุภัณฑ์ 70'!R364="","",'รวมครุภัณฑ์ 70'!R364)</f>
        <v/>
      </c>
      <c r="J539" s="244"/>
      <c r="K539" s="245">
        <f>'[1]รวมครุภัณฑ์ 70 (data)'!L365</f>
        <v>7700000</v>
      </c>
      <c r="L539" s="245" t="str">
        <f t="shared" si="5"/>
        <v>ทดแทนครุภัณฑ์เดิม</v>
      </c>
    </row>
    <row r="540" spans="1:12">
      <c r="A540" s="241" t="s">
        <v>1850</v>
      </c>
      <c r="B540" s="244">
        <f>'[1]รวมครุภัณฑ์ 70 (data)'!B366</f>
        <v>2570</v>
      </c>
      <c r="C540" s="241" t="s">
        <v>447</v>
      </c>
      <c r="D540" s="244" t="str">
        <f>'[1]รวมครุภัณฑ์ 70 (data)'!C366</f>
        <v>ครุภัณฑ์คอมพิวเตอร์</v>
      </c>
      <c r="E540" s="244" t="str">
        <f>'[1]รวมครุภัณฑ์ 70 (data)'!G366</f>
        <v>อุปกรณ์สําหรับจัดเก็บข้อมูลแบบ SAN</v>
      </c>
      <c r="F540" s="244" t="str">
        <f>'[1]รวมครุภัณฑ์ 70 (data)'!H366</f>
        <v>ศทส.</v>
      </c>
      <c r="G540" s="244" t="str">
        <f>'[1]รวมครุภัณฑ์ 70 (data)'!J366</f>
        <v>กรุงเทพมหานคร</v>
      </c>
      <c r="H540" s="244">
        <f>IF('รวมครุภัณฑ์ 70'!Q365="","",'รวมครุภัณฑ์ 70'!Q365)</f>
        <v>1</v>
      </c>
      <c r="I540" s="244" t="str">
        <f>IF('รวมครุภัณฑ์ 70'!R365="","",'รวมครุภัณฑ์ 70'!R365)</f>
        <v/>
      </c>
      <c r="J540" s="244"/>
      <c r="K540" s="245">
        <f>'[1]รวมครุภัณฑ์ 70 (data)'!L366</f>
        <v>570000</v>
      </c>
      <c r="L540" s="245" t="str">
        <f t="shared" si="5"/>
        <v>ทดแทนครุภัณฑ์เดิม</v>
      </c>
    </row>
    <row r="541" spans="1:12">
      <c r="A541" s="241" t="s">
        <v>1851</v>
      </c>
      <c r="B541" s="244">
        <f>'[1]รวมครุภัณฑ์ 70 (data)'!B367</f>
        <v>2570</v>
      </c>
      <c r="C541" s="241" t="s">
        <v>447</v>
      </c>
      <c r="D541" s="244" t="str">
        <f>'[1]รวมครุภัณฑ์ 70 (data)'!C367</f>
        <v>ครุภัณฑ์คอมพิวเตอร์</v>
      </c>
      <c r="E541" s="244" t="str">
        <f>'[1]รวมครุภัณฑ์ 70 (data)'!G367</f>
        <v>อุปกรณ์กระจายสัญญาณ (L2 Switch) ขนาด 24 ช่อง แบบที่ 2</v>
      </c>
      <c r="F541" s="244" t="str">
        <f>'[1]รวมครุภัณฑ์ 70 (data)'!H367</f>
        <v>ศทส.</v>
      </c>
      <c r="G541" s="244" t="str">
        <f>'[1]รวมครุภัณฑ์ 70 (data)'!J367</f>
        <v>กรุงเทพมหานคร</v>
      </c>
      <c r="H541" s="244">
        <f>IF('รวมครุภัณฑ์ 70'!Q366="","",'รวมครุภัณฑ์ 70'!Q366)</f>
        <v>16</v>
      </c>
      <c r="I541" s="244" t="str">
        <f>IF('รวมครุภัณฑ์ 70'!R366="","",'รวมครุภัณฑ์ 70'!R366)</f>
        <v/>
      </c>
      <c r="J541" s="244"/>
      <c r="K541" s="245">
        <f>'[1]รวมครุภัณฑ์ 70 (data)'!L367</f>
        <v>208000</v>
      </c>
      <c r="L541" s="245" t="str">
        <f t="shared" si="5"/>
        <v>ทดแทนครุภัณฑ์เดิม</v>
      </c>
    </row>
    <row r="542" spans="1:12">
      <c r="A542" s="241" t="s">
        <v>1852</v>
      </c>
      <c r="B542" s="244">
        <f>'[1]รวมครุภัณฑ์ 70 (data)'!B368</f>
        <v>2570</v>
      </c>
      <c r="C542" s="241" t="s">
        <v>447</v>
      </c>
      <c r="D542" s="244" t="str">
        <f>'[1]รวมครุภัณฑ์ 70 (data)'!C368</f>
        <v>ครุภัณฑ์คอมพิวเตอร์</v>
      </c>
      <c r="E542" s="244" t="str">
        <f>'[1]รวมครุภัณฑ์ 70 (data)'!G368</f>
        <v>อุปกรณ์เครือข่าย SAN switch</v>
      </c>
      <c r="F542" s="244" t="str">
        <f>'[1]รวมครุภัณฑ์ 70 (data)'!H368</f>
        <v>ศทส.</v>
      </c>
      <c r="G542" s="244" t="str">
        <f>'[1]รวมครุภัณฑ์ 70 (data)'!J368</f>
        <v>กรุงเทพมหานคร</v>
      </c>
      <c r="H542" s="244">
        <f>IF('รวมครุภัณฑ์ 70'!Q367="","",'รวมครุภัณฑ์ 70'!Q367)</f>
        <v>2</v>
      </c>
      <c r="I542" s="244" t="str">
        <f>IF('รวมครุภัณฑ์ 70'!R367="","",'รวมครุภัณฑ์ 70'!R367)</f>
        <v/>
      </c>
      <c r="J542" s="244"/>
      <c r="K542" s="245">
        <f>'[1]รวมครุภัณฑ์ 70 (data)'!L368</f>
        <v>1000000</v>
      </c>
      <c r="L542" s="245" t="str">
        <f t="shared" si="5"/>
        <v>ทดแทนครุภัณฑ์เดิม</v>
      </c>
    </row>
    <row r="543" spans="1:12">
      <c r="A543" s="241" t="s">
        <v>1853</v>
      </c>
      <c r="B543" s="244">
        <f>'[1]รวมครุภัณฑ์ 70 (data)'!B369</f>
        <v>2570</v>
      </c>
      <c r="C543" s="241" t="s">
        <v>447</v>
      </c>
      <c r="D543" s="244" t="str">
        <f>'[1]รวมครุภัณฑ์ 70 (data)'!C369</f>
        <v>ครุภัณฑ์คอมพิวเตอร์</v>
      </c>
      <c r="E543" s="244" t="str">
        <f>'[1]รวมครุภัณฑ์ 70 (data)'!G369</f>
        <v xml:space="preserve"> อุปกรณ์กระจายสัญญาณไร้สาย (Access Point) แบบที่ 2</v>
      </c>
      <c r="F543" s="244" t="str">
        <f>'[1]รวมครุภัณฑ์ 70 (data)'!H369</f>
        <v>ศทส.</v>
      </c>
      <c r="G543" s="244" t="str">
        <f>'[1]รวมครุภัณฑ์ 70 (data)'!J369</f>
        <v>กรุงเทพมหานคร</v>
      </c>
      <c r="H543" s="244">
        <f>IF('รวมครุภัณฑ์ 70'!Q368="","",'รวมครุภัณฑ์ 70'!Q368)</f>
        <v>25</v>
      </c>
      <c r="I543" s="244" t="str">
        <f>IF('รวมครุภัณฑ์ 70'!R368="","",'รวมครุภัณฑ์ 70'!R368)</f>
        <v/>
      </c>
      <c r="J543" s="244"/>
      <c r="K543" s="245">
        <f>'[1]รวมครุภัณฑ์ 70 (data)'!L369</f>
        <v>525000</v>
      </c>
      <c r="L543" s="245" t="str">
        <f t="shared" si="5"/>
        <v>ทดแทนครุภัณฑ์เดิม</v>
      </c>
    </row>
    <row r="544" spans="1:12">
      <c r="A544" s="241" t="s">
        <v>1854</v>
      </c>
      <c r="B544" s="244">
        <f>'[1]รวมครุภัณฑ์ 70 (data)'!B370</f>
        <v>2570</v>
      </c>
      <c r="C544" s="241" t="s">
        <v>447</v>
      </c>
      <c r="D544" s="244" t="str">
        <f>'[1]รวมครุภัณฑ์ 70 (data)'!C370</f>
        <v>ครุภัณฑ์คอมพิวเตอร์</v>
      </c>
      <c r="E544" s="244" t="str">
        <f>'[1]รวมครุภัณฑ์ 70 (data)'!G370</f>
        <v>จัดหาลิขสิทธิ์โปรแกรมบริหารจัดการเครื่องคอมพิวเตอร์แม่ข่าย</v>
      </c>
      <c r="F544" s="244" t="str">
        <f>'[1]รวมครุภัณฑ์ 70 (data)'!H370</f>
        <v>ศทส.</v>
      </c>
      <c r="G544" s="244" t="str">
        <f>'[1]รวมครุภัณฑ์ 70 (data)'!J370</f>
        <v>กรุงเทพมหานคร</v>
      </c>
      <c r="H544" s="244">
        <f>IF('รวมครุภัณฑ์ 70'!Q369="","",'รวมครุภัณฑ์ 70'!Q369)</f>
        <v>704</v>
      </c>
      <c r="I544" s="244" t="str">
        <f>IF('รวมครุภัณฑ์ 70'!R369="","",'รวมครุภัณฑ์ 70'!R369)</f>
        <v/>
      </c>
      <c r="J544" s="244"/>
      <c r="K544" s="245">
        <f>'[1]รวมครุภัณฑ์ 70 (data)'!L370</f>
        <v>4224000</v>
      </c>
      <c r="L544" s="245" t="str">
        <f t="shared" si="5"/>
        <v>ทดแทนครุภัณฑ์เดิม</v>
      </c>
    </row>
    <row r="545" spans="1:12">
      <c r="A545" s="241" t="s">
        <v>1855</v>
      </c>
      <c r="B545" s="244">
        <f>'[1]รวมครุภัณฑ์ 70 (data)'!B371</f>
        <v>2570</v>
      </c>
      <c r="C545" s="241" t="s">
        <v>447</v>
      </c>
      <c r="D545" s="244" t="str">
        <f>'[1]รวมครุภัณฑ์ 70 (data)'!C371</f>
        <v>ครุภัณฑ์สำนักงาน</v>
      </c>
      <c r="E545" s="244" t="str">
        <f>'[1]รวมครุภัณฑ์ 70 (data)'!G371</f>
        <v>ชุดโต๊ะทำงานพร้อมเก้าอี้ ระดับผู้อำนวยการกอง</v>
      </c>
      <c r="F545" s="244" t="str">
        <f>'[1]รวมครุภัณฑ์ 70 (data)'!H371</f>
        <v>สบพ.</v>
      </c>
      <c r="G545" s="244" t="str">
        <f>'[1]รวมครุภัณฑ์ 70 (data)'!J371</f>
        <v>ปทุมธานี</v>
      </c>
      <c r="H545" s="244" t="str">
        <f>IF('รวมครุภัณฑ์ 70'!Q370="","",'รวมครุภัณฑ์ 70'!Q370)</f>
        <v/>
      </c>
      <c r="I545" s="244">
        <f>IF('รวมครุภัณฑ์ 70'!R370="","",'รวมครุภัณฑ์ 70'!R370)</f>
        <v>1</v>
      </c>
      <c r="J545" s="244"/>
      <c r="K545" s="245">
        <f>'[1]รวมครุภัณฑ์ 70 (data)'!L371</f>
        <v>25200</v>
      </c>
      <c r="L545" s="245" t="str">
        <f t="shared" si="5"/>
        <v>เพิ่มประสิทธิภาพ</v>
      </c>
    </row>
    <row r="546" spans="1:12">
      <c r="A546" s="241" t="s">
        <v>1856</v>
      </c>
      <c r="B546" s="244">
        <f>'[1]รวมครุภัณฑ์ 70 (data)'!B372</f>
        <v>2570</v>
      </c>
      <c r="C546" s="241" t="s">
        <v>447</v>
      </c>
      <c r="D546" s="244" t="str">
        <f>'[1]รวมครุภัณฑ์ 70 (data)'!C372</f>
        <v>ครุภัณฑ์สำนักงาน</v>
      </c>
      <c r="E546" s="244" t="str">
        <f>'[1]รวมครุภัณฑ์ 70 (data)'!G372</f>
        <v>ชุดโต๊ะทำงานพร้อมเก้าอี้ ระดับหัวหน้ากลุ่ม/ฝ่าย</v>
      </c>
      <c r="F546" s="244" t="str">
        <f>'[1]รวมครุภัณฑ์ 70 (data)'!H372</f>
        <v>สบพ.</v>
      </c>
      <c r="G546" s="244" t="str">
        <f>'[1]รวมครุภัณฑ์ 70 (data)'!J372</f>
        <v>ปทุมธานี</v>
      </c>
      <c r="H546" s="244" t="str">
        <f>IF('รวมครุภัณฑ์ 70'!Q371="","",'รวมครุภัณฑ์ 70'!Q371)</f>
        <v/>
      </c>
      <c r="I546" s="244">
        <f>IF('รวมครุภัณฑ์ 70'!R371="","",'รวมครุภัณฑ์ 70'!R371)</f>
        <v>4</v>
      </c>
      <c r="J546" s="244"/>
      <c r="K546" s="245">
        <f>'[1]รวมครุภัณฑ์ 70 (data)'!L372</f>
        <v>41200</v>
      </c>
      <c r="L546" s="245" t="str">
        <f t="shared" si="5"/>
        <v>เพิ่มประสิทธิภาพ</v>
      </c>
    </row>
    <row r="547" spans="1:12">
      <c r="A547" s="241" t="s">
        <v>1857</v>
      </c>
      <c r="B547" s="244">
        <f>'[1]รวมครุภัณฑ์ 70 (data)'!B373</f>
        <v>2570</v>
      </c>
      <c r="C547" s="241" t="s">
        <v>447</v>
      </c>
      <c r="D547" s="244" t="str">
        <f>'[1]รวมครุภัณฑ์ 70 (data)'!C373</f>
        <v>ครุภัณฑ์สำนักงาน</v>
      </c>
      <c r="E547" s="244" t="str">
        <f>'[1]รวมครุภัณฑ์ 70 (data)'!G373</f>
        <v>ชุดโต๊ะทำงานพร้อมเก้าอี้ ระดับเจ้าหน้าที่</v>
      </c>
      <c r="F547" s="244" t="str">
        <f>'[1]รวมครุภัณฑ์ 70 (data)'!H373</f>
        <v>สบพ.</v>
      </c>
      <c r="G547" s="244" t="str">
        <f>'[1]รวมครุภัณฑ์ 70 (data)'!J373</f>
        <v>ปทุมธานี</v>
      </c>
      <c r="H547" s="244" t="str">
        <f>IF('รวมครุภัณฑ์ 70'!Q372="","",'รวมครุภัณฑ์ 70'!Q372)</f>
        <v/>
      </c>
      <c r="I547" s="244">
        <f>IF('รวมครุภัณฑ์ 70'!R372="","",'รวมครุภัณฑ์ 70'!R372)</f>
        <v>26</v>
      </c>
      <c r="J547" s="244"/>
      <c r="K547" s="245">
        <f>'[1]รวมครุภัณฑ์ 70 (data)'!L373</f>
        <v>291200</v>
      </c>
      <c r="L547" s="245" t="str">
        <f t="shared" si="5"/>
        <v>เพิ่มประสิทธิภาพ</v>
      </c>
    </row>
    <row r="548" spans="1:12">
      <c r="A548" s="241" t="s">
        <v>1858</v>
      </c>
      <c r="B548" s="244">
        <f>'[1]รวมครุภัณฑ์ 70 (data)'!B374</f>
        <v>2570</v>
      </c>
      <c r="C548" s="241" t="s">
        <v>447</v>
      </c>
      <c r="D548" s="244" t="str">
        <f>'[1]รวมครุภัณฑ์ 70 (data)'!C374</f>
        <v>ครุภัณฑ์สำนักงาน</v>
      </c>
      <c r="E548" s="244" t="str">
        <f>'[1]รวมครุภัณฑ์ 70 (data)'!G374</f>
        <v>ชุดโต๊ะประชุม ขนาด 60 ที่นั่ง</v>
      </c>
      <c r="F548" s="244" t="str">
        <f>'[1]รวมครุภัณฑ์ 70 (data)'!H374</f>
        <v>สบพ.</v>
      </c>
      <c r="G548" s="244" t="str">
        <f>'[1]รวมครุภัณฑ์ 70 (data)'!J374</f>
        <v>ปทุมธานี</v>
      </c>
      <c r="H548" s="244" t="str">
        <f>IF('รวมครุภัณฑ์ 70'!Q373="","",'รวมครุภัณฑ์ 70'!Q373)</f>
        <v/>
      </c>
      <c r="I548" s="244">
        <f>IF('รวมครุภัณฑ์ 70'!R373="","",'รวมครุภัณฑ์ 70'!R373)</f>
        <v>1</v>
      </c>
      <c r="J548" s="244"/>
      <c r="K548" s="245">
        <f>'[1]รวมครุภัณฑ์ 70 (data)'!L374</f>
        <v>455000</v>
      </c>
      <c r="L548" s="245" t="str">
        <f t="shared" si="5"/>
        <v>เพิ่มประสิทธิภาพ</v>
      </c>
    </row>
    <row r="549" spans="1:12">
      <c r="A549" s="241" t="s">
        <v>1859</v>
      </c>
      <c r="B549" s="244">
        <f>'[1]รวมครุภัณฑ์ 70 (data)'!B375</f>
        <v>2570</v>
      </c>
      <c r="C549" s="241" t="s">
        <v>447</v>
      </c>
      <c r="D549" s="244" t="str">
        <f>'[1]รวมครุภัณฑ์ 70 (data)'!C375</f>
        <v>ครุภัณฑ์สำนักงาน</v>
      </c>
      <c r="E549" s="244" t="str">
        <f>'[1]รวมครุภัณฑ์ 70 (data)'!G375</f>
        <v>เคาน์เตอร์ประชาสัมพันธ์</v>
      </c>
      <c r="F549" s="244" t="str">
        <f>'[1]รวมครุภัณฑ์ 70 (data)'!H375</f>
        <v>สบพ.</v>
      </c>
      <c r="G549" s="244" t="str">
        <f>'[1]รวมครุภัณฑ์ 70 (data)'!J375</f>
        <v>ปทุมธานี</v>
      </c>
      <c r="H549" s="244" t="str">
        <f>IF('รวมครุภัณฑ์ 70'!Q374="","",'รวมครุภัณฑ์ 70'!Q374)</f>
        <v/>
      </c>
      <c r="I549" s="244">
        <f>IF('รวมครุภัณฑ์ 70'!R374="","",'รวมครุภัณฑ์ 70'!R374)</f>
        <v>1</v>
      </c>
      <c r="J549" s="244"/>
      <c r="K549" s="245">
        <f>'[1]รวมครุภัณฑ์ 70 (data)'!L375</f>
        <v>50000</v>
      </c>
      <c r="L549" s="245" t="str">
        <f t="shared" si="5"/>
        <v>เพิ่มประสิทธิภาพ</v>
      </c>
    </row>
    <row r="550" spans="1:12">
      <c r="A550" s="241" t="s">
        <v>1860</v>
      </c>
      <c r="B550" s="244">
        <f>'[1]รวมครุภัณฑ์ 70 (data)'!B376</f>
        <v>2570</v>
      </c>
      <c r="C550" s="241" t="s">
        <v>447</v>
      </c>
      <c r="D550" s="244" t="str">
        <f>'[1]รวมครุภัณฑ์ 70 (data)'!C376</f>
        <v>ครุภัณฑ์งานบ้านงานครัว</v>
      </c>
      <c r="E550" s="244" t="str">
        <f>'[1]รวมครุภัณฑ์ 70 (data)'!G376</f>
        <v>เก้าอี้พลาสติก (สำหรับห้องอาหาร)</v>
      </c>
      <c r="F550" s="244" t="str">
        <f>'[1]รวมครุภัณฑ์ 70 (data)'!H376</f>
        <v>สบพ.</v>
      </c>
      <c r="G550" s="244" t="str">
        <f>'[1]รวมครุภัณฑ์ 70 (data)'!J376</f>
        <v>ปทุมธานี</v>
      </c>
      <c r="H550" s="244" t="str">
        <f>IF('รวมครุภัณฑ์ 70'!Q375="","",'รวมครุภัณฑ์ 70'!Q375)</f>
        <v/>
      </c>
      <c r="I550" s="244">
        <f>IF('รวมครุภัณฑ์ 70'!R375="","",'รวมครุภัณฑ์ 70'!R375)</f>
        <v>250</v>
      </c>
      <c r="J550" s="244"/>
      <c r="K550" s="245">
        <f>'[1]รวมครุภัณฑ์ 70 (data)'!L376</f>
        <v>222500</v>
      </c>
      <c r="L550" s="245" t="str">
        <f t="shared" si="5"/>
        <v>เพิ่มประสิทธิภาพ</v>
      </c>
    </row>
    <row r="551" spans="1:12">
      <c r="A551" s="241" t="s">
        <v>1861</v>
      </c>
      <c r="B551" s="244">
        <f>'[1]รวมครุภัณฑ์ 70 (data)'!B377</f>
        <v>2570</v>
      </c>
      <c r="C551" s="241" t="s">
        <v>447</v>
      </c>
      <c r="D551" s="244" t="str">
        <f>'[1]รวมครุภัณฑ์ 70 (data)'!C377</f>
        <v>ครุภัณฑ์งานบ้านงานครัว</v>
      </c>
      <c r="E551" s="244" t="str">
        <f>'[1]รวมครุภัณฑ์ 70 (data)'!G377</f>
        <v>โต๊ะ (สำหรับห้องอาหาร)</v>
      </c>
      <c r="F551" s="244" t="str">
        <f>'[1]รวมครุภัณฑ์ 70 (data)'!H377</f>
        <v>สบพ.</v>
      </c>
      <c r="G551" s="244" t="str">
        <f>'[1]รวมครุภัณฑ์ 70 (data)'!J377</f>
        <v>ปทุมธานี</v>
      </c>
      <c r="H551" s="244" t="str">
        <f>IF('รวมครุภัณฑ์ 70'!Q376="","",'รวมครุภัณฑ์ 70'!Q376)</f>
        <v/>
      </c>
      <c r="I551" s="244">
        <f>IF('รวมครุภัณฑ์ 70'!R376="","",'รวมครุภัณฑ์ 70'!R376)</f>
        <v>60</v>
      </c>
      <c r="J551" s="244"/>
      <c r="K551" s="245">
        <f>'[1]รวมครุภัณฑ์ 70 (data)'!L377</f>
        <v>138000</v>
      </c>
      <c r="L551" s="245" t="str">
        <f t="shared" si="5"/>
        <v>เพิ่มประสิทธิภาพ</v>
      </c>
    </row>
    <row r="552" spans="1:12">
      <c r="A552" s="241" t="s">
        <v>1862</v>
      </c>
      <c r="B552" s="244">
        <f>'[1]รวมครุภัณฑ์ 70 (data)'!B378</f>
        <v>2570</v>
      </c>
      <c r="C552" s="241" t="s">
        <v>447</v>
      </c>
      <c r="D552" s="244" t="str">
        <f>'[1]รวมครุภัณฑ์ 70 (data)'!C378</f>
        <v>ครุภัณฑ์งานบ้านงานครัว</v>
      </c>
      <c r="E552" s="244" t="str">
        <f>'[1]รวมครุภัณฑ์ 70 (data)'!G378</f>
        <v>ชุดโต๊ะเขียนหนังสือพร้อมเก้าอี้</v>
      </c>
      <c r="F552" s="244" t="str">
        <f>'[1]รวมครุภัณฑ์ 70 (data)'!H378</f>
        <v>สบพ.</v>
      </c>
      <c r="G552" s="244" t="str">
        <f>'[1]รวมครุภัณฑ์ 70 (data)'!J378</f>
        <v>ปทุมธานี</v>
      </c>
      <c r="H552" s="244" t="str">
        <f>IF('รวมครุภัณฑ์ 70'!Q377="","",'รวมครุภัณฑ์ 70'!Q377)</f>
        <v/>
      </c>
      <c r="I552" s="244">
        <f>IF('รวมครุภัณฑ์ 70'!R377="","",'รวมครุภัณฑ์ 70'!R377)</f>
        <v>100</v>
      </c>
      <c r="J552" s="244"/>
      <c r="K552" s="245">
        <f>'[1]รวมครุภัณฑ์ 70 (data)'!L378</f>
        <v>335000</v>
      </c>
      <c r="L552" s="245" t="str">
        <f t="shared" si="5"/>
        <v>เพิ่มประสิทธิภาพ</v>
      </c>
    </row>
    <row r="553" spans="1:12">
      <c r="A553" s="241" t="s">
        <v>1863</v>
      </c>
      <c r="B553" s="244">
        <f>'[1]รวมครุภัณฑ์ 70 (data)'!B379</f>
        <v>2570</v>
      </c>
      <c r="C553" s="241" t="s">
        <v>447</v>
      </c>
      <c r="D553" s="244" t="str">
        <f>'[1]รวมครุภัณฑ์ 70 (data)'!C379</f>
        <v>ครุภัณฑ์งานบ้านงานครัว</v>
      </c>
      <c r="E553" s="244" t="str">
        <f>'[1]รวมครุภัณฑ์ 70 (data)'!G379</f>
        <v>เตียงนอน ขนาด 3.5 ฟุต</v>
      </c>
      <c r="F553" s="244" t="str">
        <f>'[1]รวมครุภัณฑ์ 70 (data)'!H379</f>
        <v>สบพ.</v>
      </c>
      <c r="G553" s="244" t="str">
        <f>'[1]รวมครุภัณฑ์ 70 (data)'!J379</f>
        <v>ปทุมธานี</v>
      </c>
      <c r="H553" s="244" t="str">
        <f>IF('รวมครุภัณฑ์ 70'!Q378="","",'รวมครุภัณฑ์ 70'!Q378)</f>
        <v/>
      </c>
      <c r="I553" s="244">
        <f>IF('รวมครุภัณฑ์ 70'!R378="","",'รวมครุภัณฑ์ 70'!R378)</f>
        <v>100</v>
      </c>
      <c r="J553" s="244"/>
      <c r="K553" s="245">
        <f>'[1]รวมครุภัณฑ์ 70 (data)'!L379</f>
        <v>340000</v>
      </c>
      <c r="L553" s="245" t="str">
        <f t="shared" si="5"/>
        <v>เพิ่มประสิทธิภาพ</v>
      </c>
    </row>
    <row r="554" spans="1:12">
      <c r="A554" s="241" t="s">
        <v>1864</v>
      </c>
      <c r="B554" s="244">
        <f>'[1]รวมครุภัณฑ์ 70 (data)'!B380</f>
        <v>2570</v>
      </c>
      <c r="C554" s="241" t="s">
        <v>447</v>
      </c>
      <c r="D554" s="244" t="str">
        <f>'[1]รวมครุภัณฑ์ 70 (data)'!C380</f>
        <v>ครุภัณฑ์งานบ้านงานครัว</v>
      </c>
      <c r="E554" s="244" t="str">
        <f>'[1]รวมครุภัณฑ์ 70 (data)'!G380</f>
        <v>ที่นอน ขนาด 3.5 ฟุต</v>
      </c>
      <c r="F554" s="244" t="str">
        <f>'[1]รวมครุภัณฑ์ 70 (data)'!H380</f>
        <v>สบพ.</v>
      </c>
      <c r="G554" s="244" t="str">
        <f>'[1]รวมครุภัณฑ์ 70 (data)'!J380</f>
        <v>ปทุมธานี</v>
      </c>
      <c r="H554" s="244" t="str">
        <f>IF('รวมครุภัณฑ์ 70'!Q379="","",'รวมครุภัณฑ์ 70'!Q379)</f>
        <v/>
      </c>
      <c r="I554" s="244">
        <f>IF('รวมครุภัณฑ์ 70'!R379="","",'รวมครุภัณฑ์ 70'!R379)</f>
        <v>100</v>
      </c>
      <c r="J554" s="244"/>
      <c r="K554" s="245">
        <f>'[1]รวมครุภัณฑ์ 70 (data)'!L380</f>
        <v>400000</v>
      </c>
      <c r="L554" s="245" t="str">
        <f t="shared" si="5"/>
        <v>เพิ่มประสิทธิภาพ</v>
      </c>
    </row>
    <row r="555" spans="1:12">
      <c r="A555" s="241" t="s">
        <v>1865</v>
      </c>
      <c r="B555" s="244">
        <f>'[1]รวมครุภัณฑ์ 70 (data)'!B381</f>
        <v>2570</v>
      </c>
      <c r="C555" s="241" t="s">
        <v>447</v>
      </c>
      <c r="D555" s="244" t="str">
        <f>'[1]รวมครุภัณฑ์ 70 (data)'!C381</f>
        <v>ครุภัณฑ์งานบ้านงานครัว</v>
      </c>
      <c r="E555" s="244" t="str">
        <f>'[1]รวมครุภัณฑ์ 70 (data)'!G381</f>
        <v xml:space="preserve">ชุดผ้าปูที่นอนพร้อมปลอกหมอน ขนาด 3.5 ฟุต </v>
      </c>
      <c r="F555" s="244" t="str">
        <f>'[1]รวมครุภัณฑ์ 70 (data)'!H381</f>
        <v>สบพ.</v>
      </c>
      <c r="G555" s="244" t="str">
        <f>'[1]รวมครุภัณฑ์ 70 (data)'!J381</f>
        <v>ปทุมธานี</v>
      </c>
      <c r="H555" s="244" t="str">
        <f>IF('รวมครุภัณฑ์ 70'!Q380="","",'รวมครุภัณฑ์ 70'!Q380)</f>
        <v/>
      </c>
      <c r="I555" s="244">
        <f>IF('รวมครุภัณฑ์ 70'!R380="","",'รวมครุภัณฑ์ 70'!R380)</f>
        <v>100</v>
      </c>
      <c r="J555" s="244"/>
      <c r="K555" s="245">
        <f>'[1]รวมครุภัณฑ์ 70 (data)'!L381</f>
        <v>60000</v>
      </c>
      <c r="L555" s="245" t="str">
        <f t="shared" si="5"/>
        <v>เพิ่มประสิทธิภาพ</v>
      </c>
    </row>
    <row r="556" spans="1:12">
      <c r="A556" s="241" t="s">
        <v>1866</v>
      </c>
      <c r="B556" s="244">
        <f>'[1]รวมครุภัณฑ์ 70 (data)'!B382</f>
        <v>2570</v>
      </c>
      <c r="C556" s="241" t="s">
        <v>447</v>
      </c>
      <c r="D556" s="244" t="str">
        <f>'[1]รวมครุภัณฑ์ 70 (data)'!C382</f>
        <v>ครุภัณฑ์งานบ้านงานครัว</v>
      </c>
      <c r="E556" s="244" t="str">
        <f>'[1]รวมครุภัณฑ์ 70 (data)'!G382</f>
        <v>หมอนหนุน ขนาด 19 x 29 นิ้ว</v>
      </c>
      <c r="F556" s="244" t="str">
        <f>'[1]รวมครุภัณฑ์ 70 (data)'!H382</f>
        <v>สบพ.</v>
      </c>
      <c r="G556" s="244" t="str">
        <f>'[1]รวมครุภัณฑ์ 70 (data)'!J382</f>
        <v>ปทุมธานี</v>
      </c>
      <c r="H556" s="244" t="str">
        <f>IF('รวมครุภัณฑ์ 70'!Q381="","",'รวมครุภัณฑ์ 70'!Q381)</f>
        <v/>
      </c>
      <c r="I556" s="244">
        <f>IF('รวมครุภัณฑ์ 70'!R381="","",'รวมครุภัณฑ์ 70'!R381)</f>
        <v>100</v>
      </c>
      <c r="J556" s="244"/>
      <c r="K556" s="245">
        <f>'[1]รวมครุภัณฑ์ 70 (data)'!L382</f>
        <v>38000</v>
      </c>
      <c r="L556" s="245" t="str">
        <f t="shared" si="5"/>
        <v>เพิ่มประสิทธิภาพ</v>
      </c>
    </row>
    <row r="557" spans="1:12">
      <c r="A557" s="241" t="s">
        <v>1867</v>
      </c>
      <c r="B557" s="244">
        <f>'[1]รวมครุภัณฑ์ 70 (data)'!B383</f>
        <v>2570</v>
      </c>
      <c r="C557" s="241" t="s">
        <v>447</v>
      </c>
      <c r="D557" s="244" t="str">
        <f>'[1]รวมครุภัณฑ์ 70 (data)'!C383</f>
        <v>ครุภัณฑ์งานบ้านงานครัว</v>
      </c>
      <c r="E557" s="244" t="str">
        <f>'[1]รวมครุภัณฑ์ 70 (data)'!G383</f>
        <v>ตู้เสื้อผ้าแบบบานเลื่อน ขนาดกว้าง 120 cm x ลึก 60 cm x 200 cm</v>
      </c>
      <c r="F557" s="244" t="str">
        <f>'[1]รวมครุภัณฑ์ 70 (data)'!H383</f>
        <v>สบพ.</v>
      </c>
      <c r="G557" s="244" t="str">
        <f>'[1]รวมครุภัณฑ์ 70 (data)'!J383</f>
        <v>ปทุมธานี</v>
      </c>
      <c r="H557" s="244" t="str">
        <f>IF('รวมครุภัณฑ์ 70'!Q382="","",'รวมครุภัณฑ์ 70'!Q382)</f>
        <v/>
      </c>
      <c r="I557" s="244">
        <f>IF('รวมครุภัณฑ์ 70'!R382="","",'รวมครุภัณฑ์ 70'!R382)</f>
        <v>100</v>
      </c>
      <c r="J557" s="244"/>
      <c r="K557" s="245">
        <f>'[1]รวมครุภัณฑ์ 70 (data)'!L383</f>
        <v>680000</v>
      </c>
      <c r="L557" s="245" t="str">
        <f t="shared" si="5"/>
        <v>เพิ่มประสิทธิภาพ</v>
      </c>
    </row>
    <row r="558" spans="1:12">
      <c r="A558" s="241" t="s">
        <v>1868</v>
      </c>
      <c r="B558" s="244">
        <f>'[1]รวมครุภัณฑ์ 70 (data)'!B384</f>
        <v>2570</v>
      </c>
      <c r="C558" s="241" t="s">
        <v>447</v>
      </c>
      <c r="D558" s="244" t="str">
        <f>'[1]รวมครุภัณฑ์ 70 (data)'!C384</f>
        <v>ครุภัณฑ์งานบ้านงานครัว</v>
      </c>
      <c r="E558" s="244" t="str">
        <f>'[1]รวมครุภัณฑ์ 70 (data)'!G384</f>
        <v>เครื่องทำน้ำร้อน-น้ำเย็น แบบต่อ ขนาด 2 ก๊อก</v>
      </c>
      <c r="F558" s="244" t="str">
        <f>'[1]รวมครุภัณฑ์ 70 (data)'!H384</f>
        <v>สบพ.</v>
      </c>
      <c r="G558" s="244" t="str">
        <f>'[1]รวมครุภัณฑ์ 70 (data)'!J384</f>
        <v>ปทุมธานี</v>
      </c>
      <c r="H558" s="244" t="str">
        <f>IF('รวมครุภัณฑ์ 70'!Q383="","",'รวมครุภัณฑ์ 70'!Q383)</f>
        <v/>
      </c>
      <c r="I558" s="244">
        <f>IF('รวมครุภัณฑ์ 70'!R383="","",'รวมครุภัณฑ์ 70'!R383)</f>
        <v>6</v>
      </c>
      <c r="J558" s="244"/>
      <c r="K558" s="245">
        <f>'[1]รวมครุภัณฑ์ 70 (data)'!L384</f>
        <v>138000</v>
      </c>
      <c r="L558" s="245" t="str">
        <f t="shared" si="5"/>
        <v>เพิ่มประสิทธิภาพ</v>
      </c>
    </row>
    <row r="559" spans="1:12">
      <c r="A559" s="241" t="s">
        <v>1869</v>
      </c>
      <c r="B559" s="244">
        <f>'[1]รวมครุภัณฑ์ 70 (data)'!B385</f>
        <v>2570</v>
      </c>
      <c r="C559" s="241" t="s">
        <v>447</v>
      </c>
      <c r="D559" s="244" t="str">
        <f>'[1]รวมครุภัณฑ์ 70 (data)'!C385</f>
        <v>ครุภัณฑ์งานบ้านงานครัว</v>
      </c>
      <c r="E559" s="244" t="str">
        <f>'[1]รวมครุภัณฑ์ 70 (data)'!G385</f>
        <v>ตู้เย็น ขนาด  16 คิวบิกฟุต</v>
      </c>
      <c r="F559" s="244" t="str">
        <f>'[1]รวมครุภัณฑ์ 70 (data)'!H385</f>
        <v>สบพ.</v>
      </c>
      <c r="G559" s="244" t="str">
        <f>'[1]รวมครุภัณฑ์ 70 (data)'!J385</f>
        <v>ปทุมธานี</v>
      </c>
      <c r="H559" s="244" t="str">
        <f>IF('รวมครุภัณฑ์ 70'!Q384="","",'รวมครุภัณฑ์ 70'!Q384)</f>
        <v/>
      </c>
      <c r="I559" s="244">
        <f>IF('รวมครุภัณฑ์ 70'!R384="","",'รวมครุภัณฑ์ 70'!R384)</f>
        <v>3</v>
      </c>
      <c r="J559" s="244"/>
      <c r="K559" s="245">
        <f>'[1]รวมครุภัณฑ์ 70 (data)'!L385</f>
        <v>72000</v>
      </c>
      <c r="L559" s="245" t="str">
        <f t="shared" si="5"/>
        <v>เพิ่มประสิทธิภาพ</v>
      </c>
    </row>
    <row r="560" spans="1:12">
      <c r="A560" s="241" t="s">
        <v>1870</v>
      </c>
      <c r="B560" s="244">
        <f>'[1]รวมครุภัณฑ์ 70 (data)'!B386</f>
        <v>2570</v>
      </c>
      <c r="C560" s="241" t="s">
        <v>447</v>
      </c>
      <c r="D560" s="244" t="str">
        <f>'[1]รวมครุภัณฑ์ 70 (data)'!C386</f>
        <v>ครุภัณฑ์โฆษณาและเผยแพร่</v>
      </c>
      <c r="E560" s="244" t="str">
        <f>'[1]รวมครุภัณฑ์ 70 (data)'!G386</f>
        <v>เครื่องมัลติมีเดียโปรเจคเตอร์ ระดับ XGA ขนาด 5,000 ANSL Lumens</v>
      </c>
      <c r="F560" s="244" t="str">
        <f>'[1]รวมครุภัณฑ์ 70 (data)'!H386</f>
        <v>สบพ.</v>
      </c>
      <c r="G560" s="244" t="str">
        <f>'[1]รวมครุภัณฑ์ 70 (data)'!J386</f>
        <v>ปทุมธานี</v>
      </c>
      <c r="H560" s="244">
        <f>IF('รวมครุภัณฑ์ 70'!Q385="","",'รวมครุภัณฑ์ 70'!Q385)</f>
        <v>1</v>
      </c>
      <c r="I560" s="244">
        <f>IF('รวมครุภัณฑ์ 70'!R385="","",'รวมครุภัณฑ์ 70'!R385)</f>
        <v>1</v>
      </c>
      <c r="J560" s="244"/>
      <c r="K560" s="245">
        <f>'[1]รวมครุภัณฑ์ 70 (data)'!L386</f>
        <v>97200</v>
      </c>
      <c r="L560" s="245" t="str">
        <f t="shared" si="5"/>
        <v>ทดแทนครุภัณฑ์เดิม, เพิ่มประสิทธิภาพ</v>
      </c>
    </row>
    <row r="561" spans="1:12">
      <c r="A561" s="241" t="s">
        <v>1871</v>
      </c>
      <c r="B561" s="244">
        <f>'[1]รวมครุภัณฑ์ 70 (data)'!B387</f>
        <v>2570</v>
      </c>
      <c r="C561" s="241" t="s">
        <v>447</v>
      </c>
      <c r="D561" s="244" t="str">
        <f>'[1]รวมครุภัณฑ์ 70 (data)'!C387</f>
        <v>ครุภัณฑ์โฆษณาและเผยแพร่</v>
      </c>
      <c r="E561" s="244" t="str">
        <f>'[1]รวมครุภัณฑ์ 70 (data)'!G387</f>
        <v>โทรทัศน์ แอล อี ดี (LED TV)แบบ Smart TV</v>
      </c>
      <c r="F561" s="244" t="str">
        <f>'[1]รวมครุภัณฑ์ 70 (data)'!H387</f>
        <v>สบพ.</v>
      </c>
      <c r="G561" s="244" t="str">
        <f>'[1]รวมครุภัณฑ์ 70 (data)'!J387</f>
        <v>ปทุมธานี</v>
      </c>
      <c r="H561" s="244">
        <f>IF('รวมครุภัณฑ์ 70'!Q386="","",'รวมครุภัณฑ์ 70'!Q386)</f>
        <v>23</v>
      </c>
      <c r="I561" s="244">
        <f>IF('รวมครุภัณฑ์ 70'!R386="","",'รวมครุภัณฑ์ 70'!R386)</f>
        <v>50</v>
      </c>
      <c r="J561" s="244"/>
      <c r="K561" s="245">
        <f>'[1]รวมครุภัณฑ์ 70 (data)'!L387</f>
        <v>1095000</v>
      </c>
      <c r="L561" s="245" t="str">
        <f t="shared" si="5"/>
        <v>ทดแทนครุภัณฑ์เดิม, เพิ่มประสิทธิภาพ</v>
      </c>
    </row>
    <row r="562" spans="1:12">
      <c r="A562" s="241" t="s">
        <v>1872</v>
      </c>
      <c r="B562" s="244">
        <f>'[1]รวมครุภัณฑ์ 70 (data)'!B388</f>
        <v>2570</v>
      </c>
      <c r="C562" s="241" t="s">
        <v>447</v>
      </c>
      <c r="D562" s="244" t="str">
        <f>'[1]รวมครุภัณฑ์ 70 (data)'!C388</f>
        <v>ครุภัณฑ์โฆษณาและเผยแพร่</v>
      </c>
      <c r="E562" s="244" t="str">
        <f>'[1]รวมครุภัณฑ์ 70 (data)'!G388</f>
        <v>จอรับภาพ ชนิดมอเตอร์ไฟฟ้า ขนาดเส้นทแยงมุม 200 นิ้ว</v>
      </c>
      <c r="F562" s="244" t="str">
        <f>'[1]รวมครุภัณฑ์ 70 (data)'!H388</f>
        <v>สบพ.</v>
      </c>
      <c r="G562" s="244" t="str">
        <f>'[1]รวมครุภัณฑ์ 70 (data)'!J388</f>
        <v>ปทุมธานี</v>
      </c>
      <c r="H562" s="244" t="str">
        <f>IF('รวมครุภัณฑ์ 70'!Q387="","",'รวมครุภัณฑ์ 70'!Q387)</f>
        <v/>
      </c>
      <c r="I562" s="244">
        <f>IF('รวมครุภัณฑ์ 70'!R387="","",'รวมครุภัณฑ์ 70'!R387)</f>
        <v>2</v>
      </c>
      <c r="J562" s="244"/>
      <c r="K562" s="245">
        <f>'[1]รวมครุภัณฑ์ 70 (data)'!L388</f>
        <v>90000</v>
      </c>
      <c r="L562" s="245" t="str">
        <f t="shared" ref="L562:L625" si="6">_xlfn.TEXTJOIN(", ",TRUE,
IF(H562&lt;&gt;"","ทดแทนครุภัณฑ์เดิม",""),
IF(I562&lt;&gt;"","เพิ่มประสิทธิภาพ",""))</f>
        <v>เพิ่มประสิทธิภาพ</v>
      </c>
    </row>
    <row r="563" spans="1:12">
      <c r="A563" s="241" t="s">
        <v>1873</v>
      </c>
      <c r="B563" s="244">
        <f>'[1]รวมครุภัณฑ์ 70 (data)'!B389</f>
        <v>2570</v>
      </c>
      <c r="C563" s="241" t="s">
        <v>447</v>
      </c>
      <c r="D563" s="244" t="str">
        <f>'[1]รวมครุภัณฑ์ 70 (data)'!C389</f>
        <v>ครุภัณฑ์โฆษณาและเผยแพร่</v>
      </c>
      <c r="E563" s="244" t="str">
        <f>'[1]รวมครุภัณฑ์ 70 (data)'!G389</f>
        <v>จอรับภาพ ชนิดมอเตอร์ไฟฟ้า ขนาดเส้นทแยงมุม 180 นิ้ว (พร้อมขาตั้ง)</v>
      </c>
      <c r="F563" s="244" t="str">
        <f>'[1]รวมครุภัณฑ์ 70 (data)'!H389</f>
        <v>สบพ.</v>
      </c>
      <c r="G563" s="244" t="str">
        <f>'[1]รวมครุภัณฑ์ 70 (data)'!J389</f>
        <v>ปทุมธานี</v>
      </c>
      <c r="H563" s="244" t="str">
        <f>IF('รวมครุภัณฑ์ 70'!Q388="","",'รวมครุภัณฑ์ 70'!Q388)</f>
        <v/>
      </c>
      <c r="I563" s="244">
        <f>IF('รวมครุภัณฑ์ 70'!R388="","",'รวมครุภัณฑ์ 70'!R388)</f>
        <v>1</v>
      </c>
      <c r="J563" s="244"/>
      <c r="K563" s="245">
        <f>'[1]รวมครุภัณฑ์ 70 (data)'!L389</f>
        <v>34900</v>
      </c>
      <c r="L563" s="245" t="str">
        <f t="shared" si="6"/>
        <v>เพิ่มประสิทธิภาพ</v>
      </c>
    </row>
    <row r="564" spans="1:12">
      <c r="A564" s="241" t="s">
        <v>1874</v>
      </c>
      <c r="B564" s="244">
        <f>'[1]รวมครุภัณฑ์ 70 (data)'!B390</f>
        <v>2570</v>
      </c>
      <c r="C564" s="241" t="s">
        <v>447</v>
      </c>
      <c r="D564" s="244" t="str">
        <f>'[1]รวมครุภัณฑ์ 70 (data)'!C390</f>
        <v>ครุภัณฑ์การเกษตร</v>
      </c>
      <c r="E564" s="244" t="str">
        <f>'[1]รวมครุภัณฑ์ 70 (data)'!G390</f>
        <v>เครื่องสูบน้ำ มอเตอร์ไฟฟ้า สูบน้ำได้ 1,130 ลิตรต่อนาที</v>
      </c>
      <c r="F564" s="244" t="str">
        <f>'[1]รวมครุภัณฑ์ 70 (data)'!H390</f>
        <v>สสว.1</v>
      </c>
      <c r="G564" s="244" t="str">
        <f>'[1]รวมครุภัณฑ์ 70 (data)'!J390</f>
        <v>ปทุมธานี</v>
      </c>
      <c r="H564" s="244" t="str">
        <f>IF('รวมครุภัณฑ์ 70'!Q389="","",'รวมครุภัณฑ์ 70'!Q389)</f>
        <v/>
      </c>
      <c r="I564" s="244">
        <f>IF('รวมครุภัณฑ์ 70'!R389="","",'รวมครุภัณฑ์ 70'!R389)</f>
        <v>2</v>
      </c>
      <c r="J564" s="244"/>
      <c r="K564" s="245">
        <f>'[1]รวมครุภัณฑ์ 70 (data)'!L390</f>
        <v>34400</v>
      </c>
      <c r="L564" s="245" t="str">
        <f t="shared" si="6"/>
        <v>เพิ่มประสิทธิภาพ</v>
      </c>
    </row>
    <row r="565" spans="1:12">
      <c r="A565" s="241" t="s">
        <v>1875</v>
      </c>
      <c r="B565" s="244">
        <f>'[1]รวมครุภัณฑ์ 70 (data)'!B391</f>
        <v>2570</v>
      </c>
      <c r="C565" s="241" t="s">
        <v>447</v>
      </c>
      <c r="D565" s="244" t="str">
        <f>'[1]รวมครุภัณฑ์ 70 (data)'!C391</f>
        <v>ครุภัณฑ์สำนักงาน</v>
      </c>
      <c r="E565" s="244" t="str">
        <f>'[1]รวมครุภัณฑ์ 70 (data)'!G391</f>
        <v xml:space="preserve">เครื่องปรับอากาศ แบบแยกส่วน (ราคารวมติดตั้ง) แบบตั้งพื้นหรือแบบแขวน ขนาด 36,000 บีทียู </v>
      </c>
      <c r="F565" s="244" t="str">
        <f>'[1]รวมครุภัณฑ์ 70 (data)'!H391</f>
        <v>สสว.1</v>
      </c>
      <c r="G565" s="244" t="str">
        <f>'[1]รวมครุภัณฑ์ 70 (data)'!J391</f>
        <v>ปทุมธานี</v>
      </c>
      <c r="H565" s="244">
        <f>IF('รวมครุภัณฑ์ 70'!Q390="","",'รวมครุภัณฑ์ 70'!Q390)</f>
        <v>1</v>
      </c>
      <c r="I565" s="244" t="str">
        <f>IF('รวมครุภัณฑ์ 70'!R390="","",'รวมครุภัณฑ์ 70'!R390)</f>
        <v/>
      </c>
      <c r="J565" s="244"/>
      <c r="K565" s="245">
        <f>'[1]รวมครุภัณฑ์ 70 (data)'!L391</f>
        <v>45500</v>
      </c>
      <c r="L565" s="245" t="str">
        <f t="shared" si="6"/>
        <v>ทดแทนครุภัณฑ์เดิม</v>
      </c>
    </row>
    <row r="566" spans="1:12">
      <c r="A566" s="241" t="s">
        <v>1876</v>
      </c>
      <c r="B566" s="244">
        <f>'[1]รวมครุภัณฑ์ 70 (data)'!B392</f>
        <v>2570</v>
      </c>
      <c r="C566" s="241" t="s">
        <v>447</v>
      </c>
      <c r="D566" s="244" t="str">
        <f>'[1]รวมครุภัณฑ์ 70 (data)'!C392</f>
        <v>ครุภัณฑ์สำนักงาน</v>
      </c>
      <c r="E566" s="244" t="str">
        <f>'[1]รวมครุภัณฑ์ 70 (data)'!G392</f>
        <v>กระดานฟลิปชาร์ท ขนาด 80x100 ซม.</v>
      </c>
      <c r="F566" s="244" t="str">
        <f>'[1]รวมครุภัณฑ์ 70 (data)'!H392</f>
        <v>สสว.1</v>
      </c>
      <c r="G566" s="244" t="str">
        <f>'[1]รวมครุภัณฑ์ 70 (data)'!J392</f>
        <v>ปทุมธานี</v>
      </c>
      <c r="H566" s="244" t="str">
        <f>IF('รวมครุภัณฑ์ 70'!Q391="","",'รวมครุภัณฑ์ 70'!Q391)</f>
        <v/>
      </c>
      <c r="I566" s="244">
        <f>IF('รวมครุภัณฑ์ 70'!R391="","",'รวมครุภัณฑ์ 70'!R391)</f>
        <v>5</v>
      </c>
      <c r="J566" s="244"/>
      <c r="K566" s="245">
        <f>'[1]รวมครุภัณฑ์ 70 (data)'!L392</f>
        <v>28945</v>
      </c>
      <c r="L566" s="245" t="str">
        <f t="shared" si="6"/>
        <v>เพิ่มประสิทธิภาพ</v>
      </c>
    </row>
    <row r="567" spans="1:12">
      <c r="A567" s="241" t="s">
        <v>1877</v>
      </c>
      <c r="B567" s="244">
        <f>'[1]รวมครุภัณฑ์ 70 (data)'!B393</f>
        <v>2570</v>
      </c>
      <c r="C567" s="241" t="s">
        <v>447</v>
      </c>
      <c r="D567" s="244" t="str">
        <f>'[1]รวมครุภัณฑ์ 70 (data)'!C393</f>
        <v>ครุภัณฑ์สำนักงาน</v>
      </c>
      <c r="E567" s="244" t="str">
        <f>'[1]รวมครุภัณฑ์ 70 (data)'!G393</f>
        <v>ผ้าม่าน</v>
      </c>
      <c r="F567" s="244" t="str">
        <f>'[1]รวมครุภัณฑ์ 70 (data)'!H393</f>
        <v>สสว.2</v>
      </c>
      <c r="G567" s="244" t="str">
        <f>'[1]รวมครุภัณฑ์ 70 (data)'!J393</f>
        <v>ชลบุรี</v>
      </c>
      <c r="H567" s="244" t="str">
        <f>IF('รวมครุภัณฑ์ 70'!Q392="","",'รวมครุภัณฑ์ 70'!Q392)</f>
        <v/>
      </c>
      <c r="I567" s="244">
        <f>IF('รวมครุภัณฑ์ 70'!R392="","",'รวมครุภัณฑ์ 70'!R392)</f>
        <v>1</v>
      </c>
      <c r="J567" s="244"/>
      <c r="K567" s="245">
        <f>'[1]รวมครุภัณฑ์ 70 (data)'!L393</f>
        <v>118500</v>
      </c>
      <c r="L567" s="245" t="str">
        <f t="shared" si="6"/>
        <v>เพิ่มประสิทธิภาพ</v>
      </c>
    </row>
    <row r="568" spans="1:12">
      <c r="A568" s="241" t="s">
        <v>1878</v>
      </c>
      <c r="B568" s="244">
        <f>'[1]รวมครุภัณฑ์ 70 (data)'!B394</f>
        <v>2570</v>
      </c>
      <c r="C568" s="241" t="s">
        <v>447</v>
      </c>
      <c r="D568" s="244" t="str">
        <f>'[1]รวมครุภัณฑ์ 70 (data)'!C394</f>
        <v>ครุภัณฑ์สำนักงาน</v>
      </c>
      <c r="E568" s="244" t="str">
        <f>'[1]รวมครุภัณฑ์ 70 (data)'!G394</f>
        <v>เก้าอี้ห้องประชุม</v>
      </c>
      <c r="F568" s="244" t="str">
        <f>'[1]รวมครุภัณฑ์ 70 (data)'!H394</f>
        <v>สสว.2</v>
      </c>
      <c r="G568" s="244" t="str">
        <f>'[1]รวมครุภัณฑ์ 70 (data)'!J394</f>
        <v>ชลบุรี</v>
      </c>
      <c r="H568" s="244" t="str">
        <f>IF('รวมครุภัณฑ์ 70'!Q393="","",'รวมครุภัณฑ์ 70'!Q393)</f>
        <v/>
      </c>
      <c r="I568" s="244">
        <f>IF('รวมครุภัณฑ์ 70'!R393="","",'รวมครุภัณฑ์ 70'!R393)</f>
        <v>30</v>
      </c>
      <c r="J568" s="244"/>
      <c r="K568" s="245">
        <f>'[1]รวมครุภัณฑ์ 70 (data)'!L394</f>
        <v>114000</v>
      </c>
      <c r="L568" s="245" t="str">
        <f t="shared" si="6"/>
        <v>เพิ่มประสิทธิภาพ</v>
      </c>
    </row>
    <row r="569" spans="1:12">
      <c r="A569" s="241" t="s">
        <v>1879</v>
      </c>
      <c r="B569" s="244">
        <f>'[1]รวมครุภัณฑ์ 70 (data)'!B395</f>
        <v>2570</v>
      </c>
      <c r="C569" s="241" t="s">
        <v>447</v>
      </c>
      <c r="D569" s="244" t="str">
        <f>'[1]รวมครุภัณฑ์ 70 (data)'!C395</f>
        <v>ครุภัณฑ์สำนักงาน</v>
      </c>
      <c r="E569" s="244" t="str">
        <f>'[1]รวมครุภัณฑ์ 70 (data)'!G395</f>
        <v>เครื่องทำลายเอกสาร แบบตัดละเอียด ทำลายครั้งละ 30 แผ่น</v>
      </c>
      <c r="F569" s="244" t="str">
        <f>'[1]รวมครุภัณฑ์ 70 (data)'!H395</f>
        <v>สสว.3</v>
      </c>
      <c r="G569" s="244" t="str">
        <f>'[1]รวมครุภัณฑ์ 70 (data)'!J395</f>
        <v>นครปฐม</v>
      </c>
      <c r="H569" s="244">
        <f>IF('รวมครุภัณฑ์ 70'!Q394="","",'รวมครุภัณฑ์ 70'!Q394)</f>
        <v>1</v>
      </c>
      <c r="I569" s="244" t="str">
        <f>IF('รวมครุภัณฑ์ 70'!R394="","",'รวมครุภัณฑ์ 70'!R394)</f>
        <v/>
      </c>
      <c r="J569" s="244"/>
      <c r="K569" s="245">
        <f>'[1]รวมครุภัณฑ์ 70 (data)'!L395</f>
        <v>67000</v>
      </c>
      <c r="L569" s="245" t="str">
        <f t="shared" si="6"/>
        <v>ทดแทนครุภัณฑ์เดิม</v>
      </c>
    </row>
    <row r="570" spans="1:12">
      <c r="A570" s="241" t="s">
        <v>1880</v>
      </c>
      <c r="B570" s="244">
        <f>'[1]รวมครุภัณฑ์ 70 (data)'!B396</f>
        <v>2570</v>
      </c>
      <c r="C570" s="241" t="s">
        <v>447</v>
      </c>
      <c r="D570" s="244" t="str">
        <f>'[1]รวมครุภัณฑ์ 70 (data)'!C396</f>
        <v>ครุภัณฑ์สำนักงาน</v>
      </c>
      <c r="E570" s="244" t="str">
        <f>'[1]รวมครุภัณฑ์ 70 (data)'!G396</f>
        <v>โต๊ะประชุมรูปตัว U แบบ 10 ที่นั่ง</v>
      </c>
      <c r="F570" s="244" t="str">
        <f>'[1]รวมครุภัณฑ์ 70 (data)'!H396</f>
        <v>สสว.5</v>
      </c>
      <c r="G570" s="244" t="str">
        <f>'[1]รวมครุภัณฑ์ 70 (data)'!J396</f>
        <v>ขอนแก่น</v>
      </c>
      <c r="H570" s="244">
        <f>IF('รวมครุภัณฑ์ 70'!Q395="","",'รวมครุภัณฑ์ 70'!Q395)</f>
        <v>1</v>
      </c>
      <c r="I570" s="244" t="str">
        <f>IF('รวมครุภัณฑ์ 70'!R395="","",'รวมครุภัณฑ์ 70'!R395)</f>
        <v/>
      </c>
      <c r="J570" s="244"/>
      <c r="K570" s="245">
        <f>'[1]รวมครุภัณฑ์ 70 (data)'!L396</f>
        <v>29900</v>
      </c>
      <c r="L570" s="245" t="str">
        <f t="shared" si="6"/>
        <v>ทดแทนครุภัณฑ์เดิม</v>
      </c>
    </row>
    <row r="571" spans="1:12">
      <c r="A571" s="241" t="s">
        <v>1881</v>
      </c>
      <c r="B571" s="244">
        <f>'[1]รวมครุภัณฑ์ 70 (data)'!B397</f>
        <v>2570</v>
      </c>
      <c r="C571" s="241" t="s">
        <v>447</v>
      </c>
      <c r="D571" s="244" t="str">
        <f>'[1]รวมครุภัณฑ์ 70 (data)'!C397</f>
        <v>ครุภัณฑ์สำนักงาน</v>
      </c>
      <c r="E571" s="244" t="str">
        <f>'[1]รวมครุภัณฑ์ 70 (data)'!G397</f>
        <v>โต๊ะประชุม 30 ที่นั่ง</v>
      </c>
      <c r="F571" s="244" t="str">
        <f>'[1]รวมครุภัณฑ์ 70 (data)'!H397</f>
        <v>สสว.6</v>
      </c>
      <c r="G571" s="244" t="str">
        <f>'[1]รวมครุภัณฑ์ 70 (data)'!J397</f>
        <v>กาฬสินธุ์</v>
      </c>
      <c r="H571" s="244">
        <f>IF('รวมครุภัณฑ์ 70'!Q396="","",'รวมครุภัณฑ์ 70'!Q396)</f>
        <v>1</v>
      </c>
      <c r="I571" s="244" t="str">
        <f>IF('รวมครุภัณฑ์ 70'!R396="","",'รวมครุภัณฑ์ 70'!R396)</f>
        <v/>
      </c>
      <c r="J571" s="244"/>
      <c r="K571" s="245">
        <f>'[1]รวมครุภัณฑ์ 70 (data)'!L397</f>
        <v>93800</v>
      </c>
      <c r="L571" s="245" t="str">
        <f t="shared" si="6"/>
        <v>ทดแทนครุภัณฑ์เดิม</v>
      </c>
    </row>
    <row r="572" spans="1:12">
      <c r="A572" s="241" t="s">
        <v>1882</v>
      </c>
      <c r="B572" s="244">
        <f>'[1]รวมครุภัณฑ์ 70 (data)'!B398</f>
        <v>2570</v>
      </c>
      <c r="C572" s="241" t="s">
        <v>447</v>
      </c>
      <c r="D572" s="244" t="str">
        <f>'[1]รวมครุภัณฑ์ 70 (data)'!C398</f>
        <v>ครุภัณฑ์สำนักงาน</v>
      </c>
      <c r="E572" s="244" t="str">
        <f>'[1]รวมครุภัณฑ์ 70 (data)'!G398</f>
        <v>เก้าอี้นั่งประชุม</v>
      </c>
      <c r="F572" s="244" t="str">
        <f>'[1]รวมครุภัณฑ์ 70 (data)'!H398</f>
        <v>สสว.6</v>
      </c>
      <c r="G572" s="244" t="str">
        <f>'[1]รวมครุภัณฑ์ 70 (data)'!J398</f>
        <v>กาฬสินธุ์</v>
      </c>
      <c r="H572" s="244">
        <f>IF('รวมครุภัณฑ์ 70'!Q397="","",'รวมครุภัณฑ์ 70'!Q397)</f>
        <v>30</v>
      </c>
      <c r="I572" s="244" t="str">
        <f>IF('รวมครุภัณฑ์ 70'!R397="","",'รวมครุภัณฑ์ 70'!R397)</f>
        <v/>
      </c>
      <c r="J572" s="244"/>
      <c r="K572" s="245">
        <f>'[1]รวมครุภัณฑ์ 70 (data)'!L398</f>
        <v>112500</v>
      </c>
      <c r="L572" s="245" t="str">
        <f t="shared" si="6"/>
        <v>ทดแทนครุภัณฑ์เดิม</v>
      </c>
    </row>
    <row r="573" spans="1:12">
      <c r="A573" s="241" t="s">
        <v>1883</v>
      </c>
      <c r="B573" s="244">
        <f>'[1]รวมครุภัณฑ์ 70 (data)'!B399</f>
        <v>2570</v>
      </c>
      <c r="C573" s="241" t="s">
        <v>447</v>
      </c>
      <c r="D573" s="244" t="str">
        <f>'[1]รวมครุภัณฑ์ 70 (data)'!C399</f>
        <v>ครุภัณฑ์สำนักงาน</v>
      </c>
      <c r="E573" s="244" t="str">
        <f>'[1]รวมครุภัณฑ์ 70 (data)'!G399</f>
        <v>เก้าอี้ประธาน</v>
      </c>
      <c r="F573" s="244" t="str">
        <f>'[1]รวมครุภัณฑ์ 70 (data)'!H399</f>
        <v>สสว.6</v>
      </c>
      <c r="G573" s="244" t="str">
        <f>'[1]รวมครุภัณฑ์ 70 (data)'!J399</f>
        <v>กาฬสินธุ์</v>
      </c>
      <c r="H573" s="244">
        <f>IF('รวมครุภัณฑ์ 70'!Q398="","",'รวมครุภัณฑ์ 70'!Q398)</f>
        <v>1</v>
      </c>
      <c r="I573" s="244" t="str">
        <f>IF('รวมครุภัณฑ์ 70'!R398="","",'รวมครุภัณฑ์ 70'!R398)</f>
        <v/>
      </c>
      <c r="J573" s="244"/>
      <c r="K573" s="245">
        <f>'[1]รวมครุภัณฑ์ 70 (data)'!L399</f>
        <v>3850</v>
      </c>
      <c r="L573" s="245" t="str">
        <f t="shared" si="6"/>
        <v>ทดแทนครุภัณฑ์เดิม</v>
      </c>
    </row>
    <row r="574" spans="1:12">
      <c r="A574" s="241" t="s">
        <v>1884</v>
      </c>
      <c r="B574" s="244">
        <f>'[1]รวมครุภัณฑ์ 70 (data)'!B400</f>
        <v>2570</v>
      </c>
      <c r="C574" s="241" t="s">
        <v>447</v>
      </c>
      <c r="D574" s="244" t="str">
        <f>'[1]รวมครุภัณฑ์ 70 (data)'!C400</f>
        <v>ครุภัณฑ์สำนักงาน</v>
      </c>
      <c r="E574" s="244" t="str">
        <f>'[1]รวมครุภัณฑ์ 70 (data)'!G400</f>
        <v xml:space="preserve">เครื่องปรับอากาศ แบบแยกส่วน แบบตั้งพื้นหรือแบบแขวน (ระบบ inverter) ขนาด 24,000 บีทียู </v>
      </c>
      <c r="F574" s="244" t="str">
        <f>'[1]รวมครุภัณฑ์ 70 (data)'!H400</f>
        <v>สสว.7</v>
      </c>
      <c r="G574" s="244" t="str">
        <f>'[1]รวมครุภัณฑ์ 70 (data)'!J400</f>
        <v>ลพบุรี</v>
      </c>
      <c r="H574" s="244">
        <f>IF('รวมครุภัณฑ์ 70'!Q399="","",'รวมครุภัณฑ์ 70'!Q399)</f>
        <v>7</v>
      </c>
      <c r="I574" s="244">
        <f>IF('รวมครุภัณฑ์ 70'!R399="","",'รวมครุภัณฑ์ 70'!R399)</f>
        <v>1</v>
      </c>
      <c r="J574" s="244"/>
      <c r="K574" s="245">
        <f>'[1]รวมครุภัณฑ์ 70 (data)'!L400</f>
        <v>327200</v>
      </c>
      <c r="L574" s="245" t="str">
        <f t="shared" si="6"/>
        <v>ทดแทนครุภัณฑ์เดิม, เพิ่มประสิทธิภาพ</v>
      </c>
    </row>
    <row r="575" spans="1:12">
      <c r="A575" s="241" t="s">
        <v>1885</v>
      </c>
      <c r="B575" s="244">
        <f>'[1]รวมครุภัณฑ์ 70 (data)'!B401</f>
        <v>2570</v>
      </c>
      <c r="C575" s="241" t="s">
        <v>447</v>
      </c>
      <c r="D575" s="244" t="str">
        <f>'[1]รวมครุภัณฑ์ 70 (data)'!C401</f>
        <v>ครุภัณฑ์สำนักงาน</v>
      </c>
      <c r="E575" s="244" t="str">
        <f>'[1]รวมครุภัณฑ์ 70 (data)'!G401</f>
        <v>กล้องวงจรปิด</v>
      </c>
      <c r="F575" s="244" t="str">
        <f>'[1]รวมครุภัณฑ์ 70 (data)'!H401</f>
        <v>สสว.7</v>
      </c>
      <c r="G575" s="244" t="str">
        <f>'[1]รวมครุภัณฑ์ 70 (data)'!J401</f>
        <v>ลพบุรี</v>
      </c>
      <c r="H575" s="244" t="str">
        <f>IF('รวมครุภัณฑ์ 70'!Q400="","",'รวมครุภัณฑ์ 70'!Q400)</f>
        <v/>
      </c>
      <c r="I575" s="244">
        <f>IF('รวมครุภัณฑ์ 70'!R400="","",'รวมครุภัณฑ์ 70'!R400)</f>
        <v>1</v>
      </c>
      <c r="J575" s="244"/>
      <c r="K575" s="245">
        <f>'[1]รวมครุภัณฑ์ 70 (data)'!L401</f>
        <v>85000</v>
      </c>
      <c r="L575" s="245" t="str">
        <f t="shared" si="6"/>
        <v>เพิ่มประสิทธิภาพ</v>
      </c>
    </row>
    <row r="576" spans="1:12">
      <c r="A576" s="241" t="s">
        <v>1886</v>
      </c>
      <c r="B576" s="244">
        <f>'[1]รวมครุภัณฑ์ 70 (data)'!B402</f>
        <v>2570</v>
      </c>
      <c r="C576" s="241" t="s">
        <v>447</v>
      </c>
      <c r="D576" s="244" t="str">
        <f>'[1]รวมครุภัณฑ์ 70 (data)'!C402</f>
        <v>ครุภัณฑ์สำนักงาน</v>
      </c>
      <c r="E576" s="244" t="str">
        <f>'[1]รวมครุภัณฑ์ 70 (data)'!G402</f>
        <v>เก้าอี้สำนักงานขนาดกว้าง 60xลึก 58xสูง 90 ซม. โครงสร้าง:ที่นั่งและที่พิงเป็นโครงเหล็กดัดขึ้นรูปชิ้นเดียวปิดทับด้วยฟองน้ำเป็นไฟมฉีดขึ้นรูป คุณสมบัติโฟมไม่ยุบตัว (P.U.) บุด้วยหนังเทียมปรับระดับได้</v>
      </c>
      <c r="F576" s="244" t="str">
        <f>'[1]รวมครุภัณฑ์ 70 (data)'!H402</f>
        <v>สสว.8</v>
      </c>
      <c r="G576" s="244" t="str">
        <f>'[1]รวมครุภัณฑ์ 70 (data)'!J402</f>
        <v>อุตรดิตถ์</v>
      </c>
      <c r="H576" s="244">
        <f>IF('รวมครุภัณฑ์ 70'!Q401="","",'รวมครุภัณฑ์ 70'!Q401)</f>
        <v>10</v>
      </c>
      <c r="I576" s="244" t="str">
        <f>IF('รวมครุภัณฑ์ 70'!R401="","",'รวมครุภัณฑ์ 70'!R401)</f>
        <v/>
      </c>
      <c r="J576" s="244"/>
      <c r="K576" s="245">
        <f>'[1]รวมครุภัณฑ์ 70 (data)'!L402</f>
        <v>29000</v>
      </c>
      <c r="L576" s="245" t="str">
        <f t="shared" si="6"/>
        <v>ทดแทนครุภัณฑ์เดิม</v>
      </c>
    </row>
    <row r="577" spans="1:12">
      <c r="A577" s="241" t="s">
        <v>1887</v>
      </c>
      <c r="B577" s="244">
        <f>'[1]รวมครุภัณฑ์ 70 (data)'!B403</f>
        <v>2570</v>
      </c>
      <c r="C577" s="241" t="s">
        <v>447</v>
      </c>
      <c r="D577" s="244" t="str">
        <f>'[1]รวมครุภัณฑ์ 70 (data)'!C403</f>
        <v>ครุภัณฑ์สำนักงาน</v>
      </c>
      <c r="E577" s="244" t="str">
        <f>'[1]รวมครุภัณฑ์ 70 (data)'!G403</f>
        <v>เครื่องปรับอากาศ แบบแยกส่วน แบบตั้งพื้นหรือแบบแขวน (ระบบ Inverter) ขนาด 36,000 บีทียู</v>
      </c>
      <c r="F577" s="244" t="str">
        <f>'[1]รวมครุภัณฑ์ 70 (data)'!H403</f>
        <v>สสว.8</v>
      </c>
      <c r="G577" s="244" t="str">
        <f>'[1]รวมครุภัณฑ์ 70 (data)'!J403</f>
        <v>อุตรดิตถ์</v>
      </c>
      <c r="H577" s="244">
        <f>IF('รวมครุภัณฑ์ 70'!Q402="","",'รวมครุภัณฑ์ 70'!Q402)</f>
        <v>2</v>
      </c>
      <c r="I577" s="244" t="str">
        <f>IF('รวมครุภัณฑ์ 70'!R402="","",'รวมครุภัณฑ์ 70'!R402)</f>
        <v/>
      </c>
      <c r="J577" s="244"/>
      <c r="K577" s="245">
        <f>'[1]รวมครุภัณฑ์ 70 (data)'!L403</f>
        <v>107200</v>
      </c>
      <c r="L577" s="245" t="str">
        <f t="shared" si="6"/>
        <v>ทดแทนครุภัณฑ์เดิม</v>
      </c>
    </row>
    <row r="578" spans="1:12">
      <c r="A578" s="241" t="s">
        <v>1888</v>
      </c>
      <c r="B578" s="244">
        <f>'[1]รวมครุภัณฑ์ 70 (data)'!B404</f>
        <v>2570</v>
      </c>
      <c r="C578" s="241" t="s">
        <v>447</v>
      </c>
      <c r="D578" s="244" t="str">
        <f>'[1]รวมครุภัณฑ์ 70 (data)'!C404</f>
        <v>ครุภัณฑ์สำนักงาน</v>
      </c>
      <c r="E578" s="244" t="str">
        <f>'[1]รวมครุภัณฑ์ 70 (data)'!G404</f>
        <v>ชุดสำหรับห้องประชุม โต๊ะประชุมขาเหล็ก ขนาด 20 ที่นั่ง พร้อมเก้าอี้ปรับระดับได้ 1 ชุด</v>
      </c>
      <c r="F578" s="244" t="str">
        <f>'[1]รวมครุภัณฑ์ 70 (data)'!H404</f>
        <v>สสว.8</v>
      </c>
      <c r="G578" s="244" t="str">
        <f>'[1]รวมครุภัณฑ์ 70 (data)'!J404</f>
        <v>อุตรดิตถ์</v>
      </c>
      <c r="H578" s="244">
        <f>IF('รวมครุภัณฑ์ 70'!Q403="","",'รวมครุภัณฑ์ 70'!Q403)</f>
        <v>1</v>
      </c>
      <c r="I578" s="244" t="str">
        <f>IF('รวมครุภัณฑ์ 70'!R403="","",'รวมครุภัณฑ์ 70'!R403)</f>
        <v/>
      </c>
      <c r="J578" s="244"/>
      <c r="K578" s="245">
        <f>'[1]รวมครุภัณฑ์ 70 (data)'!L404</f>
        <v>134900</v>
      </c>
      <c r="L578" s="245" t="str">
        <f t="shared" si="6"/>
        <v>ทดแทนครุภัณฑ์เดิม</v>
      </c>
    </row>
    <row r="579" spans="1:12">
      <c r="A579" s="241" t="s">
        <v>1889</v>
      </c>
      <c r="B579" s="244">
        <f>'[1]รวมครุภัณฑ์ 70 (data)'!B405</f>
        <v>2570</v>
      </c>
      <c r="C579" s="241" t="s">
        <v>447</v>
      </c>
      <c r="D579" s="244" t="str">
        <f>'[1]รวมครุภัณฑ์ 70 (data)'!C405</f>
        <v>ครุภัณฑ์สำนักงาน</v>
      </c>
      <c r="E579" s="244" t="str">
        <f>'[1]รวมครุภัณฑ์ 70 (data)'!G405</f>
        <v>โต๊ะวางคอมพิวเตอร์ มีลิ้นชักพร้อมที่วางคีย์บอร์ด ขนาด 120X54X76 ซม. พร้อมเก้าอี้พนักพิงกลาง พนักพิงตาข่าย มีล้อเลื่อน มีโช๊คปรับขึ้นสูง-ต่ำได้</v>
      </c>
      <c r="F579" s="244" t="str">
        <f>'[1]รวมครุภัณฑ์ 70 (data)'!H405</f>
        <v>สสว.8</v>
      </c>
      <c r="G579" s="244" t="str">
        <f>'[1]รวมครุภัณฑ์ 70 (data)'!J405</f>
        <v>อุตรดิตถ์</v>
      </c>
      <c r="H579" s="244">
        <f>IF('รวมครุภัณฑ์ 70'!Q404="","",'รวมครุภัณฑ์ 70'!Q404)</f>
        <v>5</v>
      </c>
      <c r="I579" s="244" t="str">
        <f>IF('รวมครุภัณฑ์ 70'!R404="","",'รวมครุภัณฑ์ 70'!R404)</f>
        <v/>
      </c>
      <c r="J579" s="244"/>
      <c r="K579" s="245">
        <f>'[1]รวมครุภัณฑ์ 70 (data)'!L405</f>
        <v>25950</v>
      </c>
      <c r="L579" s="245" t="str">
        <f t="shared" si="6"/>
        <v>ทดแทนครุภัณฑ์เดิม</v>
      </c>
    </row>
    <row r="580" spans="1:12">
      <c r="A580" s="241" t="s">
        <v>1890</v>
      </c>
      <c r="B580" s="244">
        <f>'[1]รวมครุภัณฑ์ 70 (data)'!B406</f>
        <v>2570</v>
      </c>
      <c r="C580" s="241" t="s">
        <v>447</v>
      </c>
      <c r="D580" s="244" t="str">
        <f>'[1]รวมครุภัณฑ์ 70 (data)'!C406</f>
        <v>ครุภัณฑ์สำนักงาน</v>
      </c>
      <c r="E580" s="244" t="str">
        <f>'[1]รวมครุภัณฑ์ 70 (data)'!G406</f>
        <v>โต๊ะประชุมขนาด 180*60*75 ซม.</v>
      </c>
      <c r="F580" s="244" t="str">
        <f>'[1]รวมครุภัณฑ์ 70 (data)'!H406</f>
        <v>สสว.9</v>
      </c>
      <c r="G580" s="244" t="str">
        <f>'[1]รวมครุภัณฑ์ 70 (data)'!J406</f>
        <v>เชียงใหม่</v>
      </c>
      <c r="H580" s="244" t="str">
        <f>IF('รวมครุภัณฑ์ 70'!Q405="","",'รวมครุภัณฑ์ 70'!Q405)</f>
        <v/>
      </c>
      <c r="I580" s="244">
        <f>IF('รวมครุภัณฑ์ 70'!R405="","",'รวมครุภัณฑ์ 70'!R405)</f>
        <v>1</v>
      </c>
      <c r="J580" s="244"/>
      <c r="K580" s="245">
        <f>'[1]รวมครุภัณฑ์ 70 (data)'!L406</f>
        <v>3900</v>
      </c>
      <c r="L580" s="245" t="str">
        <f t="shared" si="6"/>
        <v>เพิ่มประสิทธิภาพ</v>
      </c>
    </row>
    <row r="581" spans="1:12">
      <c r="A581" s="241" t="s">
        <v>1891</v>
      </c>
      <c r="B581" s="244">
        <f>'[1]รวมครุภัณฑ์ 70 (data)'!B407</f>
        <v>2570</v>
      </c>
      <c r="C581" s="241" t="s">
        <v>447</v>
      </c>
      <c r="D581" s="244" t="str">
        <f>'[1]รวมครุภัณฑ์ 70 (data)'!C407</f>
        <v>ครุภัณฑ์สำนักงาน</v>
      </c>
      <c r="E581" s="244" t="str">
        <f>'[1]รวมครุภัณฑ์ 70 (data)'!G407</f>
        <v>โต๊ะประชุมขนาด 150*60*75 ซม.</v>
      </c>
      <c r="F581" s="244" t="str">
        <f>'[1]รวมครุภัณฑ์ 70 (data)'!H407</f>
        <v>สสว.9</v>
      </c>
      <c r="G581" s="244" t="str">
        <f>'[1]รวมครุภัณฑ์ 70 (data)'!J407</f>
        <v>เชียงใหม่</v>
      </c>
      <c r="H581" s="244" t="str">
        <f>IF('รวมครุภัณฑ์ 70'!Q406="","",'รวมครุภัณฑ์ 70'!Q406)</f>
        <v/>
      </c>
      <c r="I581" s="244">
        <f>IF('รวมครุภัณฑ์ 70'!R406="","",'รวมครุภัณฑ์ 70'!R406)</f>
        <v>10</v>
      </c>
      <c r="J581" s="244"/>
      <c r="K581" s="245">
        <f>'[1]รวมครุภัณฑ์ 70 (data)'!L407</f>
        <v>37000</v>
      </c>
      <c r="L581" s="245" t="str">
        <f t="shared" si="6"/>
        <v>เพิ่มประสิทธิภาพ</v>
      </c>
    </row>
    <row r="582" spans="1:12">
      <c r="A582" s="241" t="s">
        <v>1892</v>
      </c>
      <c r="B582" s="244">
        <f>'[1]รวมครุภัณฑ์ 70 (data)'!B408</f>
        <v>2570</v>
      </c>
      <c r="C582" s="241" t="s">
        <v>447</v>
      </c>
      <c r="D582" s="244" t="str">
        <f>'[1]รวมครุภัณฑ์ 70 (data)'!C408</f>
        <v>ครุภัณฑ์สำนักงาน</v>
      </c>
      <c r="E582" s="244" t="str">
        <f>'[1]รวมครุภัณฑ์ 70 (data)'!G408</f>
        <v>โต๊ะเข้ามุม 65*65*75 ซม.</v>
      </c>
      <c r="F582" s="244" t="str">
        <f>'[1]รวมครุภัณฑ์ 70 (data)'!H408</f>
        <v>สสว.9</v>
      </c>
      <c r="G582" s="244" t="str">
        <f>'[1]รวมครุภัณฑ์ 70 (data)'!J408</f>
        <v>เชียงใหม่</v>
      </c>
      <c r="H582" s="244" t="str">
        <f>IF('รวมครุภัณฑ์ 70'!Q407="","",'รวมครุภัณฑ์ 70'!Q407)</f>
        <v/>
      </c>
      <c r="I582" s="244">
        <f>IF('รวมครุภัณฑ์ 70'!R407="","",'รวมครุภัณฑ์ 70'!R407)</f>
        <v>2</v>
      </c>
      <c r="J582" s="244"/>
      <c r="K582" s="245">
        <f>'[1]รวมครุภัณฑ์ 70 (data)'!L408</f>
        <v>5000</v>
      </c>
      <c r="L582" s="245" t="str">
        <f t="shared" si="6"/>
        <v>เพิ่มประสิทธิภาพ</v>
      </c>
    </row>
    <row r="583" spans="1:12">
      <c r="A583" s="241" t="s">
        <v>1893</v>
      </c>
      <c r="B583" s="244">
        <f>'[1]รวมครุภัณฑ์ 70 (data)'!B409</f>
        <v>2570</v>
      </c>
      <c r="C583" s="241" t="s">
        <v>447</v>
      </c>
      <c r="D583" s="244" t="str">
        <f>'[1]รวมครุภัณฑ์ 70 (data)'!C409</f>
        <v>ครุภัณฑ์สำนักงาน</v>
      </c>
      <c r="E583" s="244" t="str">
        <f>'[1]รวมครุภัณฑ์ 70 (data)'!G409</f>
        <v>เก้าอี้ผู้บริหาร ขนาด 64*68*112-120 ซม.</v>
      </c>
      <c r="F583" s="244" t="str">
        <f>'[1]รวมครุภัณฑ์ 70 (data)'!H409</f>
        <v>สสว.9</v>
      </c>
      <c r="G583" s="244" t="str">
        <f>'[1]รวมครุภัณฑ์ 70 (data)'!J409</f>
        <v>เชียงใหม่</v>
      </c>
      <c r="H583" s="244" t="str">
        <f>IF('รวมครุภัณฑ์ 70'!Q408="","",'รวมครุภัณฑ์ 70'!Q408)</f>
        <v/>
      </c>
      <c r="I583" s="244">
        <f>IF('รวมครุภัณฑ์ 70'!R408="","",'รวมครุภัณฑ์ 70'!R408)</f>
        <v>1</v>
      </c>
      <c r="J583" s="244"/>
      <c r="K583" s="245">
        <f>'[1]รวมครุภัณฑ์ 70 (data)'!L409</f>
        <v>5900</v>
      </c>
      <c r="L583" s="245" t="str">
        <f t="shared" si="6"/>
        <v>เพิ่มประสิทธิภาพ</v>
      </c>
    </row>
    <row r="584" spans="1:12">
      <c r="A584" s="241" t="s">
        <v>1894</v>
      </c>
      <c r="B584" s="244">
        <f>'[1]รวมครุภัณฑ์ 70 (data)'!B410</f>
        <v>2570</v>
      </c>
      <c r="C584" s="241" t="s">
        <v>447</v>
      </c>
      <c r="D584" s="244" t="str">
        <f>'[1]รวมครุภัณฑ์ 70 (data)'!C410</f>
        <v>ครุภัณฑ์สำนักงาน</v>
      </c>
      <c r="E584" s="244" t="str">
        <f>'[1]รวมครุภัณฑ์ 70 (data)'!G410</f>
        <v>เก้าอี้ประชุม ขนาด 55*52*89-101 ซม.</v>
      </c>
      <c r="F584" s="244" t="str">
        <f>'[1]รวมครุภัณฑ์ 70 (data)'!H410</f>
        <v>สสว.9</v>
      </c>
      <c r="G584" s="244" t="str">
        <f>'[1]รวมครุภัณฑ์ 70 (data)'!J410</f>
        <v>เชียงใหม่</v>
      </c>
      <c r="H584" s="244" t="str">
        <f>IF('รวมครุภัณฑ์ 70'!Q409="","",'รวมครุภัณฑ์ 70'!Q409)</f>
        <v/>
      </c>
      <c r="I584" s="244">
        <f>IF('รวมครุภัณฑ์ 70'!R409="","",'รวมครุภัณฑ์ 70'!R409)</f>
        <v>20</v>
      </c>
      <c r="J584" s="244"/>
      <c r="K584" s="245">
        <f>'[1]รวมครุภัณฑ์ 70 (data)'!L410</f>
        <v>45800</v>
      </c>
      <c r="L584" s="245" t="str">
        <f t="shared" si="6"/>
        <v>เพิ่มประสิทธิภาพ</v>
      </c>
    </row>
    <row r="585" spans="1:12">
      <c r="A585" s="241" t="s">
        <v>1895</v>
      </c>
      <c r="B585" s="244">
        <f>'[1]รวมครุภัณฑ์ 70 (data)'!B411</f>
        <v>2570</v>
      </c>
      <c r="C585" s="241" t="s">
        <v>447</v>
      </c>
      <c r="D585" s="244" t="str">
        <f>'[1]รวมครุภัณฑ์ 70 (data)'!C411</f>
        <v>ครุภัณฑ์สำนักงาน</v>
      </c>
      <c r="E585" s="244" t="str">
        <f>'[1]รวมครุภัณฑ์ 70 (data)'!G411</f>
        <v>เก้าอี้รับรอง ขนาด 56*58*64 ซม.</v>
      </c>
      <c r="F585" s="244" t="str">
        <f>'[1]รวมครุภัณฑ์ 70 (data)'!H411</f>
        <v>สสว.9</v>
      </c>
      <c r="G585" s="244" t="str">
        <f>'[1]รวมครุภัณฑ์ 70 (data)'!J411</f>
        <v>เชียงใหม่</v>
      </c>
      <c r="H585" s="244" t="str">
        <f>IF('รวมครุภัณฑ์ 70'!Q410="","",'รวมครุภัณฑ์ 70'!Q410)</f>
        <v/>
      </c>
      <c r="I585" s="244">
        <f>IF('รวมครุภัณฑ์ 70'!R410="","",'รวมครุภัณฑ์ 70'!R410)</f>
        <v>20</v>
      </c>
      <c r="J585" s="244"/>
      <c r="K585" s="245">
        <f>'[1]รวมครุภัณฑ์ 70 (data)'!L411</f>
        <v>33800</v>
      </c>
      <c r="L585" s="245" t="str">
        <f t="shared" si="6"/>
        <v>เพิ่มประสิทธิภาพ</v>
      </c>
    </row>
    <row r="586" spans="1:12">
      <c r="A586" s="241" t="s">
        <v>1896</v>
      </c>
      <c r="B586" s="244">
        <f>'[1]รวมครุภัณฑ์ 70 (data)'!B412</f>
        <v>2570</v>
      </c>
      <c r="C586" s="241" t="s">
        <v>447</v>
      </c>
      <c r="D586" s="244" t="str">
        <f>'[1]รวมครุภัณฑ์ 70 (data)'!C412</f>
        <v>ครุภัณฑ์สำนักงาน</v>
      </c>
      <c r="E586" s="244" t="str">
        <f>'[1]รวมครุภัณฑ์ 70 (data)'!G412</f>
        <v xml:space="preserve">เครื่องปรับอากาศ แบบแยกส่วน แบบตั้งพื้นหรือแบบแขวน (ระบบ Inverter) ขนาด 30,000 บีทียู </v>
      </c>
      <c r="F586" s="244" t="str">
        <f>'[1]รวมครุภัณฑ์ 70 (data)'!H412</f>
        <v>สสว.10</v>
      </c>
      <c r="G586" s="244" t="str">
        <f>'[1]รวมครุภัณฑ์ 70 (data)'!J412</f>
        <v>สุราษฎร์ธานี</v>
      </c>
      <c r="H586" s="244" t="str">
        <f>IF('รวมครุภัณฑ์ 70'!Q411="","",'รวมครุภัณฑ์ 70'!Q411)</f>
        <v/>
      </c>
      <c r="I586" s="244">
        <f>IF('รวมครุภัณฑ์ 70'!R411="","",'รวมครุภัณฑ์ 70'!R411)</f>
        <v>5</v>
      </c>
      <c r="J586" s="244"/>
      <c r="K586" s="245">
        <f>'[1]รวมครุภัณฑ์ 70 (data)'!L412</f>
        <v>236000</v>
      </c>
      <c r="L586" s="245" t="str">
        <f t="shared" si="6"/>
        <v>เพิ่มประสิทธิภาพ</v>
      </c>
    </row>
    <row r="587" spans="1:12">
      <c r="A587" s="241" t="s">
        <v>1897</v>
      </c>
      <c r="B587" s="244">
        <f>'[1]รวมครุภัณฑ์ 70 (data)'!B413</f>
        <v>2570</v>
      </c>
      <c r="C587" s="241" t="s">
        <v>447</v>
      </c>
      <c r="D587" s="244" t="str">
        <f>'[1]รวมครุภัณฑ์ 70 (data)'!C413</f>
        <v>ครุภัณฑ์สำนักงาน</v>
      </c>
      <c r="E587" s="244" t="str">
        <f>'[1]รวมครุภัณฑ์ 70 (data)'!G413</f>
        <v>ตู้เซฟนิรภัย 51 KG ขนาด 34.5x51.2 ซม.</v>
      </c>
      <c r="F587" s="244" t="str">
        <f>'[1]รวมครุภัณฑ์ 70 (data)'!H413</f>
        <v>สสว.10</v>
      </c>
      <c r="G587" s="244" t="str">
        <f>'[1]รวมครุภัณฑ์ 70 (data)'!J413</f>
        <v>สุราษฎร์ธานี</v>
      </c>
      <c r="H587" s="244" t="str">
        <f>IF('รวมครุภัณฑ์ 70'!Q412="","",'รวมครุภัณฑ์ 70'!Q412)</f>
        <v/>
      </c>
      <c r="I587" s="244">
        <f>IF('รวมครุภัณฑ์ 70'!R412="","",'รวมครุภัณฑ์ 70'!R412)</f>
        <v>1</v>
      </c>
      <c r="J587" s="244"/>
      <c r="K587" s="245">
        <f>'[1]รวมครุภัณฑ์ 70 (data)'!L413</f>
        <v>6500</v>
      </c>
      <c r="L587" s="245" t="str">
        <f t="shared" si="6"/>
        <v>เพิ่มประสิทธิภาพ</v>
      </c>
    </row>
    <row r="588" spans="1:12">
      <c r="A588" s="241" t="s">
        <v>1898</v>
      </c>
      <c r="B588" s="244">
        <f>'[1]รวมครุภัณฑ์ 70 (data)'!B414</f>
        <v>2570</v>
      </c>
      <c r="C588" s="241" t="s">
        <v>447</v>
      </c>
      <c r="D588" s="244" t="str">
        <f>'[1]รวมครุภัณฑ์ 70 (data)'!C414</f>
        <v>ครุภัณฑ์สำนักงาน</v>
      </c>
      <c r="E588" s="244" t="str">
        <f>'[1]รวมครุภัณฑ์ 70 (data)'!G414</f>
        <v xml:space="preserve">เครื่องปรับอากาศ แบบแยกส่วน แบบตั้งพื้นหรือแบบแขวน ขนาด 50,000 บีทียู </v>
      </c>
      <c r="F588" s="244" t="str">
        <f>'[1]รวมครุภัณฑ์ 70 (data)'!H414</f>
        <v>สสว.11</v>
      </c>
      <c r="G588" s="244" t="str">
        <f>'[1]รวมครุภัณฑ์ 70 (data)'!J414</f>
        <v>สงขลา</v>
      </c>
      <c r="H588" s="244">
        <f>IF('รวมครุภัณฑ์ 70'!Q413="","",'รวมครุภัณฑ์ 70'!Q413)</f>
        <v>5</v>
      </c>
      <c r="I588" s="244">
        <f>IF('รวมครุภัณฑ์ 70'!R413="","",'รวมครุภัณฑ์ 70'!R413)</f>
        <v>1</v>
      </c>
      <c r="J588" s="244"/>
      <c r="K588" s="245">
        <f>'[1]รวมครุภัณฑ์ 70 (data)'!L414</f>
        <v>336000</v>
      </c>
      <c r="L588" s="245" t="str">
        <f t="shared" si="6"/>
        <v>ทดแทนครุภัณฑ์เดิม, เพิ่มประสิทธิภาพ</v>
      </c>
    </row>
    <row r="589" spans="1:12">
      <c r="A589" s="241" t="s">
        <v>1899</v>
      </c>
      <c r="B589" s="244">
        <f>'[1]รวมครุภัณฑ์ 70 (data)'!B415</f>
        <v>2570</v>
      </c>
      <c r="C589" s="241" t="s">
        <v>447</v>
      </c>
      <c r="D589" s="244" t="str">
        <f>'[1]รวมครุภัณฑ์ 70 (data)'!C415</f>
        <v>ครุภัณฑ์สำนักงาน</v>
      </c>
      <c r="E589" s="244" t="str">
        <f>'[1]รวมครุภัณฑ์ 70 (data)'!G415</f>
        <v>โต๊ะทำงานสำหรับผู้อำนวยการ</v>
      </c>
      <c r="F589" s="244" t="str">
        <f>'[1]รวมครุภัณฑ์ 70 (data)'!H415</f>
        <v>สสว.11</v>
      </c>
      <c r="G589" s="244" t="str">
        <f>'[1]รวมครุภัณฑ์ 70 (data)'!J415</f>
        <v>สงขลา</v>
      </c>
      <c r="H589" s="244">
        <f>IF('รวมครุภัณฑ์ 70'!Q414="","",'รวมครุภัณฑ์ 70'!Q414)</f>
        <v>1</v>
      </c>
      <c r="I589" s="244" t="str">
        <f>IF('รวมครุภัณฑ์ 70'!R414="","",'รวมครุภัณฑ์ 70'!R414)</f>
        <v/>
      </c>
      <c r="J589" s="244"/>
      <c r="K589" s="245">
        <f>'[1]รวมครุภัณฑ์ 70 (data)'!L415</f>
        <v>18420</v>
      </c>
      <c r="L589" s="245" t="str">
        <f t="shared" si="6"/>
        <v>ทดแทนครุภัณฑ์เดิม</v>
      </c>
    </row>
    <row r="590" spans="1:12">
      <c r="A590" s="241" t="s">
        <v>1900</v>
      </c>
      <c r="B590" s="244">
        <f>'[1]รวมครุภัณฑ์ 70 (data)'!B416</f>
        <v>2570</v>
      </c>
      <c r="C590" s="241" t="s">
        <v>447</v>
      </c>
      <c r="D590" s="244" t="str">
        <f>'[1]รวมครุภัณฑ์ 70 (data)'!C416</f>
        <v>ครุภัณฑ์งานบ้านงานครัว</v>
      </c>
      <c r="E590" s="244" t="str">
        <f>'[1]รวมครุภัณฑ์ 70 (data)'!G416</f>
        <v>เครื่องตัดหญ้า แบบข้อแข็ง</v>
      </c>
      <c r="F590" s="244" t="str">
        <f>'[1]รวมครุภัณฑ์ 70 (data)'!H416</f>
        <v>สสว.1</v>
      </c>
      <c r="G590" s="244" t="str">
        <f>'[1]รวมครุภัณฑ์ 70 (data)'!J416</f>
        <v>ปทุมธานี</v>
      </c>
      <c r="H590" s="244">
        <f>IF('รวมครุภัณฑ์ 70'!Q415="","",'รวมครุภัณฑ์ 70'!Q415)</f>
        <v>5</v>
      </c>
      <c r="I590" s="244" t="str">
        <f>IF('รวมครุภัณฑ์ 70'!R415="","",'รวมครุภัณฑ์ 70'!R415)</f>
        <v/>
      </c>
      <c r="J590" s="244"/>
      <c r="K590" s="245">
        <f>'[1]รวมครุภัณฑ์ 70 (data)'!L416</f>
        <v>47500</v>
      </c>
      <c r="L590" s="245" t="str">
        <f t="shared" si="6"/>
        <v>ทดแทนครุภัณฑ์เดิม</v>
      </c>
    </row>
    <row r="591" spans="1:12">
      <c r="A591" s="241" t="s">
        <v>1901</v>
      </c>
      <c r="B591" s="244">
        <f>'[1]รวมครุภัณฑ์ 70 (data)'!B417</f>
        <v>2570</v>
      </c>
      <c r="C591" s="241" t="s">
        <v>447</v>
      </c>
      <c r="D591" s="244" t="str">
        <f>'[1]รวมครุภัณฑ์ 70 (data)'!C417</f>
        <v>ครุภัณฑ์งานบ้านงานครัว</v>
      </c>
      <c r="E591" s="244" t="str">
        <f>'[1]รวมครุภัณฑ์ 70 (data)'!G417</f>
        <v>เครื่องทำน้ำร้อน-น้ำเย็น</v>
      </c>
      <c r="F591" s="244" t="str">
        <f>'[1]รวมครุภัณฑ์ 70 (data)'!H417</f>
        <v>สสว.4</v>
      </c>
      <c r="G591" s="244" t="str">
        <f>'[1]รวมครุภัณฑ์ 70 (data)'!J417</f>
        <v>นครราชสีมา</v>
      </c>
      <c r="H591" s="244">
        <f>IF('รวมครุภัณฑ์ 70'!Q416="","",'รวมครุภัณฑ์ 70'!Q416)</f>
        <v>1</v>
      </c>
      <c r="I591" s="244" t="str">
        <f>IF('รวมครุภัณฑ์ 70'!R416="","",'รวมครุภัณฑ์ 70'!R416)</f>
        <v/>
      </c>
      <c r="J591" s="244"/>
      <c r="K591" s="245">
        <f>'[1]รวมครุภัณฑ์ 70 (data)'!L417</f>
        <v>8990</v>
      </c>
      <c r="L591" s="245" t="str">
        <f t="shared" si="6"/>
        <v>ทดแทนครุภัณฑ์เดิม</v>
      </c>
    </row>
    <row r="592" spans="1:12">
      <c r="A592" s="241" t="s">
        <v>1902</v>
      </c>
      <c r="B592" s="244">
        <f>'[1]รวมครุภัณฑ์ 70 (data)'!B418</f>
        <v>2570</v>
      </c>
      <c r="C592" s="241" t="s">
        <v>447</v>
      </c>
      <c r="D592" s="244" t="str">
        <f>'[1]รวมครุภัณฑ์ 70 (data)'!C418</f>
        <v>ครุภัณฑ์งานบ้านงานครัว</v>
      </c>
      <c r="E592" s="244" t="str">
        <f>'[1]รวมครุภัณฑ์ 70 (data)'!G418</f>
        <v>เครื่องตัดหญ้า แบบข้อแข็ง</v>
      </c>
      <c r="F592" s="244" t="str">
        <f>'[1]รวมครุภัณฑ์ 70 (data)'!H418</f>
        <v>สสว.4</v>
      </c>
      <c r="G592" s="244" t="str">
        <f>'[1]รวมครุภัณฑ์ 70 (data)'!J418</f>
        <v>นครราชสีมา</v>
      </c>
      <c r="H592" s="244">
        <f>IF('รวมครุภัณฑ์ 70'!Q417="","",'รวมครุภัณฑ์ 70'!Q417)</f>
        <v>1</v>
      </c>
      <c r="I592" s="244" t="str">
        <f>IF('รวมครุภัณฑ์ 70'!R417="","",'รวมครุภัณฑ์ 70'!R417)</f>
        <v/>
      </c>
      <c r="J592" s="244"/>
      <c r="K592" s="245">
        <f>'[1]รวมครุภัณฑ์ 70 (data)'!L418</f>
        <v>9500</v>
      </c>
      <c r="L592" s="245" t="str">
        <f t="shared" si="6"/>
        <v>ทดแทนครุภัณฑ์เดิม</v>
      </c>
    </row>
    <row r="593" spans="1:12">
      <c r="A593" s="241" t="s">
        <v>1903</v>
      </c>
      <c r="B593" s="244">
        <f>'[1]รวมครุภัณฑ์ 70 (data)'!B419</f>
        <v>2570</v>
      </c>
      <c r="C593" s="241" t="s">
        <v>447</v>
      </c>
      <c r="D593" s="244" t="str">
        <f>'[1]รวมครุภัณฑ์ 70 (data)'!C419</f>
        <v>ครุภัณฑ์งานบ้านงานครัว</v>
      </c>
      <c r="E593" s="244" t="str">
        <f>'[1]รวมครุภัณฑ์ 70 (data)'!G419</f>
        <v>เครื่องตัดแต่งพุ่มไม้ ขนาด 29.5 นิ้ว</v>
      </c>
      <c r="F593" s="244" t="str">
        <f>'[1]รวมครุภัณฑ์ 70 (data)'!H419</f>
        <v>สสว.5</v>
      </c>
      <c r="G593" s="244" t="str">
        <f>'[1]รวมครุภัณฑ์ 70 (data)'!J419</f>
        <v>ขอนแก่น</v>
      </c>
      <c r="H593" s="244" t="str">
        <f>IF('รวมครุภัณฑ์ 70'!Q418="","",'รวมครุภัณฑ์ 70'!Q418)</f>
        <v/>
      </c>
      <c r="I593" s="244">
        <f>IF('รวมครุภัณฑ์ 70'!R418="","",'รวมครุภัณฑ์ 70'!R418)</f>
        <v>1</v>
      </c>
      <c r="J593" s="244"/>
      <c r="K593" s="245">
        <f>'[1]รวมครุภัณฑ์ 70 (data)'!L419</f>
        <v>17400</v>
      </c>
      <c r="L593" s="245" t="str">
        <f t="shared" si="6"/>
        <v>เพิ่มประสิทธิภาพ</v>
      </c>
    </row>
    <row r="594" spans="1:12">
      <c r="A594" s="241" t="s">
        <v>1904</v>
      </c>
      <c r="B594" s="244">
        <f>'[1]รวมครุภัณฑ์ 70 (data)'!B420</f>
        <v>2570</v>
      </c>
      <c r="C594" s="241" t="s">
        <v>447</v>
      </c>
      <c r="D594" s="244" t="str">
        <f>'[1]รวมครุภัณฑ์ 70 (data)'!C420</f>
        <v>ครุภัณฑ์งานบ้านงานครัว</v>
      </c>
      <c r="E594" s="244" t="str">
        <f>'[1]รวมครุภัณฑ์ 70 (data)'!G420</f>
        <v>เครื่องตัดแต่งพุ่มไม้ ขนาด 29.5 นิ้ว</v>
      </c>
      <c r="F594" s="244" t="str">
        <f>'[1]รวมครุภัณฑ์ 70 (data)'!H420</f>
        <v>สสว.9</v>
      </c>
      <c r="G594" s="244" t="str">
        <f>'[1]รวมครุภัณฑ์ 70 (data)'!J420</f>
        <v>เชียงใหม่</v>
      </c>
      <c r="H594" s="244" t="str">
        <f>IF('รวมครุภัณฑ์ 70'!Q419="","",'รวมครุภัณฑ์ 70'!Q419)</f>
        <v/>
      </c>
      <c r="I594" s="244">
        <f>IF('รวมครุภัณฑ์ 70'!R419="","",'รวมครุภัณฑ์ 70'!R419)</f>
        <v>1</v>
      </c>
      <c r="J594" s="244"/>
      <c r="K594" s="245">
        <f>'[1]รวมครุภัณฑ์ 70 (data)'!L420</f>
        <v>17400</v>
      </c>
      <c r="L594" s="245" t="str">
        <f t="shared" si="6"/>
        <v>เพิ่มประสิทธิภาพ</v>
      </c>
    </row>
    <row r="595" spans="1:12">
      <c r="A595" s="241" t="s">
        <v>1905</v>
      </c>
      <c r="B595" s="244">
        <f>'[1]รวมครุภัณฑ์ 70 (data)'!B421</f>
        <v>2570</v>
      </c>
      <c r="C595" s="241" t="s">
        <v>447</v>
      </c>
      <c r="D595" s="244" t="str">
        <f>'[1]รวมครุภัณฑ์ 70 (data)'!C421</f>
        <v>ครุภัณฑ์งานบ้านงานครัว</v>
      </c>
      <c r="E595" s="244" t="str">
        <f>'[1]รวมครุภัณฑ์ 70 (data)'!G421</f>
        <v>เครื่องตัดแต่งพุ่มไม้ ขนาด 29.5 นิ้ว</v>
      </c>
      <c r="F595" s="244" t="str">
        <f>'[1]รวมครุภัณฑ์ 70 (data)'!H421</f>
        <v>สสว.10</v>
      </c>
      <c r="G595" s="244" t="str">
        <f>'[1]รวมครุภัณฑ์ 70 (data)'!J421</f>
        <v>สุราษฎร์ธานี</v>
      </c>
      <c r="H595" s="244" t="str">
        <f>IF('รวมครุภัณฑ์ 70'!Q420="","",'รวมครุภัณฑ์ 70'!Q420)</f>
        <v/>
      </c>
      <c r="I595" s="244">
        <f>IF('รวมครุภัณฑ์ 70'!R420="","",'รวมครุภัณฑ์ 70'!R420)</f>
        <v>2</v>
      </c>
      <c r="J595" s="244"/>
      <c r="K595" s="245">
        <f>'[1]รวมครุภัณฑ์ 70 (data)'!L421</f>
        <v>34800</v>
      </c>
      <c r="L595" s="245" t="str">
        <f t="shared" si="6"/>
        <v>เพิ่มประสิทธิภาพ</v>
      </c>
    </row>
    <row r="596" spans="1:12">
      <c r="A596" s="241" t="s">
        <v>1906</v>
      </c>
      <c r="B596" s="244">
        <f>'[1]รวมครุภัณฑ์ 70 (data)'!B422</f>
        <v>2570</v>
      </c>
      <c r="C596" s="241" t="s">
        <v>447</v>
      </c>
      <c r="D596" s="244" t="str">
        <f>'[1]รวมครุภัณฑ์ 70 (data)'!C422</f>
        <v>ครุภัณฑ์งานบ้านงานครัว</v>
      </c>
      <c r="E596" s="244" t="str">
        <f>'[1]รวมครุภัณฑ์ 70 (data)'!G422</f>
        <v>เครื่องซักผ้า แบบธรรมดา ขนาด 15 กิโลกรัม</v>
      </c>
      <c r="F596" s="244" t="str">
        <f>'[1]รวมครุภัณฑ์ 70 (data)'!H422</f>
        <v>สสว.11</v>
      </c>
      <c r="G596" s="244" t="str">
        <f>'[1]รวมครุภัณฑ์ 70 (data)'!J422</f>
        <v>สงขลา</v>
      </c>
      <c r="H596" s="244">
        <f>IF('รวมครุภัณฑ์ 70'!Q421="","",'รวมครุภัณฑ์ 70'!Q421)</f>
        <v>1</v>
      </c>
      <c r="I596" s="244">
        <f>IF('รวมครุภัณฑ์ 70'!R421="","",'รวมครุภัณฑ์ 70'!R421)</f>
        <v>1</v>
      </c>
      <c r="J596" s="244"/>
      <c r="K596" s="245">
        <f>'[1]รวมครุภัณฑ์ 70 (data)'!L422</f>
        <v>34000</v>
      </c>
      <c r="L596" s="245" t="str">
        <f t="shared" si="6"/>
        <v>ทดแทนครุภัณฑ์เดิม, เพิ่มประสิทธิภาพ</v>
      </c>
    </row>
    <row r="597" spans="1:12">
      <c r="A597" s="241" t="s">
        <v>1907</v>
      </c>
      <c r="B597" s="244">
        <f>'[1]รวมครุภัณฑ์ 70 (data)'!B423</f>
        <v>2570</v>
      </c>
      <c r="C597" s="241" t="s">
        <v>447</v>
      </c>
      <c r="D597" s="244" t="str">
        <f>'[1]รวมครุภัณฑ์ 70 (data)'!C423</f>
        <v>ครุภัณฑ์ยานพาหนะและขนส่ง</v>
      </c>
      <c r="E597" s="244" t="str">
        <f>'[1]รวมครุภัณฑ์ 70 (data)'!G423</f>
        <v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(ระบบเกียร์อัตโนมัติ)</v>
      </c>
      <c r="F597" s="244" t="str">
        <f>'[1]รวมครุภัณฑ์ 70 (data)'!H423</f>
        <v>สสว.3</v>
      </c>
      <c r="G597" s="244" t="str">
        <f>'[1]รวมครุภัณฑ์ 70 (data)'!J423</f>
        <v>นครปฐม</v>
      </c>
      <c r="H597" s="244">
        <f>IF('รวมครุภัณฑ์ 70'!Q422="","",'รวมครุภัณฑ์ 70'!Q422)</f>
        <v>1</v>
      </c>
      <c r="I597" s="244" t="str">
        <f>IF('รวมครุภัณฑ์ 70'!R422="","",'รวมครุภัณฑ์ 70'!R422)</f>
        <v/>
      </c>
      <c r="J597" s="244"/>
      <c r="K597" s="245">
        <f>'[1]รวมครุภัณฑ์ 70 (data)'!L423</f>
        <v>1498000</v>
      </c>
      <c r="L597" s="245" t="str">
        <f t="shared" si="6"/>
        <v>ทดแทนครุภัณฑ์เดิม</v>
      </c>
    </row>
    <row r="598" spans="1:12">
      <c r="A598" s="241" t="s">
        <v>1908</v>
      </c>
      <c r="B598" s="244">
        <f>'[1]รวมครุภัณฑ์ 70 (data)'!B424</f>
        <v>2570</v>
      </c>
      <c r="C598" s="241" t="s">
        <v>447</v>
      </c>
      <c r="D598" s="244" t="str">
        <f>'[1]รวมครุภัณฑ์ 70 (data)'!C424</f>
        <v>ครุภัณฑ์ยานพาหนะและขนส่ง</v>
      </c>
      <c r="E598" s="244" t="str">
        <f>'[1]รวมครุภัณฑ์ 70 (data)'!G424</f>
        <v>รถบรรทุก (ดีเซล) ขนาด 1 ตัน ปริมาตรกระบอกสูบไม่ต่ากว่า 2,400 ซีซี หรือกำลังเครื่องยนต์สูงสุดไม่ต่ำกว่า 110 กิโลวัตต์ขับเคลื่อน 2 ล้อ แบบดับเบิ้ลแค็บ พร้อมหลังคาไฟเบอร์กลาสหรือเหล็ก</v>
      </c>
      <c r="F598" s="244" t="str">
        <f>'[1]รวมครุภัณฑ์ 70 (data)'!H424</f>
        <v>สสว.10</v>
      </c>
      <c r="G598" s="244" t="str">
        <f>'[1]รวมครุภัณฑ์ 70 (data)'!J424</f>
        <v>สุราษฎร์ธานี</v>
      </c>
      <c r="H598" s="244">
        <f>IF('รวมครุภัณฑ์ 70'!Q423="","",'รวมครุภัณฑ์ 70'!Q423)</f>
        <v>1</v>
      </c>
      <c r="I598" s="244" t="str">
        <f>IF('รวมครุภัณฑ์ 70'!R423="","",'รวมครุภัณฑ์ 70'!R423)</f>
        <v/>
      </c>
      <c r="J598" s="244"/>
      <c r="K598" s="245">
        <f>'[1]รวมครุภัณฑ์ 70 (data)'!L424</f>
        <v>970900</v>
      </c>
      <c r="L598" s="245" t="str">
        <f t="shared" si="6"/>
        <v>ทดแทนครุภัณฑ์เดิม</v>
      </c>
    </row>
    <row r="599" spans="1:12">
      <c r="A599" s="241" t="s">
        <v>1909</v>
      </c>
      <c r="B599" s="244">
        <f>'[1]รวมครุภัณฑ์ 70 (data)'!B425</f>
        <v>2570</v>
      </c>
      <c r="C599" s="241" t="s">
        <v>447</v>
      </c>
      <c r="D599" s="244" t="str">
        <f>'[1]รวมครุภัณฑ์ 70 (data)'!C425</f>
        <v>ครุภัณฑ์ยานพาหนะและขนส่ง</v>
      </c>
      <c r="E599" s="244" t="str">
        <f>'[1]รวมครุภัณฑ์ 70 (data)'!G425</f>
        <v xml:space="preserve">รถโดยสารขนาด 12 ที่นั่ง (ดีเซล) ปริมาตรกระบอกสูบไม่ต่ำกว่า 2,400 ซีซี หรือกำลังเครื่องยนต์สูงสุดไม่ต่ำกว่า 90 กิโลวัตต์ </v>
      </c>
      <c r="F599" s="244" t="str">
        <f>'[1]รวมครุภัณฑ์ 70 (data)'!H425</f>
        <v>สสว.11</v>
      </c>
      <c r="G599" s="244" t="str">
        <f>'[1]รวมครุภัณฑ์ 70 (data)'!J425</f>
        <v>สงขลา</v>
      </c>
      <c r="H599" s="244">
        <f>IF('รวมครุภัณฑ์ 70'!Q424="","",'รวมครุภัณฑ์ 70'!Q424)</f>
        <v>1</v>
      </c>
      <c r="I599" s="244" t="str">
        <f>IF('รวมครุภัณฑ์ 70'!R424="","",'รวมครุภัณฑ์ 70'!R424)</f>
        <v/>
      </c>
      <c r="J599" s="244"/>
      <c r="K599" s="245">
        <f>'[1]รวมครุภัณฑ์ 70 (data)'!L425</f>
        <v>1498000</v>
      </c>
      <c r="L599" s="245" t="str">
        <f t="shared" si="6"/>
        <v>ทดแทนครุภัณฑ์เดิม</v>
      </c>
    </row>
    <row r="600" spans="1:12">
      <c r="A600" s="241" t="s">
        <v>1910</v>
      </c>
      <c r="B600" s="244">
        <f>'[1]รวมครุภัณฑ์ 70 (data)'!B426</f>
        <v>2570</v>
      </c>
      <c r="C600" s="241" t="s">
        <v>447</v>
      </c>
      <c r="D600" s="244" t="str">
        <f>'[1]รวมครุภัณฑ์ 70 (data)'!C426</f>
        <v>ครุภัณฑ์โฆษณาและเผยแพร่</v>
      </c>
      <c r="E600" s="244" t="str">
        <f>'[1]รวมครุภัณฑ์ 70 (data)'!G426</f>
        <v>ชุดจอระบบสัมผัส (Touch screen) 65 นิ้ว วาด เขียน แชร์ มาพร้อมชุดขาตั้ง "หมุนได้" เสียบปลั๊กพร้อมใช้งานทันที</v>
      </c>
      <c r="F600" s="244" t="str">
        <f>'[1]รวมครุภัณฑ์ 70 (data)'!H426</f>
        <v>สสว.1</v>
      </c>
      <c r="G600" s="244" t="str">
        <f>'[1]รวมครุภัณฑ์ 70 (data)'!J426</f>
        <v>ปทุมธานี</v>
      </c>
      <c r="H600" s="244" t="str">
        <f>IF('รวมครุภัณฑ์ 70'!Q425="","",'รวมครุภัณฑ์ 70'!Q425)</f>
        <v/>
      </c>
      <c r="I600" s="244">
        <f>IF('รวมครุภัณฑ์ 70'!R425="","",'รวมครุภัณฑ์ 70'!R425)</f>
        <v>1</v>
      </c>
      <c r="J600" s="244"/>
      <c r="K600" s="245">
        <f>'[1]รวมครุภัณฑ์ 70 (data)'!L426</f>
        <v>50290</v>
      </c>
      <c r="L600" s="245" t="str">
        <f t="shared" si="6"/>
        <v>เพิ่มประสิทธิภาพ</v>
      </c>
    </row>
    <row r="601" spans="1:12">
      <c r="A601" s="241" t="s">
        <v>1911</v>
      </c>
      <c r="B601" s="244">
        <f>'[1]รวมครุภัณฑ์ 70 (data)'!B427</f>
        <v>2570</v>
      </c>
      <c r="C601" s="241" t="s">
        <v>447</v>
      </c>
      <c r="D601" s="244" t="str">
        <f>'[1]รวมครุภัณฑ์ 70 (data)'!C427</f>
        <v>ครุภัณฑ์ไฟฟ้าและวิทยุ</v>
      </c>
      <c r="E601" s="244" t="str">
        <f>'[1]รวมครุภัณฑ์ 70 (data)'!G427</f>
        <v>ชุดเครื่องเสียง</v>
      </c>
      <c r="F601" s="244" t="str">
        <f>'[1]รวมครุภัณฑ์ 70 (data)'!H427</f>
        <v>สสว.4</v>
      </c>
      <c r="G601" s="244" t="str">
        <f>'[1]รวมครุภัณฑ์ 70 (data)'!J427</f>
        <v>นครราชสีมา</v>
      </c>
      <c r="H601" s="244">
        <f>IF('รวมครุภัณฑ์ 70'!Q426="","",'รวมครุภัณฑ์ 70'!Q426)</f>
        <v>1</v>
      </c>
      <c r="I601" s="244" t="str">
        <f>IF('รวมครุภัณฑ์ 70'!R426="","",'รวมครุภัณฑ์ 70'!R426)</f>
        <v/>
      </c>
      <c r="J601" s="244"/>
      <c r="K601" s="245">
        <f>'[1]รวมครุภัณฑ์ 70 (data)'!L427</f>
        <v>40730</v>
      </c>
      <c r="L601" s="245" t="str">
        <f t="shared" si="6"/>
        <v>ทดแทนครุภัณฑ์เดิม</v>
      </c>
    </row>
    <row r="602" spans="1:12">
      <c r="A602" s="241" t="s">
        <v>1912</v>
      </c>
      <c r="B602" s="244">
        <f>'[1]รวมครุภัณฑ์ 70 (data)'!B428</f>
        <v>2570</v>
      </c>
      <c r="C602" s="241" t="s">
        <v>447</v>
      </c>
      <c r="D602" s="244" t="str">
        <f>'[1]รวมครุภัณฑ์ 70 (data)'!C428</f>
        <v>ครุภัณฑ์ไฟฟ้าและวิทยุ</v>
      </c>
      <c r="E602" s="244" t="str">
        <f>'[1]รวมครุภัณฑ์ 70 (data)'!G428</f>
        <v>ไมค์ประชุมไร้สาย</v>
      </c>
      <c r="F602" s="244" t="str">
        <f>'[1]รวมครุภัณฑ์ 70 (data)'!H428</f>
        <v>สสว.4</v>
      </c>
      <c r="G602" s="244" t="str">
        <f>'[1]รวมครุภัณฑ์ 70 (data)'!J428</f>
        <v>นครราชสีมา</v>
      </c>
      <c r="H602" s="244">
        <f>IF('รวมครุภัณฑ์ 70'!Q427="","",'รวมครุภัณฑ์ 70'!Q427)</f>
        <v>2</v>
      </c>
      <c r="I602" s="244" t="str">
        <f>IF('รวมครุภัณฑ์ 70'!R427="","",'รวมครุภัณฑ์ 70'!R427)</f>
        <v/>
      </c>
      <c r="J602" s="244"/>
      <c r="K602" s="245">
        <f>'[1]รวมครุภัณฑ์ 70 (data)'!L428</f>
        <v>47000</v>
      </c>
      <c r="L602" s="245" t="str">
        <f t="shared" si="6"/>
        <v>ทดแทนครุภัณฑ์เดิม</v>
      </c>
    </row>
    <row r="603" spans="1:12">
      <c r="A603" s="241" t="s">
        <v>1913</v>
      </c>
      <c r="B603" s="244">
        <f>'[1]รวมครุภัณฑ์ 70 (data)'!B429</f>
        <v>2570</v>
      </c>
      <c r="C603" s="241" t="s">
        <v>447</v>
      </c>
      <c r="D603" s="244" t="str">
        <f>'[1]รวมครุภัณฑ์ 70 (data)'!C429</f>
        <v>ครุภัณฑ์โฆษณาและเผยแพร่</v>
      </c>
      <c r="E603" s="244" t="str">
        <f>'[1]รวมครุภัณฑ์ 70 (data)'!G429</f>
        <v>โทรทัศน์ LED Smart TV ขนาด 75 นิ้ว พร้อมขาตั้ง LED มีล้อเลื่อน</v>
      </c>
      <c r="F603" s="244" t="str">
        <f>'[1]รวมครุภัณฑ์ 70 (data)'!H429</f>
        <v>สสว.4</v>
      </c>
      <c r="G603" s="244" t="str">
        <f>'[1]รวมครุภัณฑ์ 70 (data)'!J429</f>
        <v>นครราชสีมา</v>
      </c>
      <c r="H603" s="244" t="str">
        <f>IF('รวมครุภัณฑ์ 70'!Q428="","",'รวมครุภัณฑ์ 70'!Q428)</f>
        <v/>
      </c>
      <c r="I603" s="244">
        <f>IF('รวมครุภัณฑ์ 70'!R428="","",'รวมครุภัณฑ์ 70'!R428)</f>
        <v>1</v>
      </c>
      <c r="J603" s="244"/>
      <c r="K603" s="245">
        <f>'[1]รวมครุภัณฑ์ 70 (data)'!L429</f>
        <v>35890</v>
      </c>
      <c r="L603" s="245" t="str">
        <f t="shared" si="6"/>
        <v>เพิ่มประสิทธิภาพ</v>
      </c>
    </row>
    <row r="604" spans="1:12">
      <c r="A604" s="241" t="s">
        <v>1914</v>
      </c>
      <c r="B604" s="244">
        <f>'[1]รวมครุภัณฑ์ 70 (data)'!B430</f>
        <v>2570</v>
      </c>
      <c r="C604" s="241" t="s">
        <v>447</v>
      </c>
      <c r="D604" s="244" t="str">
        <f>'[1]รวมครุภัณฑ์ 70 (data)'!C430</f>
        <v>ครุภัณฑ์โฆษณาและเผยแพร่</v>
      </c>
      <c r="E604" s="244" t="str">
        <f>'[1]รวมครุภัณฑ์ 70 (data)'!G430</f>
        <v>ชุดลำโพงเคลื่อนที่ พร้อมไมค์ลอย</v>
      </c>
      <c r="F604" s="244" t="str">
        <f>'[1]รวมครุภัณฑ์ 70 (data)'!H430</f>
        <v>สสว.5</v>
      </c>
      <c r="G604" s="244" t="str">
        <f>'[1]รวมครุภัณฑ์ 70 (data)'!J430</f>
        <v>ขอนแก่น</v>
      </c>
      <c r="H604" s="244">
        <f>IF('รวมครุภัณฑ์ 70'!Q429="","",'รวมครุภัณฑ์ 70'!Q429)</f>
        <v>1</v>
      </c>
      <c r="I604" s="244" t="str">
        <f>IF('รวมครุภัณฑ์ 70'!R429="","",'รวมครุภัณฑ์ 70'!R429)</f>
        <v/>
      </c>
      <c r="J604" s="244"/>
      <c r="K604" s="245">
        <f>'[1]รวมครุภัณฑ์ 70 (data)'!L430</f>
        <v>38000</v>
      </c>
      <c r="L604" s="245" t="str">
        <f t="shared" si="6"/>
        <v>ทดแทนครุภัณฑ์เดิม</v>
      </c>
    </row>
    <row r="605" spans="1:12">
      <c r="A605" s="241" t="s">
        <v>1915</v>
      </c>
      <c r="B605" s="244">
        <f>'[1]รวมครุภัณฑ์ 70 (data)'!B431</f>
        <v>2570</v>
      </c>
      <c r="C605" s="241" t="s">
        <v>447</v>
      </c>
      <c r="D605" s="244" t="str">
        <f>'[1]รวมครุภัณฑ์ 70 (data)'!C431</f>
        <v>ครุภัณฑ์โฆษณาและเผยแพร่</v>
      </c>
      <c r="E605" s="244" t="str">
        <f>'[1]รวมครุภัณฑ์ 70 (data)'!G431</f>
        <v>กล้องดิจิตอล Cannon EOS R10 Camera Kit 18-150mm เซนเซอร์ CMOS APS-C ความละเอียดภาพ 24.2 ล้านพิกเซล+ขาตั้งกล้อง-SD card 256 GB</v>
      </c>
      <c r="F605" s="244" t="str">
        <f>'[1]รวมครุภัณฑ์ 70 (data)'!H431</f>
        <v>สสว.5</v>
      </c>
      <c r="G605" s="244" t="str">
        <f>'[1]รวมครุภัณฑ์ 70 (data)'!J431</f>
        <v>ขอนแก่น</v>
      </c>
      <c r="H605" s="244">
        <f>IF('รวมครุภัณฑ์ 70'!Q430="","",'รวมครุภัณฑ์ 70'!Q430)</f>
        <v>1</v>
      </c>
      <c r="I605" s="244" t="str">
        <f>IF('รวมครุภัณฑ์ 70'!R430="","",'รวมครุภัณฑ์ 70'!R430)</f>
        <v/>
      </c>
      <c r="J605" s="244"/>
      <c r="K605" s="245">
        <f>'[1]รวมครุภัณฑ์ 70 (data)'!L431</f>
        <v>62000</v>
      </c>
      <c r="L605" s="245" t="str">
        <f t="shared" si="6"/>
        <v>ทดแทนครุภัณฑ์เดิม</v>
      </c>
    </row>
    <row r="606" spans="1:12">
      <c r="A606" s="241" t="s">
        <v>1916</v>
      </c>
      <c r="B606" s="244">
        <f>'[1]รวมครุภัณฑ์ 70 (data)'!B432</f>
        <v>2570</v>
      </c>
      <c r="C606" s="241" t="s">
        <v>447</v>
      </c>
      <c r="D606" s="244" t="str">
        <f>'[1]รวมครุภัณฑ์ 70 (data)'!C432</f>
        <v>ครุภัณฑ์โฆษณาและเผยแพร่</v>
      </c>
      <c r="E606" s="244" t="str">
        <f>'[1]รวมครุภัณฑ์ 70 (data)'!G432</f>
        <v>เครื่องมัลติมีเดียโปรเจคเตอร์ระดับ XGA ขนาด 4,500 ANSI Lumens</v>
      </c>
      <c r="F606" s="244" t="str">
        <f>'[1]รวมครุภัณฑ์ 70 (data)'!H432</f>
        <v>สสว.5</v>
      </c>
      <c r="G606" s="244" t="str">
        <f>'[1]รวมครุภัณฑ์ 70 (data)'!J432</f>
        <v>ขอนแก่น</v>
      </c>
      <c r="H606" s="244">
        <f>IF('รวมครุภัณฑ์ 70'!Q431="","",'รวมครุภัณฑ์ 70'!Q431)</f>
        <v>1</v>
      </c>
      <c r="I606" s="244" t="str">
        <f>IF('รวมครุภัณฑ์ 70'!R431="","",'รวมครุภัณฑ์ 70'!R431)</f>
        <v/>
      </c>
      <c r="J606" s="244"/>
      <c r="K606" s="245">
        <f>'[1]รวมครุภัณฑ์ 70 (data)'!L432</f>
        <v>43100</v>
      </c>
      <c r="L606" s="245" t="str">
        <f t="shared" si="6"/>
        <v>ทดแทนครุภัณฑ์เดิม</v>
      </c>
    </row>
    <row r="607" spans="1:12">
      <c r="A607" s="241" t="s">
        <v>1917</v>
      </c>
      <c r="B607" s="244">
        <f>'[1]รวมครุภัณฑ์ 70 (data)'!B433</f>
        <v>2570</v>
      </c>
      <c r="C607" s="241" t="s">
        <v>447</v>
      </c>
      <c r="D607" s="244" t="str">
        <f>'[1]รวมครุภัณฑ์ 70 (data)'!C433</f>
        <v>ครุภัณฑ์ไฟฟ้าและวิทยุ</v>
      </c>
      <c r="E607" s="244" t="str">
        <f>'[1]รวมครุภัณฑ์ 70 (data)'!G433</f>
        <v>ชุดเครื่องเสียงห้องประชุม
(1) เครื่องจ่ายกระสไฟฟ้าและควบคุมการประชุมระบบดิจิตอล แบบมีเครื่องบันทึกเสียงในตัว
(2) ชุดผู้เข้าร่วมประชุม พร้อมไมโครโฟนและลำโพง
(3) ชุดประธาน พร้อมไมโครโฟนและลำโพง</v>
      </c>
      <c r="F607" s="244" t="str">
        <f>'[1]รวมครุภัณฑ์ 70 (data)'!H433</f>
        <v>สสว.6</v>
      </c>
      <c r="G607" s="244" t="str">
        <f>'[1]รวมครุภัณฑ์ 70 (data)'!J433</f>
        <v>กาฬสินธุ์</v>
      </c>
      <c r="H607" s="244">
        <f>IF('รวมครุภัณฑ์ 70'!Q432="","",'รวมครุภัณฑ์ 70'!Q432)</f>
        <v>1</v>
      </c>
      <c r="I607" s="244" t="str">
        <f>IF('รวมครุภัณฑ์ 70'!R432="","",'รวมครุภัณฑ์ 70'!R432)</f>
        <v/>
      </c>
      <c r="J607" s="244"/>
      <c r="K607" s="245">
        <f>'[1]รวมครุภัณฑ์ 70 (data)'!L433</f>
        <v>247400</v>
      </c>
      <c r="L607" s="245" t="str">
        <f t="shared" si="6"/>
        <v>ทดแทนครุภัณฑ์เดิม</v>
      </c>
    </row>
    <row r="608" spans="1:12">
      <c r="A608" s="241" t="s">
        <v>1918</v>
      </c>
      <c r="B608" s="244">
        <f>'[1]รวมครุภัณฑ์ 70 (data)'!B434</f>
        <v>2570</v>
      </c>
      <c r="C608" s="241" t="s">
        <v>447</v>
      </c>
      <c r="D608" s="244" t="str">
        <f>'[1]รวมครุภัณฑ์ 70 (data)'!C434</f>
        <v>ครุภัณฑ์ไฟฟ้าและวิทยุ</v>
      </c>
      <c r="E608" s="244" t="str">
        <f>'[1]รวมครุภัณฑ์ 70 (data)'!G434</f>
        <v>มิกเซอร์ 16 ช่อง ยี่ห้อ YAMAHA รุ่น MG16XU</v>
      </c>
      <c r="F608" s="244" t="str">
        <f>'[1]รวมครุภัณฑ์ 70 (data)'!H434</f>
        <v>สสว.9</v>
      </c>
      <c r="G608" s="244" t="str">
        <f>'[1]รวมครุภัณฑ์ 70 (data)'!J434</f>
        <v>เชียงใหม่</v>
      </c>
      <c r="H608" s="244" t="str">
        <f>IF('รวมครุภัณฑ์ 70'!Q433="","",'รวมครุภัณฑ์ 70'!Q433)</f>
        <v/>
      </c>
      <c r="I608" s="244">
        <f>IF('รวมครุภัณฑ์ 70'!R433="","",'รวมครุภัณฑ์ 70'!R433)</f>
        <v>1</v>
      </c>
      <c r="J608" s="244"/>
      <c r="K608" s="245">
        <f>'[1]รวมครุภัณฑ์ 70 (data)'!L434</f>
        <v>35900</v>
      </c>
      <c r="L608" s="245" t="str">
        <f t="shared" si="6"/>
        <v>เพิ่มประสิทธิภาพ</v>
      </c>
    </row>
    <row r="609" spans="1:12">
      <c r="A609" s="241" t="s">
        <v>1919</v>
      </c>
      <c r="B609" s="244">
        <f>'[1]รวมครุภัณฑ์ 70 (data)'!B435</f>
        <v>2570</v>
      </c>
      <c r="C609" s="241" t="s">
        <v>447</v>
      </c>
      <c r="D609" s="244" t="str">
        <f>'[1]รวมครุภัณฑ์ 70 (data)'!C435</f>
        <v>ครุภัณฑ์ไฟฟ้าและวิทยุ</v>
      </c>
      <c r="E609" s="244" t="str">
        <f>'[1]รวมครุภัณฑ์ 70 (data)'!G435</f>
        <v>เครื่องขยายเสียง 120 วัตต์ ยี่ห้อ TOA รุ่น A-2120H</v>
      </c>
      <c r="F609" s="244" t="str">
        <f>'[1]รวมครุภัณฑ์ 70 (data)'!H435</f>
        <v>สสว.9</v>
      </c>
      <c r="G609" s="244" t="str">
        <f>'[1]รวมครุภัณฑ์ 70 (data)'!J435</f>
        <v>เชียงใหม่</v>
      </c>
      <c r="H609" s="244" t="str">
        <f>IF('รวมครุภัณฑ์ 70'!Q434="","",'รวมครุภัณฑ์ 70'!Q434)</f>
        <v/>
      </c>
      <c r="I609" s="244">
        <f>IF('รวมครุภัณฑ์ 70'!R434="","",'รวมครุภัณฑ์ 70'!R434)</f>
        <v>1</v>
      </c>
      <c r="J609" s="244"/>
      <c r="K609" s="245">
        <f>'[1]รวมครุภัณฑ์ 70 (data)'!L435</f>
        <v>12900</v>
      </c>
      <c r="L609" s="245" t="str">
        <f t="shared" si="6"/>
        <v>เพิ่มประสิทธิภาพ</v>
      </c>
    </row>
    <row r="610" spans="1:12">
      <c r="A610" s="241" t="s">
        <v>1920</v>
      </c>
      <c r="B610" s="244">
        <f>'[1]รวมครุภัณฑ์ 70 (data)'!B436</f>
        <v>2570</v>
      </c>
      <c r="C610" s="241" t="s">
        <v>447</v>
      </c>
      <c r="D610" s="244" t="str">
        <f>'[1]รวมครุภัณฑ์ 70 (data)'!C436</f>
        <v>ครุภัณฑ์ไฟฟ้าและวิทยุ</v>
      </c>
      <c r="E610" s="244" t="str">
        <f>'[1]รวมครุภัณฑ์ 70 (data)'!G436</f>
        <v>ลำโพงเพดาน ยี่ห้อ TOA รุ่น PC-668RC</v>
      </c>
      <c r="F610" s="244" t="str">
        <f>'[1]รวมครุภัณฑ์ 70 (data)'!H436</f>
        <v>สสว.9</v>
      </c>
      <c r="G610" s="244" t="str">
        <f>'[1]รวมครุภัณฑ์ 70 (data)'!J436</f>
        <v>เชียงใหม่</v>
      </c>
      <c r="H610" s="244" t="str">
        <f>IF('รวมครุภัณฑ์ 70'!Q435="","",'รวมครุภัณฑ์ 70'!Q435)</f>
        <v/>
      </c>
      <c r="I610" s="244">
        <f>IF('รวมครุภัณฑ์ 70'!R435="","",'รวมครุภัณฑ์ 70'!R435)</f>
        <v>4</v>
      </c>
      <c r="J610" s="244"/>
      <c r="K610" s="245">
        <f>'[1]รวมครุภัณฑ์ 70 (data)'!L436</f>
        <v>12800</v>
      </c>
      <c r="L610" s="245" t="str">
        <f t="shared" si="6"/>
        <v>เพิ่มประสิทธิภาพ</v>
      </c>
    </row>
    <row r="611" spans="1:12">
      <c r="A611" s="241" t="s">
        <v>1921</v>
      </c>
      <c r="B611" s="244">
        <f>'[1]รวมครุภัณฑ์ 70 (data)'!B437</f>
        <v>2570</v>
      </c>
      <c r="C611" s="241" t="s">
        <v>447</v>
      </c>
      <c r="D611" s="244" t="str">
        <f>'[1]รวมครุภัณฑ์ 70 (data)'!C437</f>
        <v>ครุภัณฑ์ไฟฟ้าและวิทยุ</v>
      </c>
      <c r="E611" s="244" t="str">
        <f>'[1]รวมครุภัณฑ์ 70 (data)'!G437</f>
        <v>ลำโพงติดผนัง ยี่ห้อ TOA รุ่น BS-1030W</v>
      </c>
      <c r="F611" s="244" t="str">
        <f>'[1]รวมครุภัณฑ์ 70 (data)'!H437</f>
        <v>สสว.9</v>
      </c>
      <c r="G611" s="244" t="str">
        <f>'[1]รวมครุภัณฑ์ 70 (data)'!J437</f>
        <v>เชียงใหม่</v>
      </c>
      <c r="H611" s="244" t="str">
        <f>IF('รวมครุภัณฑ์ 70'!Q436="","",'รวมครุภัณฑ์ 70'!Q436)</f>
        <v/>
      </c>
      <c r="I611" s="244">
        <f>IF('รวมครุภัณฑ์ 70'!R436="","",'รวมครุภัณฑ์ 70'!R436)</f>
        <v>2</v>
      </c>
      <c r="J611" s="244"/>
      <c r="K611" s="245">
        <f>'[1]รวมครุภัณฑ์ 70 (data)'!L437</f>
        <v>5980</v>
      </c>
      <c r="L611" s="245" t="str">
        <f t="shared" si="6"/>
        <v>เพิ่มประสิทธิภาพ</v>
      </c>
    </row>
    <row r="612" spans="1:12">
      <c r="A612" s="241" t="s">
        <v>1922</v>
      </c>
      <c r="B612" s="244">
        <f>'[1]รวมครุภัณฑ์ 70 (data)'!B438</f>
        <v>2570</v>
      </c>
      <c r="C612" s="241" t="s">
        <v>447</v>
      </c>
      <c r="D612" s="244" t="str">
        <f>'[1]รวมครุภัณฑ์ 70 (data)'!C438</f>
        <v>ครุภัณฑ์ไฟฟ้าและวิทยุ</v>
      </c>
      <c r="E612" s="244" t="str">
        <f>'[1]รวมครุภัณฑ์ 70 (data)'!G438</f>
        <v>ตู้เร็คเก็บอุปกรณ์ มีล้อ ยี่ห้อ SUPERLUX รุ่น RS-921</v>
      </c>
      <c r="F612" s="244" t="str">
        <f>'[1]รวมครุภัณฑ์ 70 (data)'!H438</f>
        <v>สสว.9</v>
      </c>
      <c r="G612" s="244" t="str">
        <f>'[1]รวมครุภัณฑ์ 70 (data)'!J438</f>
        <v>เชียงใหม่</v>
      </c>
      <c r="H612" s="244" t="str">
        <f>IF('รวมครุภัณฑ์ 70'!Q437="","",'รวมครุภัณฑ์ 70'!Q437)</f>
        <v/>
      </c>
      <c r="I612" s="244">
        <f>IF('รวมครุภัณฑ์ 70'!R437="","",'รวมครุภัณฑ์ 70'!R437)</f>
        <v>1</v>
      </c>
      <c r="J612" s="244"/>
      <c r="K612" s="245">
        <f>'[1]รวมครุภัณฑ์ 70 (data)'!L438</f>
        <v>4700</v>
      </c>
      <c r="L612" s="245" t="str">
        <f t="shared" si="6"/>
        <v>เพิ่มประสิทธิภาพ</v>
      </c>
    </row>
    <row r="613" spans="1:12">
      <c r="A613" s="241" t="s">
        <v>1923</v>
      </c>
      <c r="B613" s="244">
        <f>'[1]รวมครุภัณฑ์ 70 (data)'!B439</f>
        <v>2570</v>
      </c>
      <c r="C613" s="241" t="s">
        <v>447</v>
      </c>
      <c r="D613" s="244" t="str">
        <f>'[1]รวมครุภัณฑ์ 70 (data)'!C439</f>
        <v>ครุภัณฑ์ไฟฟ้าและวิทยุ</v>
      </c>
      <c r="E613" s="244" t="str">
        <f>'[1]รวมครุภัณฑ์ 70 (data)'!G439</f>
        <v>ปลั๊กกันไฟกระชากตู้แร็ค</v>
      </c>
      <c r="F613" s="244" t="str">
        <f>'[1]รวมครุภัณฑ์ 70 (data)'!H439</f>
        <v>สสว.9</v>
      </c>
      <c r="G613" s="244" t="str">
        <f>'[1]รวมครุภัณฑ์ 70 (data)'!J439</f>
        <v>เชียงใหม่</v>
      </c>
      <c r="H613" s="244" t="str">
        <f>IF('รวมครุภัณฑ์ 70'!Q438="","",'รวมครุภัณฑ์ 70'!Q438)</f>
        <v/>
      </c>
      <c r="I613" s="244">
        <f>IF('รวมครุภัณฑ์ 70'!R438="","",'รวมครุภัณฑ์ 70'!R438)</f>
        <v>1</v>
      </c>
      <c r="J613" s="244"/>
      <c r="K613" s="245">
        <f>'[1]รวมครุภัณฑ์ 70 (data)'!L439</f>
        <v>9900</v>
      </c>
      <c r="L613" s="245" t="str">
        <f t="shared" si="6"/>
        <v>เพิ่มประสิทธิภาพ</v>
      </c>
    </row>
    <row r="614" spans="1:12">
      <c r="A614" s="241" t="s">
        <v>1924</v>
      </c>
      <c r="B614" s="244">
        <f>'[1]รวมครุภัณฑ์ 70 (data)'!B440</f>
        <v>2570</v>
      </c>
      <c r="C614" s="241" t="s">
        <v>447</v>
      </c>
      <c r="D614" s="244" t="str">
        <f>'[1]รวมครุภัณฑ์ 70 (data)'!C440</f>
        <v>ครุภัณฑ์ไฟฟ้าและวิทยุ</v>
      </c>
      <c r="E614" s="244" t="str">
        <f>'[1]รวมครุภัณฑ์ 70 (data)'!G440</f>
        <v>ไมค์ลอยคู่ ชนิดถือ ย่ห้อ SHURE รุ่น SVX288TH/PG58-M19</v>
      </c>
      <c r="F614" s="244" t="str">
        <f>'[1]รวมครุภัณฑ์ 70 (data)'!H440</f>
        <v>สสว.9</v>
      </c>
      <c r="G614" s="244" t="str">
        <f>'[1]รวมครุภัณฑ์ 70 (data)'!J440</f>
        <v>เชียงใหม่</v>
      </c>
      <c r="H614" s="244" t="str">
        <f>IF('รวมครุภัณฑ์ 70'!Q439="","",'รวมครุภัณฑ์ 70'!Q439)</f>
        <v/>
      </c>
      <c r="I614" s="244">
        <f>IF('รวมครุภัณฑ์ 70'!R439="","",'รวมครุภัณฑ์ 70'!R439)</f>
        <v>1</v>
      </c>
      <c r="J614" s="244"/>
      <c r="K614" s="245">
        <f>'[1]รวมครุภัณฑ์ 70 (data)'!L440</f>
        <v>27900</v>
      </c>
      <c r="L614" s="245" t="str">
        <f t="shared" si="6"/>
        <v>เพิ่มประสิทธิภาพ</v>
      </c>
    </row>
    <row r="615" spans="1:12">
      <c r="A615" s="241" t="s">
        <v>1925</v>
      </c>
      <c r="B615" s="244">
        <f>'[1]รวมครุภัณฑ์ 70 (data)'!B441</f>
        <v>2570</v>
      </c>
      <c r="C615" s="241" t="s">
        <v>447</v>
      </c>
      <c r="D615" s="244" t="str">
        <f>'[1]รวมครุภัณฑ์ 70 (data)'!C441</f>
        <v>ครุภัณฑ์ไฟฟ้าและวิทยุ</v>
      </c>
      <c r="E615" s="244" t="str">
        <f>'[1]รวมครุภัณฑ์ 70 (data)'!G441</f>
        <v>ถาดเก็บไมค์ลอย</v>
      </c>
      <c r="F615" s="244" t="str">
        <f>'[1]รวมครุภัณฑ์ 70 (data)'!H441</f>
        <v>สสว.9</v>
      </c>
      <c r="G615" s="244" t="str">
        <f>'[1]รวมครุภัณฑ์ 70 (data)'!J441</f>
        <v>เชียงใหม่</v>
      </c>
      <c r="H615" s="244" t="str">
        <f>IF('รวมครุภัณฑ์ 70'!Q440="","",'รวมครุภัณฑ์ 70'!Q440)</f>
        <v/>
      </c>
      <c r="I615" s="244">
        <f>IF('รวมครุภัณฑ์ 70'!R440="","",'รวมครุภัณฑ์ 70'!R440)</f>
        <v>1</v>
      </c>
      <c r="J615" s="244"/>
      <c r="K615" s="245">
        <f>'[1]รวมครุภัณฑ์ 70 (data)'!L441</f>
        <v>350</v>
      </c>
      <c r="L615" s="245" t="str">
        <f t="shared" si="6"/>
        <v>เพิ่มประสิทธิภาพ</v>
      </c>
    </row>
    <row r="616" spans="1:12">
      <c r="A616" s="241" t="s">
        <v>1926</v>
      </c>
      <c r="B616" s="244">
        <f>'[1]รวมครุภัณฑ์ 70 (data)'!B442</f>
        <v>2570</v>
      </c>
      <c r="C616" s="241" t="s">
        <v>447</v>
      </c>
      <c r="D616" s="244" t="str">
        <f>'[1]รวมครุภัณฑ์ 70 (data)'!C442</f>
        <v>ครุภัณฑ์ไฟฟ้าและวิทยุ</v>
      </c>
      <c r="E616" s="244" t="str">
        <f>'[1]รวมครุภัณฑ์ 70 (data)'!G442</f>
        <v>ไมค์ประชุมสำหรับประธาน ยี่ห้อ BOSCH รุ่น CCSD-DL</v>
      </c>
      <c r="F616" s="244" t="str">
        <f>'[1]รวมครุภัณฑ์ 70 (data)'!H442</f>
        <v>สสว.9</v>
      </c>
      <c r="G616" s="244" t="str">
        <f>'[1]รวมครุภัณฑ์ 70 (data)'!J442</f>
        <v>เชียงใหม่</v>
      </c>
      <c r="H616" s="244" t="str">
        <f>IF('รวมครุภัณฑ์ 70'!Q441="","",'รวมครุภัณฑ์ 70'!Q441)</f>
        <v/>
      </c>
      <c r="I616" s="244">
        <f>IF('รวมครุภัณฑ์ 70'!R441="","",'รวมครุภัณฑ์ 70'!R441)</f>
        <v>1</v>
      </c>
      <c r="J616" s="244"/>
      <c r="K616" s="245">
        <f>'[1]รวมครุภัณฑ์ 70 (data)'!L442</f>
        <v>23900</v>
      </c>
      <c r="L616" s="245" t="str">
        <f t="shared" si="6"/>
        <v>เพิ่มประสิทธิภาพ</v>
      </c>
    </row>
    <row r="617" spans="1:12">
      <c r="A617" s="241" t="s">
        <v>1927</v>
      </c>
      <c r="B617" s="244">
        <f>'[1]รวมครุภัณฑ์ 70 (data)'!B443</f>
        <v>2570</v>
      </c>
      <c r="C617" s="241" t="s">
        <v>447</v>
      </c>
      <c r="D617" s="244" t="str">
        <f>'[1]รวมครุภัณฑ์ 70 (data)'!C443</f>
        <v>ครุภัณฑ์ไฟฟ้าและวิทยุ</v>
      </c>
      <c r="E617" s="244" t="str">
        <f>'[1]รวมครุภัณฑ์ 70 (data)'!G443</f>
        <v>ไมค์ประชุมสำหรับผู้ร่วมประชุม ยี่ห้อ BOSCH รุ่น CCSD-DL</v>
      </c>
      <c r="F617" s="244" t="str">
        <f>'[1]รวมครุภัณฑ์ 70 (data)'!H443</f>
        <v>สสว.9</v>
      </c>
      <c r="G617" s="244" t="str">
        <f>'[1]รวมครุภัณฑ์ 70 (data)'!J443</f>
        <v>เชียงใหม่</v>
      </c>
      <c r="H617" s="244" t="str">
        <f>IF('รวมครุภัณฑ์ 70'!Q442="","",'รวมครุภัณฑ์ 70'!Q442)</f>
        <v/>
      </c>
      <c r="I617" s="244">
        <f>IF('รวมครุภัณฑ์ 70'!R442="","",'รวมครุภัณฑ์ 70'!R442)</f>
        <v>20</v>
      </c>
      <c r="J617" s="244"/>
      <c r="K617" s="245">
        <f>'[1]รวมครุภัณฑ์ 70 (data)'!L443</f>
        <v>458000</v>
      </c>
      <c r="L617" s="245" t="str">
        <f t="shared" si="6"/>
        <v>เพิ่มประสิทธิภาพ</v>
      </c>
    </row>
    <row r="618" spans="1:12">
      <c r="A618" s="241" t="s">
        <v>1928</v>
      </c>
      <c r="B618" s="244">
        <f>'[1]รวมครุภัณฑ์ 70 (data)'!B444</f>
        <v>2570</v>
      </c>
      <c r="C618" s="241" t="s">
        <v>447</v>
      </c>
      <c r="D618" s="244" t="str">
        <f>'[1]รวมครุภัณฑ์ 70 (data)'!C444</f>
        <v>ครุภัณฑ์ไฟฟ้าและวิทยุ</v>
      </c>
      <c r="E618" s="244" t="str">
        <f>'[1]รวมครุภัณฑ์ 70 (data)'!G444</f>
        <v>เครื่องควบคุมชุดประชุม ยี่ห้อ BOSCH รุ่น CCSD-CURD</v>
      </c>
      <c r="F618" s="244" t="str">
        <f>'[1]รวมครุภัณฑ์ 70 (data)'!H444</f>
        <v>สสว.9</v>
      </c>
      <c r="G618" s="244" t="str">
        <f>'[1]รวมครุภัณฑ์ 70 (data)'!J444</f>
        <v>เชียงใหม่</v>
      </c>
      <c r="H618" s="244" t="str">
        <f>IF('รวมครุภัณฑ์ 70'!Q443="","",'รวมครุภัณฑ์ 70'!Q443)</f>
        <v/>
      </c>
      <c r="I618" s="244">
        <f>IF('รวมครุภัณฑ์ 70'!R443="","",'รวมครุภัณฑ์ 70'!R443)</f>
        <v>1</v>
      </c>
      <c r="J618" s="244"/>
      <c r="K618" s="245">
        <f>'[1]รวมครุภัณฑ์ 70 (data)'!L444</f>
        <v>99900</v>
      </c>
      <c r="L618" s="245" t="str">
        <f t="shared" si="6"/>
        <v>เพิ่มประสิทธิภาพ</v>
      </c>
    </row>
    <row r="619" spans="1:12">
      <c r="A619" s="241" t="s">
        <v>1929</v>
      </c>
      <c r="B619" s="244">
        <f>'[1]รวมครุภัณฑ์ 70 (data)'!B445</f>
        <v>2570</v>
      </c>
      <c r="C619" s="241" t="s">
        <v>447</v>
      </c>
      <c r="D619" s="244" t="str">
        <f>'[1]รวมครุภัณฑ์ 70 (data)'!C445</f>
        <v>ครุภัณฑ์ไฟฟ้าและวิทยุ</v>
      </c>
      <c r="E619" s="244" t="str">
        <f>'[1]รวมครุภัณฑ์ 70 (data)'!G445</f>
        <v>สายลำโพง สายสัญญาณเข้าระบบ</v>
      </c>
      <c r="F619" s="244" t="str">
        <f>'[1]รวมครุภัณฑ์ 70 (data)'!H445</f>
        <v>สสว.9</v>
      </c>
      <c r="G619" s="244" t="str">
        <f>'[1]รวมครุภัณฑ์ 70 (data)'!J445</f>
        <v>เชียงใหม่</v>
      </c>
      <c r="H619" s="244" t="str">
        <f>IF('รวมครุภัณฑ์ 70'!Q444="","",'รวมครุภัณฑ์ 70'!Q444)</f>
        <v/>
      </c>
      <c r="I619" s="244">
        <f>IF('รวมครุภัณฑ์ 70'!R444="","",'รวมครุภัณฑ์ 70'!R444)</f>
        <v>1</v>
      </c>
      <c r="J619" s="244"/>
      <c r="K619" s="245">
        <f>'[1]รวมครุภัณฑ์ 70 (data)'!L445</f>
        <v>24000</v>
      </c>
      <c r="L619" s="245" t="str">
        <f t="shared" si="6"/>
        <v>เพิ่มประสิทธิภาพ</v>
      </c>
    </row>
    <row r="620" spans="1:12">
      <c r="A620" s="241" t="s">
        <v>1930</v>
      </c>
      <c r="B620" s="244">
        <f>'[1]รวมครุภัณฑ์ 70 (data)'!B446</f>
        <v>2570</v>
      </c>
      <c r="C620" s="241" t="s">
        <v>447</v>
      </c>
      <c r="D620" s="244" t="str">
        <f>'[1]รวมครุภัณฑ์ 70 (data)'!C446</f>
        <v>ครุภัณฑ์ไฟฟ้าและวิทยุ</v>
      </c>
      <c r="E620" s="244" t="str">
        <f>'[1]รวมครุภัณฑ์ 70 (data)'!G446</f>
        <v>สายสัญญาณระบบภาพ HDMI 20 เมตร</v>
      </c>
      <c r="F620" s="244" t="str">
        <f>'[1]รวมครุภัณฑ์ 70 (data)'!H446</f>
        <v>สสว.9</v>
      </c>
      <c r="G620" s="244" t="str">
        <f>'[1]รวมครุภัณฑ์ 70 (data)'!J446</f>
        <v>เชียงใหม่</v>
      </c>
      <c r="H620" s="244" t="str">
        <f>IF('รวมครุภัณฑ์ 70'!Q445="","",'รวมครุภัณฑ์ 70'!Q445)</f>
        <v/>
      </c>
      <c r="I620" s="244">
        <f>IF('รวมครุภัณฑ์ 70'!R445="","",'รวมครุภัณฑ์ 70'!R445)</f>
        <v>7</v>
      </c>
      <c r="J620" s="244"/>
      <c r="K620" s="245">
        <f>'[1]รวมครุภัณฑ์ 70 (data)'!L446</f>
        <v>20930</v>
      </c>
      <c r="L620" s="245" t="str">
        <f t="shared" si="6"/>
        <v>เพิ่มประสิทธิภาพ</v>
      </c>
    </row>
    <row r="621" spans="1:12">
      <c r="A621" s="241" t="s">
        <v>1931</v>
      </c>
      <c r="B621" s="244">
        <f>'[1]รวมครุภัณฑ์ 70 (data)'!B447</f>
        <v>2570</v>
      </c>
      <c r="C621" s="241" t="s">
        <v>447</v>
      </c>
      <c r="D621" s="244" t="str">
        <f>'[1]รวมครุภัณฑ์ 70 (data)'!C447</f>
        <v>ครุภัณฑ์ไฟฟ้าและวิทยุ</v>
      </c>
      <c r="E621" s="244" t="str">
        <f>'[1]รวมครุภัณฑ์ 70 (data)'!G447</f>
        <v>สายสัญญาณระบบภาพ HDMI 15 เมตร</v>
      </c>
      <c r="F621" s="244" t="str">
        <f>'[1]รวมครุภัณฑ์ 70 (data)'!H447</f>
        <v>สสว.9</v>
      </c>
      <c r="G621" s="244" t="str">
        <f>'[1]รวมครุภัณฑ์ 70 (data)'!J447</f>
        <v>เชียงใหม่</v>
      </c>
      <c r="H621" s="244" t="str">
        <f>IF('รวมครุภัณฑ์ 70'!Q446="","",'รวมครุภัณฑ์ 70'!Q446)</f>
        <v/>
      </c>
      <c r="I621" s="244">
        <f>IF('รวมครุภัณฑ์ 70'!R446="","",'รวมครุภัณฑ์ 70'!R446)</f>
        <v>6</v>
      </c>
      <c r="J621" s="244"/>
      <c r="K621" s="245">
        <f>'[1]รวมครุภัณฑ์ 70 (data)'!L447</f>
        <v>11340</v>
      </c>
      <c r="L621" s="245" t="str">
        <f t="shared" si="6"/>
        <v>เพิ่มประสิทธิภาพ</v>
      </c>
    </row>
    <row r="622" spans="1:12">
      <c r="A622" s="241" t="s">
        <v>1932</v>
      </c>
      <c r="B622" s="244">
        <f>'[1]รวมครุภัณฑ์ 70 (data)'!B448</f>
        <v>2570</v>
      </c>
      <c r="C622" s="241" t="s">
        <v>447</v>
      </c>
      <c r="D622" s="244" t="str">
        <f>'[1]รวมครุภัณฑ์ 70 (data)'!C448</f>
        <v>ครุภัณฑ์โฆษณาและเผยแพร่</v>
      </c>
      <c r="E622" s="244" t="str">
        <f>'[1]รวมครุภัณฑ์ 70 (data)'!G448</f>
        <v>LED TV ขนาด 55 นิ้ว</v>
      </c>
      <c r="F622" s="244" t="str">
        <f>'[1]รวมครุภัณฑ์ 70 (data)'!H448</f>
        <v>สสว.9</v>
      </c>
      <c r="G622" s="244" t="str">
        <f>'[1]รวมครุภัณฑ์ 70 (data)'!J448</f>
        <v>เชียงใหม่</v>
      </c>
      <c r="H622" s="244" t="str">
        <f>IF('รวมครุภัณฑ์ 70'!Q447="","",'รวมครุภัณฑ์ 70'!Q447)</f>
        <v/>
      </c>
      <c r="I622" s="244">
        <f>IF('รวมครุภัณฑ์ 70'!R447="","",'รวมครุภัณฑ์ 70'!R447)</f>
        <v>2</v>
      </c>
      <c r="J622" s="244"/>
      <c r="K622" s="245">
        <f>'[1]รวมครุภัณฑ์ 70 (data)'!L448</f>
        <v>43800</v>
      </c>
      <c r="L622" s="245" t="str">
        <f t="shared" si="6"/>
        <v>เพิ่มประสิทธิภาพ</v>
      </c>
    </row>
    <row r="623" spans="1:12">
      <c r="A623" s="241" t="s">
        <v>1933</v>
      </c>
      <c r="B623" s="244">
        <f>'[1]รวมครุภัณฑ์ 70 (data)'!B449</f>
        <v>2570</v>
      </c>
      <c r="C623" s="241" t="s">
        <v>447</v>
      </c>
      <c r="D623" s="244" t="str">
        <f>'[1]รวมครุภัณฑ์ 70 (data)'!C449</f>
        <v>ครุภัณฑ์โฆษณาและเผยแพร่</v>
      </c>
      <c r="E623" s="244" t="str">
        <f>'[1]รวมครุภัณฑ์ 70 (data)'!G449</f>
        <v>ขาแขวนทีวีแบบล้อเลื่อน</v>
      </c>
      <c r="F623" s="244" t="str">
        <f>'[1]รวมครุภัณฑ์ 70 (data)'!H449</f>
        <v>สสว.9</v>
      </c>
      <c r="G623" s="244" t="str">
        <f>'[1]รวมครุภัณฑ์ 70 (data)'!J449</f>
        <v>เชียงใหม่</v>
      </c>
      <c r="H623" s="244" t="str">
        <f>IF('รวมครุภัณฑ์ 70'!Q448="","",'รวมครุภัณฑ์ 70'!Q448)</f>
        <v/>
      </c>
      <c r="I623" s="244">
        <f>IF('รวมครุภัณฑ์ 70'!R448="","",'รวมครุภัณฑ์ 70'!R448)</f>
        <v>2</v>
      </c>
      <c r="J623" s="244"/>
      <c r="K623" s="245">
        <f>'[1]รวมครุภัณฑ์ 70 (data)'!L449</f>
        <v>20000</v>
      </c>
      <c r="L623" s="245" t="str">
        <f t="shared" si="6"/>
        <v>เพิ่มประสิทธิภาพ</v>
      </c>
    </row>
    <row r="624" spans="1:12">
      <c r="A624" s="241" t="s">
        <v>1934</v>
      </c>
      <c r="B624" s="244">
        <f>'[1]รวมครุภัณฑ์ 70 (data)'!B450</f>
        <v>2570</v>
      </c>
      <c r="C624" s="241" t="s">
        <v>447</v>
      </c>
      <c r="D624" s="244" t="str">
        <f>'[1]รวมครุภัณฑ์ 70 (data)'!C450</f>
        <v>ครุภัณฑ์คอมพิวเตอร์</v>
      </c>
      <c r="E624" s="244" t="str">
        <f>'[1]รวมครุภัณฑ์ 70 (data)'!G450</f>
        <v>คอมพิวเตอร์ Notebook / ACER พร้อม Window 11 pro</v>
      </c>
      <c r="F624" s="244" t="str">
        <f>'[1]รวมครุภัณฑ์ 70 (data)'!H450</f>
        <v>สสว.9</v>
      </c>
      <c r="G624" s="244" t="str">
        <f>'[1]รวมครุภัณฑ์ 70 (data)'!J450</f>
        <v>เชียงใหม่</v>
      </c>
      <c r="H624" s="244" t="str">
        <f>IF('รวมครุภัณฑ์ 70'!Q449="","",'รวมครุภัณฑ์ 70'!Q449)</f>
        <v/>
      </c>
      <c r="I624" s="244">
        <f>IF('รวมครุภัณฑ์ 70'!R449="","",'รวมครุภัณฑ์ 70'!R449)</f>
        <v>1</v>
      </c>
      <c r="J624" s="244"/>
      <c r="K624" s="245">
        <f>'[1]รวมครุภัณฑ์ 70 (data)'!L450</f>
        <v>26900</v>
      </c>
      <c r="L624" s="245" t="str">
        <f t="shared" si="6"/>
        <v>เพิ่มประสิทธิภาพ</v>
      </c>
    </row>
    <row r="625" spans="1:12">
      <c r="A625" s="241" t="s">
        <v>1935</v>
      </c>
      <c r="B625" s="244">
        <f>'[1]รวมครุภัณฑ์ 70 (data)'!B451</f>
        <v>2570</v>
      </c>
      <c r="C625" s="241" t="s">
        <v>447</v>
      </c>
      <c r="D625" s="244" t="str">
        <f>'[1]รวมครุภัณฑ์ 70 (data)'!C451</f>
        <v>ครุภัณฑ์คอมพิวเตอร์</v>
      </c>
      <c r="E625" s="244" t="str">
        <f>'[1]รวมครุภัณฑ์ 70 (data)'!G451</f>
        <v>จอมอนิเตอร์ ขนาด 21.5 นิ้ว</v>
      </c>
      <c r="F625" s="244" t="str">
        <f>'[1]รวมครุภัณฑ์ 70 (data)'!H451</f>
        <v>สสว.9</v>
      </c>
      <c r="G625" s="244" t="str">
        <f>'[1]รวมครุภัณฑ์ 70 (data)'!J451</f>
        <v>เชียงใหม่</v>
      </c>
      <c r="H625" s="244" t="str">
        <f>IF('รวมครุภัณฑ์ 70'!Q450="","",'รวมครุภัณฑ์ 70'!Q450)</f>
        <v/>
      </c>
      <c r="I625" s="244">
        <f>IF('รวมครุภัณฑ์ 70'!R450="","",'รวมครุภัณฑ์ 70'!R450)</f>
        <v>11</v>
      </c>
      <c r="J625" s="244"/>
      <c r="K625" s="245">
        <f>'[1]รวมครุภัณฑ์ 70 (data)'!L451</f>
        <v>43890</v>
      </c>
      <c r="L625" s="245" t="str">
        <f t="shared" si="6"/>
        <v>เพิ่มประสิทธิภาพ</v>
      </c>
    </row>
    <row r="626" spans="1:12">
      <c r="A626" s="241" t="s">
        <v>1936</v>
      </c>
      <c r="B626" s="244">
        <f>'[1]รวมครุภัณฑ์ 70 (data)'!B452</f>
        <v>2570</v>
      </c>
      <c r="C626" s="241" t="s">
        <v>447</v>
      </c>
      <c r="D626" s="244" t="str">
        <f>'[1]รวมครุภัณฑ์ 70 (data)'!C452</f>
        <v>ครุภัณฑ์คอมพิวเตอร์</v>
      </c>
      <c r="E626" s="244" t="str">
        <f>'[1]รวมครุภัณฑ์ 70 (data)'!G452</f>
        <v>ชั้นวางจอมอนิเตอร์</v>
      </c>
      <c r="F626" s="244" t="str">
        <f>'[1]รวมครุภัณฑ์ 70 (data)'!H452</f>
        <v>สสว.9</v>
      </c>
      <c r="G626" s="244" t="str">
        <f>'[1]รวมครุภัณฑ์ 70 (data)'!J452</f>
        <v>เชียงใหม่</v>
      </c>
      <c r="H626" s="244" t="str">
        <f>IF('รวมครุภัณฑ์ 70'!Q451="","",'รวมครุภัณฑ์ 70'!Q451)</f>
        <v/>
      </c>
      <c r="I626" s="244">
        <f>IF('รวมครุภัณฑ์ 70'!R451="","",'รวมครุภัณฑ์ 70'!R451)</f>
        <v>11</v>
      </c>
      <c r="J626" s="244"/>
      <c r="K626" s="245">
        <f>'[1]รวมครุภัณฑ์ 70 (data)'!L452</f>
        <v>18590</v>
      </c>
      <c r="L626" s="245" t="str">
        <f t="shared" ref="L626:L630" si="7">_xlfn.TEXTJOIN(", ",TRUE,
IF(H626&lt;&gt;"","ทดแทนครุภัณฑ์เดิม",""),
IF(I626&lt;&gt;"","เพิ่มประสิทธิภาพ",""))</f>
        <v>เพิ่มประสิทธิภาพ</v>
      </c>
    </row>
    <row r="627" spans="1:12">
      <c r="A627" s="241" t="s">
        <v>1937</v>
      </c>
      <c r="B627" s="244">
        <f>'[1]รวมครุภัณฑ์ 70 (data)'!B453</f>
        <v>2570</v>
      </c>
      <c r="C627" s="241" t="s">
        <v>447</v>
      </c>
      <c r="D627" s="244" t="str">
        <f>'[1]รวมครุภัณฑ์ 70 (data)'!C453</f>
        <v>ครุภัณฑ์คอมพิวเตอร์</v>
      </c>
      <c r="E627" s="244" t="str">
        <f>'[1]รวมครุภัณฑ์ 70 (data)'!G453</f>
        <v>อุปกรณ์กระจายสัญญาณ HDMI เข้า-ออก 1 input ออก 16 จอ</v>
      </c>
      <c r="F627" s="244" t="str">
        <f>'[1]รวมครุภัณฑ์ 70 (data)'!H453</f>
        <v>สสว.9</v>
      </c>
      <c r="G627" s="244" t="str">
        <f>'[1]รวมครุภัณฑ์ 70 (data)'!J453</f>
        <v>เชียงใหม่</v>
      </c>
      <c r="H627" s="244" t="str">
        <f>IF('รวมครุภัณฑ์ 70'!Q452="","",'รวมครุภัณฑ์ 70'!Q452)</f>
        <v/>
      </c>
      <c r="I627" s="244">
        <f>IF('รวมครุภัณฑ์ 70'!R452="","",'รวมครุภัณฑ์ 70'!R452)</f>
        <v>1</v>
      </c>
      <c r="J627" s="244"/>
      <c r="K627" s="245">
        <f>'[1]รวมครุภัณฑ์ 70 (data)'!L453</f>
        <v>36000</v>
      </c>
      <c r="L627" s="245" t="str">
        <f t="shared" si="7"/>
        <v>เพิ่มประสิทธิภาพ</v>
      </c>
    </row>
    <row r="628" spans="1:12">
      <c r="A628" s="241" t="s">
        <v>1938</v>
      </c>
      <c r="B628" s="244">
        <f>'[1]รวมครุภัณฑ์ 70 (data)'!B454</f>
        <v>2570</v>
      </c>
      <c r="C628" s="241" t="s">
        <v>447</v>
      </c>
      <c r="D628" s="244" t="str">
        <f>'[1]รวมครุภัณฑ์ 70 (data)'!C454</f>
        <v>ครุภัณฑ์คอมพิวเตอร์</v>
      </c>
      <c r="E628" s="244" t="str">
        <f>'[1]รวมครุภัณฑ์ 70 (data)'!G454</f>
        <v>กล้องวิดีโอ Conference</v>
      </c>
      <c r="F628" s="244" t="str">
        <f>'[1]รวมครุภัณฑ์ 70 (data)'!H454</f>
        <v>สสว.9</v>
      </c>
      <c r="G628" s="244" t="str">
        <f>'[1]รวมครุภัณฑ์ 70 (data)'!J454</f>
        <v>เชียงใหม่</v>
      </c>
      <c r="H628" s="244" t="str">
        <f>IF('รวมครุภัณฑ์ 70'!Q453="","",'รวมครุภัณฑ์ 70'!Q453)</f>
        <v/>
      </c>
      <c r="I628" s="244">
        <f>IF('รวมครุภัณฑ์ 70'!R453="","",'รวมครุภัณฑ์ 70'!R453)</f>
        <v>1</v>
      </c>
      <c r="J628" s="244"/>
      <c r="K628" s="245">
        <f>'[1]รวมครุภัณฑ์ 70 (data)'!L454</f>
        <v>35900</v>
      </c>
      <c r="L628" s="245" t="str">
        <f t="shared" si="7"/>
        <v>เพิ่มประสิทธิภาพ</v>
      </c>
    </row>
    <row r="629" spans="1:12">
      <c r="A629" s="241" t="s">
        <v>1939</v>
      </c>
      <c r="B629" s="244">
        <f>'[1]รวมครุภัณฑ์ 70 (data)'!B455</f>
        <v>2570</v>
      </c>
      <c r="C629" s="241" t="s">
        <v>447</v>
      </c>
      <c r="D629" s="244" t="str">
        <f>'[1]รวมครุภัณฑ์ 70 (data)'!C455</f>
        <v>ครุภัณฑ์คอมพิวเตอร์</v>
      </c>
      <c r="E629" s="244" t="str">
        <f>'[1]รวมครุภัณฑ์ 70 (data)'!G455</f>
        <v>USB Hub 10 in 1</v>
      </c>
      <c r="F629" s="244" t="str">
        <f>'[1]รวมครุภัณฑ์ 70 (data)'!H455</f>
        <v>สสว.9</v>
      </c>
      <c r="G629" s="244" t="str">
        <f>'[1]รวมครุภัณฑ์ 70 (data)'!J455</f>
        <v>เชียงใหม่</v>
      </c>
      <c r="H629" s="244" t="str">
        <f>IF('รวมครุภัณฑ์ 70'!Q454="","",'รวมครุภัณฑ์ 70'!Q454)</f>
        <v/>
      </c>
      <c r="I629" s="244">
        <f>IF('รวมครุภัณฑ์ 70'!R454="","",'รวมครุภัณฑ์ 70'!R454)</f>
        <v>1</v>
      </c>
      <c r="J629" s="244"/>
      <c r="K629" s="245">
        <f>'[1]รวมครุภัณฑ์ 70 (data)'!L455</f>
        <v>2900</v>
      </c>
      <c r="L629" s="245" t="str">
        <f t="shared" si="7"/>
        <v>เพิ่มประสิทธิภาพ</v>
      </c>
    </row>
    <row r="630" spans="1:12">
      <c r="A630" s="241" t="s">
        <v>1940</v>
      </c>
      <c r="B630" s="244">
        <f>'[1]รวมครุภัณฑ์ 70 (data)'!B456</f>
        <v>2570</v>
      </c>
      <c r="C630" s="241" t="s">
        <v>447</v>
      </c>
      <c r="D630" s="244" t="str">
        <f>'[1]รวมครุภัณฑ์ 70 (data)'!C456</f>
        <v>ครุภัณฑ์โฆษณาและเผยแพร่</v>
      </c>
      <c r="E630" s="244" t="str">
        <f>'[1]รวมครุภัณฑ์ 70 (data)'!G456</f>
        <v>เครื่องมัลติมีเดียโปรเจคเตอร์ระดับ XGA ขนาด 5,000 ANSI Lumens</v>
      </c>
      <c r="F630" s="244" t="str">
        <f>'[1]รวมครุภัณฑ์ 70 (data)'!H456</f>
        <v>สสว.10</v>
      </c>
      <c r="G630" s="244" t="str">
        <f>'[1]รวมครุภัณฑ์ 70 (data)'!J456</f>
        <v>สุราษฎร์ธานี</v>
      </c>
      <c r="H630" s="244">
        <f>IF('รวมครุภัณฑ์ 70'!Q455="","",'รวมครุภัณฑ์ 70'!Q455)</f>
        <v>1</v>
      </c>
      <c r="I630" s="244" t="str">
        <f>IF('รวมครุภัณฑ์ 70'!R455="","",'รวมครุภัณฑ์ 70'!R455)</f>
        <v/>
      </c>
      <c r="J630" s="244"/>
      <c r="K630" s="245">
        <f>'[1]รวมครุภัณฑ์ 70 (data)'!L456</f>
        <v>48600</v>
      </c>
      <c r="L630" s="245" t="str">
        <f t="shared" si="7"/>
        <v>ทดแทนครุภัณฑ์เดิม</v>
      </c>
    </row>
    <row r="631" spans="1:12">
      <c r="H631" s="268">
        <f>SUBTOTAL(9,H1:H630)</f>
        <v>3353</v>
      </c>
      <c r="I631" s="268">
        <f>SUBTOTAL(9,I1:I630)</f>
        <v>2104</v>
      </c>
      <c r="J631" s="258"/>
      <c r="K631" s="268">
        <f>SUBTOTAL(9,K1:K630)</f>
        <v>189919255</v>
      </c>
    </row>
  </sheetData>
  <autoFilter ref="A1:L630" xr:uid="{390851CF-5252-49AC-9BA1-C4E652D99E31}">
    <filterColumn colId="1">
      <filters>
        <filter val="2570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80ADC-CEEE-4DF0-B212-1613E4232FF2}">
  <sheetPr>
    <tabColor theme="0"/>
  </sheetPr>
  <dimension ref="A1:S122"/>
  <sheetViews>
    <sheetView zoomScale="70" zoomScaleNormal="70" workbookViewId="0">
      <pane ySplit="4" topLeftCell="A61" activePane="bottomLeft" state="frozen"/>
      <selection activeCell="A8" sqref="A8:E8"/>
      <selection pane="bottomLeft" activeCell="D117" sqref="D117:E117"/>
    </sheetView>
  </sheetViews>
  <sheetFormatPr defaultRowHeight="15"/>
  <cols>
    <col min="1" max="1" width="20.5703125" customWidth="1"/>
    <col min="2" max="2" width="25.7109375" customWidth="1"/>
    <col min="3" max="3" width="19.7109375" customWidth="1"/>
    <col min="4" max="4" width="14.28515625" style="74" bestFit="1" customWidth="1"/>
    <col min="5" max="5" width="19.85546875" customWidth="1"/>
    <col min="6" max="6" width="19.140625" customWidth="1"/>
    <col min="7" max="7" width="14.28515625" bestFit="1" customWidth="1"/>
    <col min="8" max="8" width="18.5703125" customWidth="1"/>
    <col min="9" max="9" width="18.140625" customWidth="1"/>
    <col min="10" max="10" width="14.28515625" bestFit="1" customWidth="1"/>
    <col min="11" max="11" width="19.140625" customWidth="1"/>
    <col min="12" max="13" width="18.140625" customWidth="1"/>
    <col min="14" max="14" width="19.85546875" customWidth="1"/>
    <col min="15" max="16" width="18.140625" customWidth="1"/>
    <col min="17" max="17" width="19" hidden="1" customWidth="1"/>
    <col min="19" max="19" width="13.7109375" bestFit="1" customWidth="1"/>
  </cols>
  <sheetData>
    <row r="1" spans="1:17" ht="30" customHeight="1">
      <c r="A1" s="269" t="s">
        <v>1278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  <c r="O1" s="269"/>
      <c r="P1" s="269"/>
    </row>
    <row r="3" spans="1:17" ht="29.25" customHeight="1">
      <c r="A3" s="277" t="s">
        <v>2</v>
      </c>
      <c r="B3" s="277" t="s">
        <v>5</v>
      </c>
      <c r="C3" s="278" t="s">
        <v>452</v>
      </c>
      <c r="D3" s="278"/>
      <c r="E3" s="278"/>
      <c r="F3" s="278" t="s">
        <v>453</v>
      </c>
      <c r="G3" s="278"/>
      <c r="H3" s="278"/>
      <c r="I3" s="278" t="s">
        <v>454</v>
      </c>
      <c r="J3" s="278"/>
      <c r="K3" s="278"/>
      <c r="L3" s="278" t="s">
        <v>449</v>
      </c>
      <c r="M3" s="278"/>
      <c r="N3" s="278"/>
      <c r="O3" s="278"/>
      <c r="P3" s="278"/>
      <c r="Q3" s="70"/>
    </row>
    <row r="4" spans="1:17" ht="47.25" customHeight="1">
      <c r="A4" s="277"/>
      <c r="B4" s="277"/>
      <c r="C4" s="57" t="s">
        <v>447</v>
      </c>
      <c r="D4" s="57" t="s">
        <v>6</v>
      </c>
      <c r="E4" s="57" t="s">
        <v>15</v>
      </c>
      <c r="F4" s="57" t="s">
        <v>447</v>
      </c>
      <c r="G4" s="57" t="s">
        <v>6</v>
      </c>
      <c r="H4" s="57" t="s">
        <v>15</v>
      </c>
      <c r="I4" s="57" t="s">
        <v>447</v>
      </c>
      <c r="J4" s="57" t="s">
        <v>6</v>
      </c>
      <c r="K4" s="57" t="s">
        <v>15</v>
      </c>
      <c r="L4" s="57" t="s">
        <v>447</v>
      </c>
      <c r="M4" s="176" t="s">
        <v>1279</v>
      </c>
      <c r="N4" s="176" t="s">
        <v>1280</v>
      </c>
      <c r="O4" s="176" t="s">
        <v>1283</v>
      </c>
      <c r="P4" s="57" t="s">
        <v>15</v>
      </c>
      <c r="Q4" s="70"/>
    </row>
    <row r="5" spans="1:17" ht="21">
      <c r="A5" s="274" t="s">
        <v>9</v>
      </c>
      <c r="B5" s="275"/>
      <c r="C5" s="275"/>
      <c r="D5" s="275"/>
      <c r="E5" s="275"/>
      <c r="F5" s="275"/>
      <c r="G5" s="275"/>
      <c r="H5" s="275"/>
      <c r="I5" s="275"/>
      <c r="J5" s="275"/>
      <c r="K5" s="275"/>
      <c r="L5" s="275"/>
      <c r="M5" s="275"/>
      <c r="N5" s="275"/>
      <c r="O5" s="275"/>
      <c r="P5" s="275"/>
      <c r="Q5" s="70"/>
    </row>
    <row r="6" spans="1:17" ht="21">
      <c r="A6" s="71" t="s">
        <v>14</v>
      </c>
      <c r="B6" s="67" t="s">
        <v>18</v>
      </c>
      <c r="C6" s="22">
        <f>SUMIFS('ครุภัณฑ์ 67'!G:G,'ครุภัณฑ์ 67'!C:C,"ยานพาหนะและขนส่ง",'ครุภัณฑ์ 67'!E:E,B6)</f>
        <v>0</v>
      </c>
      <c r="D6" s="75">
        <f>SUMIFS('ครุภัณฑ์ 67'!F:F,'ครุภัณฑ์ 67'!C:C,"ยานพาหนะและขนส่ง",'ครุภัณฑ์ 67'!E:E,B6)</f>
        <v>0</v>
      </c>
      <c r="E6" s="22">
        <f>C6:C17</f>
        <v>0</v>
      </c>
      <c r="F6" s="13">
        <f>SUMIFS('ครุภัณฑ์ 68'!G:G,'ครุภัณฑ์ 68'!C:C,"ยานพาหนะและขนส่ง",'ครุภัณฑ์ 68'!E:E,B6)</f>
        <v>0</v>
      </c>
      <c r="G6" s="13">
        <f>SUMIFS('ครุภัณฑ์ 68'!F:F,'ครุภัณฑ์ 68'!C:C,"ยานพาหนะและขนส่ง",'ครุภัณฑ์ 68'!E:E,B6)</f>
        <v>0</v>
      </c>
      <c r="H6" s="13">
        <f>F6</f>
        <v>0</v>
      </c>
      <c r="I6" s="68">
        <f>SUMIFS('ครุภัณฑ์ 69'!G:G,'ครุภัณฑ์ 69'!C:C,"ยานพาหนะและขนส่ง",'ครุภัณฑ์ 69'!E:E,B6)</f>
        <v>0</v>
      </c>
      <c r="J6" s="68">
        <f>SUMIFS('ครุภัณฑ์ 69'!F:F,'ครุภัณฑ์ 69'!C:C,"ยานพาหนะและขนส่ง",'ครุภัณฑ์ 69'!E:E,B6)</f>
        <v>0</v>
      </c>
      <c r="K6" s="68">
        <f>I6</f>
        <v>0</v>
      </c>
      <c r="L6" s="69">
        <f>SUMIFS('รวมครุภัณฑ์ 70'!L:L,'รวมครุภัณฑ์ 70'!C:C,"ครุภัณฑ์ยานพาหนะและขนส่ง",'รวมครุภัณฑ์ 70'!H:H,B6)</f>
        <v>1207900</v>
      </c>
      <c r="M6" s="69">
        <f>SUMIFS('รวมครุภัณฑ์ 70'!Q:Q,'รวมครุภัณฑ์ 70'!C:C,"ครุภัณฑ์ยานพาหนะและขนส่ง",'รวมครุภัณฑ์ 70'!H:H,B6)</f>
        <v>1</v>
      </c>
      <c r="N6" s="69">
        <f>SUMIFS('รวมครุภัณฑ์ 70'!R:R,'รวมครุภัณฑ์ 70'!C:C,"ครุภัณฑ์ยานพาหนะและขนส่ง",'รวมครุภัณฑ์ 70'!H:H,B6)</f>
        <v>0</v>
      </c>
      <c r="O6" s="69">
        <f>M6+N6</f>
        <v>1</v>
      </c>
      <c r="P6" s="69">
        <f>L6</f>
        <v>1207900</v>
      </c>
      <c r="Q6" s="72">
        <f>SUM(L6:L17)</f>
        <v>13982300</v>
      </c>
    </row>
    <row r="7" spans="1:17" ht="21">
      <c r="A7" s="71" t="s">
        <v>14</v>
      </c>
      <c r="B7" s="67" t="s">
        <v>21</v>
      </c>
      <c r="C7" s="22">
        <f>SUMIFS('ครุภัณฑ์ 67'!G:G,'ครุภัณฑ์ 67'!C:C,"ยานพาหนะและขนส่ง",'ครุภัณฑ์ 67'!E:E,B7)</f>
        <v>0</v>
      </c>
      <c r="D7" s="75">
        <f>SUMIFS('ครุภัณฑ์ 67'!F:F,'ครุภัณฑ์ 67'!C:C,"ยานพาหนะและขนส่ง",'ครุภัณฑ์ 67'!E:E,B7)</f>
        <v>0</v>
      </c>
      <c r="E7" s="22">
        <f>C7:C18</f>
        <v>0</v>
      </c>
      <c r="F7" s="13">
        <f>SUMIFS('ครุภัณฑ์ 68'!G:G,'ครุภัณฑ์ 68'!C:C,"ยานพาหนะและขนส่ง",'ครุภัณฑ์ 68'!E:E,B7)</f>
        <v>0</v>
      </c>
      <c r="G7" s="13">
        <f>SUMIFS('ครุภัณฑ์ 68'!F:F,'ครุภัณฑ์ 68'!C:C,"ยานพาหนะและขนส่ง",'ครุภัณฑ์ 68'!E:E,B7)</f>
        <v>0</v>
      </c>
      <c r="H7" s="13">
        <f t="shared" ref="H7:H17" si="0">F7</f>
        <v>0</v>
      </c>
      <c r="I7" s="68">
        <f>SUMIFS('ครุภัณฑ์ 69'!G:G,'ครุภัณฑ์ 69'!C:C,"ยานพาหนะและขนส่ง",'ครุภัณฑ์ 69'!E:E,B7)</f>
        <v>0</v>
      </c>
      <c r="J7" s="68">
        <f>SUMIFS('ครุภัณฑ์ 69'!F:F,'ครุภัณฑ์ 69'!C:C,"ยานพาหนะและขนส่ง",'ครุภัณฑ์ 69'!E:E,B7)</f>
        <v>0</v>
      </c>
      <c r="K7" s="68">
        <f t="shared" ref="K7:K17" si="1">I7</f>
        <v>0</v>
      </c>
      <c r="L7" s="69">
        <f>SUMIFS('รวมครุภัณฑ์ 70'!L:L,'รวมครุภัณฑ์ 70'!C:C,"ครุภัณฑ์ยานพาหนะและขนส่ง",'รวมครุภัณฑ์ 70'!H:H,B7)</f>
        <v>2707900</v>
      </c>
      <c r="M7" s="69">
        <f>SUMIFS('รวมครุภัณฑ์ 70'!Q:Q,'รวมครุภัณฑ์ 70'!C:C,"ครุภัณฑ์ยานพาหนะและขนส่ง",'รวมครุภัณฑ์ 70'!H:H,B7)</f>
        <v>2</v>
      </c>
      <c r="N7" s="69">
        <f>SUMIFS('รวมครุภัณฑ์ 70'!R:R,'รวมครุภัณฑ์ 70'!C:C,"ครุภัณฑ์ยานพาหนะและขนส่ง",'รวมครุภัณฑ์ 70'!H:H,B7)</f>
        <v>0</v>
      </c>
      <c r="O7" s="69">
        <f t="shared" ref="O7:O17" si="2">M7+N7</f>
        <v>2</v>
      </c>
      <c r="P7" s="69">
        <f t="shared" ref="P7:P17" si="3">L7</f>
        <v>2707900</v>
      </c>
      <c r="Q7" s="72" t="e">
        <f>SUM(#REF!)</f>
        <v>#REF!</v>
      </c>
    </row>
    <row r="8" spans="1:17" ht="21">
      <c r="A8" s="71" t="s">
        <v>22</v>
      </c>
      <c r="B8" s="67" t="s">
        <v>26</v>
      </c>
      <c r="C8" s="22">
        <f>SUMIFS('ครุภัณฑ์ 67'!G:G,'ครุภัณฑ์ 67'!C:C,"ยานพาหนะและขนส่ง",'ครุภัณฑ์ 67'!E:E,B8)</f>
        <v>2448900</v>
      </c>
      <c r="D8" s="75">
        <f>SUMIFS('ครุภัณฑ์ 67'!F:F,'ครุภัณฑ์ 67'!C:C,"ยานพาหนะและขนส่ง",'ครุภัณฑ์ 67'!E:E,B8)</f>
        <v>2</v>
      </c>
      <c r="E8" s="22">
        <f>C8:C19</f>
        <v>2448900</v>
      </c>
      <c r="F8" s="13">
        <f>SUMIFS('ครุภัณฑ์ 68'!G:G,'ครุภัณฑ์ 68'!C:C,"ยานพาหนะและขนส่ง",'ครุภัณฑ์ 68'!E:E,B8)</f>
        <v>0</v>
      </c>
      <c r="G8" s="13">
        <f>SUMIFS('ครุภัณฑ์ 68'!F:F,'ครุภัณฑ์ 68'!C:C,"ยานพาหนะและขนส่ง",'ครุภัณฑ์ 68'!E:E,B8)</f>
        <v>0</v>
      </c>
      <c r="H8" s="13">
        <f t="shared" si="0"/>
        <v>0</v>
      </c>
      <c r="I8" s="68">
        <f>SUMIFS('ครุภัณฑ์ 69'!G:G,'ครุภัณฑ์ 69'!C:C,"ยานพาหนะและขนส่ง",'ครุภัณฑ์ 69'!E:E,B8)</f>
        <v>0</v>
      </c>
      <c r="J8" s="68">
        <f>SUMIFS('ครุภัณฑ์ 69'!F:F,'ครุภัณฑ์ 69'!C:C,"ยานพาหนะและขนส่ง",'ครุภัณฑ์ 69'!E:E,B8)</f>
        <v>0</v>
      </c>
      <c r="K8" s="68">
        <f t="shared" si="1"/>
        <v>0</v>
      </c>
      <c r="L8" s="69">
        <f>SUMIFS('รวมครุภัณฑ์ 70'!L:L,'รวมครุภัณฑ์ 70'!C:C,"ครุภัณฑ์ยานพาหนะและขนส่ง",'รวมครุภัณฑ์ 70'!H:H,B8)</f>
        <v>0</v>
      </c>
      <c r="M8" s="69">
        <f>SUMIFS('รวมครุภัณฑ์ 70'!Q:Q,'รวมครุภัณฑ์ 70'!C:C,"ครุภัณฑ์ยานพาหนะและขนส่ง",'รวมครุภัณฑ์ 70'!H:H,B8)</f>
        <v>0</v>
      </c>
      <c r="N8" s="69">
        <f>SUMIFS('รวมครุภัณฑ์ 70'!R:R,'รวมครุภัณฑ์ 70'!C:C,"ครุภัณฑ์ยานพาหนะและขนส่ง",'รวมครุภัณฑ์ 70'!H:H,B8)</f>
        <v>0</v>
      </c>
      <c r="O8" s="69">
        <f t="shared" si="2"/>
        <v>0</v>
      </c>
      <c r="P8" s="69">
        <f t="shared" si="3"/>
        <v>0</v>
      </c>
      <c r="Q8" s="72">
        <f>SUM(P6:P17)</f>
        <v>13982300</v>
      </c>
    </row>
    <row r="9" spans="1:17" ht="21">
      <c r="A9" s="71" t="s">
        <v>22</v>
      </c>
      <c r="B9" s="67" t="s">
        <v>24</v>
      </c>
      <c r="C9" s="22">
        <f>SUMIFS('ครุภัณฑ์ 67'!G:G,'ครุภัณฑ์ 67'!C:C,"ยานพาหนะและขนส่ง",'ครุภัณฑ์ 67'!E:E,B9)</f>
        <v>0</v>
      </c>
      <c r="D9" s="75">
        <f>SUMIFS('ครุภัณฑ์ 67'!F:F,'ครุภัณฑ์ 67'!C:C,"ยานพาหนะและขนส่ง",'ครุภัณฑ์ 67'!E:E,B9)</f>
        <v>0</v>
      </c>
      <c r="E9" s="22" t="s">
        <v>468</v>
      </c>
      <c r="F9" s="13">
        <f>SUMIFS('ครุภัณฑ์ 68'!G:G,'ครุภัณฑ์ 68'!C:C,"ยานพาหนะและขนส่ง",'ครุภัณฑ์ 68'!E:E,B9)</f>
        <v>1358000</v>
      </c>
      <c r="G9" s="13">
        <f>SUMIFS('ครุภัณฑ์ 68'!F:F,'ครุภัณฑ์ 68'!C:C,"ยานพาหนะและขนส่ง",'ครุภัณฑ์ 68'!E:E,B9)</f>
        <v>1</v>
      </c>
      <c r="H9" s="13">
        <f>F9</f>
        <v>1358000</v>
      </c>
      <c r="I9" s="68">
        <f>SUMIFS('ครุภัณฑ์ 69'!G:G,'ครุภัณฑ์ 69'!C:C,"ยานพาหนะและขนส่ง",'ครุภัณฑ์ 69'!E:E,B9)</f>
        <v>0</v>
      </c>
      <c r="J9" s="68">
        <f>SUMIFS('ครุภัณฑ์ 69'!F:F,'ครุภัณฑ์ 69'!C:C,"ยานพาหนะและขนส่ง",'ครุภัณฑ์ 69'!E:E,B9)</f>
        <v>0</v>
      </c>
      <c r="K9" s="68">
        <f t="shared" si="1"/>
        <v>0</v>
      </c>
      <c r="L9" s="69">
        <f>SUMIFS('รวมครุภัณฑ์ 70'!L:L,'รวมครุภัณฑ์ 70'!C:C,"ครุภัณฑ์ยานพาหนะและขนส่ง",'รวมครุภัณฑ์ 70'!H:H,B9)</f>
        <v>1207900</v>
      </c>
      <c r="M9" s="69">
        <f>SUMIFS('รวมครุภัณฑ์ 70'!Q:Q,'รวมครุภัณฑ์ 70'!C:C,"ครุภัณฑ์ยานพาหนะและขนส่ง",'รวมครุภัณฑ์ 70'!H:H,B9)</f>
        <v>1</v>
      </c>
      <c r="N9" s="69">
        <f>SUMIFS('รวมครุภัณฑ์ 70'!R:R,'รวมครุภัณฑ์ 70'!C:C,"ครุภัณฑ์ยานพาหนะและขนส่ง",'รวมครุภัณฑ์ 70'!H:H,B9)</f>
        <v>0</v>
      </c>
      <c r="O9" s="69">
        <f t="shared" si="2"/>
        <v>1</v>
      </c>
      <c r="P9" s="69">
        <f t="shared" si="3"/>
        <v>1207900</v>
      </c>
      <c r="Q9" s="70"/>
    </row>
    <row r="10" spans="1:17" ht="21">
      <c r="A10" s="71" t="s">
        <v>27</v>
      </c>
      <c r="B10" s="67" t="s">
        <v>29</v>
      </c>
      <c r="C10" s="22">
        <f>SUMIFS('ครุภัณฑ์ 67'!G:G,'ครุภัณฑ์ 67'!C:C,"ยานพาหนะและขนส่ง",'ครุภัณฑ์ 67'!E:E,B10)</f>
        <v>1358000</v>
      </c>
      <c r="D10" s="75">
        <f>SUMIFS('ครุภัณฑ์ 67'!F:F,'ครุภัณฑ์ 67'!C:C,"ยานพาหนะและขนส่ง",'ครุภัณฑ์ 67'!E:E,B10)</f>
        <v>1</v>
      </c>
      <c r="E10" s="22">
        <f t="shared" ref="E10:E17" si="4">C10:C21</f>
        <v>1358000</v>
      </c>
      <c r="F10" s="13">
        <f>SUMIFS('ครุภัณฑ์ 68'!G:G,'ครุภัณฑ์ 68'!C:C,"ยานพาหนะและขนส่ง",'ครุภัณฑ์ 68'!E:E,B10)</f>
        <v>0</v>
      </c>
      <c r="G10" s="13">
        <f>SUMIFS('ครุภัณฑ์ 68'!F:F,'ครุภัณฑ์ 68'!C:C,"ยานพาหนะและขนส่ง",'ครุภัณฑ์ 68'!E:E,B10)</f>
        <v>0</v>
      </c>
      <c r="H10" s="13">
        <f t="shared" si="0"/>
        <v>0</v>
      </c>
      <c r="I10" s="68">
        <f>SUMIFS('ครุภัณฑ์ 69'!G:G,'ครุภัณฑ์ 69'!C:C,"ยานพาหนะและขนส่ง",'ครุภัณฑ์ 69'!E:E,B10)</f>
        <v>0</v>
      </c>
      <c r="J10" s="68">
        <f>SUMIFS('ครุภัณฑ์ 69'!F:F,'ครุภัณฑ์ 69'!C:C,"ยานพาหนะและขนส่ง",'ครุภัณฑ์ 69'!E:E,B10)</f>
        <v>0</v>
      </c>
      <c r="K10" s="68">
        <f t="shared" si="1"/>
        <v>0</v>
      </c>
      <c r="L10" s="69">
        <f>SUMIFS('รวมครุภัณฑ์ 70'!L:L,'รวมครุภัณฑ์ 70'!C:C,"ครุภัณฑ์ยานพาหนะและขนส่ง",'รวมครุภัณฑ์ 70'!H:H,B10)</f>
        <v>1207900</v>
      </c>
      <c r="M10" s="69">
        <f>SUMIFS('รวมครุภัณฑ์ 70'!Q:Q,'รวมครุภัณฑ์ 70'!C:C,"ครุภัณฑ์ยานพาหนะและขนส่ง",'รวมครุภัณฑ์ 70'!H:H,B10)</f>
        <v>1</v>
      </c>
      <c r="N10" s="69">
        <f>SUMIFS('รวมครุภัณฑ์ 70'!R:R,'รวมครุภัณฑ์ 70'!C:C,"ครุภัณฑ์ยานพาหนะและขนส่ง",'รวมครุภัณฑ์ 70'!H:H,B10)</f>
        <v>0</v>
      </c>
      <c r="O10" s="69">
        <f t="shared" si="2"/>
        <v>1</v>
      </c>
      <c r="P10" s="69">
        <f t="shared" si="3"/>
        <v>1207900</v>
      </c>
      <c r="Q10" s="70"/>
    </row>
    <row r="11" spans="1:17" ht="21">
      <c r="A11" s="71" t="s">
        <v>445</v>
      </c>
      <c r="B11" s="67" t="s">
        <v>450</v>
      </c>
      <c r="C11" s="22">
        <f>SUMIFS('ครุภัณฑ์ 67'!G:G,'ครุภัณฑ์ 67'!C:C,"ยานพาหนะและขนส่ง",'ครุภัณฑ์ 67'!E:E,B11)</f>
        <v>0</v>
      </c>
      <c r="D11" s="75">
        <f>SUMIFS('ครุภัณฑ์ 67'!F:F,'ครุภัณฑ์ 67'!C:C,"ยานพาหนะและขนส่ง",'ครุภัณฑ์ 67'!E:E,B11)</f>
        <v>0</v>
      </c>
      <c r="E11" s="22">
        <f t="shared" si="4"/>
        <v>0</v>
      </c>
      <c r="F11" s="13">
        <f>SUMIFS('ครุภัณฑ์ 68'!G:G,'ครุภัณฑ์ 68'!C:C,"ยานพาหนะและขนส่ง",'ครุภัณฑ์ 68'!E:E,B11)</f>
        <v>0</v>
      </c>
      <c r="G11" s="13">
        <f>SUMIFS('ครุภัณฑ์ 68'!F:F,'ครุภัณฑ์ 68'!C:C,"ยานพาหนะและขนส่ง",'ครุภัณฑ์ 68'!E:E,B11)</f>
        <v>0</v>
      </c>
      <c r="H11" s="13">
        <f t="shared" si="0"/>
        <v>0</v>
      </c>
      <c r="I11" s="68">
        <f>SUMIFS('ครุภัณฑ์ 69'!G:G,'ครุภัณฑ์ 69'!C:C,"ยานพาหนะและขนส่ง",'ครุภัณฑ์ 69'!E:E,B11)</f>
        <v>0</v>
      </c>
      <c r="J11" s="68">
        <f>SUMIFS('ครุภัณฑ์ 69'!F:F,'ครุภัณฑ์ 69'!C:C,"ยานพาหนะและขนส่ง",'ครุภัณฑ์ 69'!E:E,B11)</f>
        <v>0</v>
      </c>
      <c r="K11" s="68">
        <f t="shared" si="1"/>
        <v>0</v>
      </c>
      <c r="L11" s="69">
        <f>SUMIFS('รวมครุภัณฑ์ 70'!L:L,'รวมครุภัณฑ์ 70'!C:C,"ครุภัณฑ์ยานพาหนะและขนส่ง",'รวมครุภัณฑ์ 70'!H:H,B11)</f>
        <v>0</v>
      </c>
      <c r="M11" s="69">
        <f>SUMIFS('รวมครุภัณฑ์ 70'!Q:Q,'รวมครุภัณฑ์ 70'!C:C,"ครุภัณฑ์ยานพาหนะและขนส่ง",'รวมครุภัณฑ์ 70'!H:H,B11)</f>
        <v>0</v>
      </c>
      <c r="N11" s="69">
        <f>SUMIFS('รวมครุภัณฑ์ 70'!R:R,'รวมครุภัณฑ์ 70'!C:C,"ครุภัณฑ์ยานพาหนะและขนส่ง",'รวมครุภัณฑ์ 70'!H:H,B11)</f>
        <v>0</v>
      </c>
      <c r="O11" s="69">
        <f t="shared" si="2"/>
        <v>0</v>
      </c>
      <c r="P11" s="69">
        <f t="shared" si="3"/>
        <v>0</v>
      </c>
      <c r="Q11" s="70"/>
    </row>
    <row r="12" spans="1:17" ht="21">
      <c r="A12" s="71" t="s">
        <v>176</v>
      </c>
      <c r="B12" s="67" t="s">
        <v>179</v>
      </c>
      <c r="C12" s="22">
        <f>SUMIFS('ครุภัณฑ์ 67'!G:G,'ครุภัณฑ์ 67'!C:C,"ยานพาหนะและขนส่ง",'ครุภัณฑ์ 67'!E:E,B12)</f>
        <v>0</v>
      </c>
      <c r="D12" s="75">
        <f>SUMIFS('ครุภัณฑ์ 67'!F:F,'ครุภัณฑ์ 67'!C:C,"ยานพาหนะและขนส่ง",'ครุภัณฑ์ 67'!E:E,B12)</f>
        <v>0</v>
      </c>
      <c r="E12" s="22">
        <f t="shared" si="4"/>
        <v>0</v>
      </c>
      <c r="F12" s="13">
        <f>SUMIFS('ครุภัณฑ์ 68'!G:G,'ครุภัณฑ์ 68'!C:C,"ยานพาหนะและขนส่ง",'ครุภัณฑ์ 68'!E:E,B12)</f>
        <v>885900</v>
      </c>
      <c r="G12" s="13">
        <f>SUMIFS('ครุภัณฑ์ 68'!F:F,'ครุภัณฑ์ 68'!C:C,"ยานพาหนะและขนส่ง",'ครุภัณฑ์ 68'!E:E,B12)</f>
        <v>1</v>
      </c>
      <c r="H12" s="13">
        <f t="shared" si="0"/>
        <v>885900</v>
      </c>
      <c r="I12" s="68">
        <f>SUMIFS('ครุภัณฑ์ 69'!G:G,'ครุภัณฑ์ 69'!C:C,"ยานพาหนะและขนส่ง",'ครุภัณฑ์ 69'!E:E,B12)</f>
        <v>0</v>
      </c>
      <c r="J12" s="68">
        <f>SUMIFS('ครุภัณฑ์ 69'!F:F,'ครุภัณฑ์ 69'!C:C,"ยานพาหนะและขนส่ง",'ครุภัณฑ์ 69'!E:E,B12)</f>
        <v>0</v>
      </c>
      <c r="K12" s="68">
        <f t="shared" si="1"/>
        <v>0</v>
      </c>
      <c r="L12" s="69">
        <f>SUMIFS('รวมครุภัณฑ์ 70'!L:L,'รวมครุภัณฑ์ 70'!C:C,"ครุภัณฑ์ยานพาหนะและขนส่ง",'รวมครุภัณฑ์ 70'!H:H,B12)</f>
        <v>0</v>
      </c>
      <c r="M12" s="69">
        <f>SUMIFS('รวมครุภัณฑ์ 70'!Q:Q,'รวมครุภัณฑ์ 70'!C:C,"ครุภัณฑ์ยานพาหนะและขนส่ง",'รวมครุภัณฑ์ 70'!H:H,B12)</f>
        <v>0</v>
      </c>
      <c r="N12" s="69">
        <f>SUMIFS('รวมครุภัณฑ์ 70'!R:R,'รวมครุภัณฑ์ 70'!C:C,"ครุภัณฑ์ยานพาหนะและขนส่ง",'รวมครุภัณฑ์ 70'!H:H,B12)</f>
        <v>0</v>
      </c>
      <c r="O12" s="69">
        <f t="shared" si="2"/>
        <v>0</v>
      </c>
      <c r="P12" s="69">
        <f t="shared" si="3"/>
        <v>0</v>
      </c>
      <c r="Q12" s="70"/>
    </row>
    <row r="13" spans="1:17" ht="21">
      <c r="A13" s="71" t="s">
        <v>30</v>
      </c>
      <c r="B13" s="67" t="s">
        <v>33</v>
      </c>
      <c r="C13" s="22">
        <f>SUMIFS('ครุภัณฑ์ 67'!G:G,'ครุภัณฑ์ 67'!C:C,"ยานพาหนะและขนส่ง",'ครุภัณฑ์ 67'!E:E,B13)</f>
        <v>0</v>
      </c>
      <c r="D13" s="75">
        <f>SUMIFS('ครุภัณฑ์ 67'!F:F,'ครุภัณฑ์ 67'!C:C,"ยานพาหนะและขนส่ง",'ครุภัณฑ์ 67'!E:E,B13)</f>
        <v>0</v>
      </c>
      <c r="E13" s="22">
        <f t="shared" si="4"/>
        <v>0</v>
      </c>
      <c r="F13" s="13">
        <f>SUMIFS('ครุภัณฑ์ 68'!G:G,'ครุภัณฑ์ 68'!C:C,"ยานพาหนะและขนส่ง",'ครุภัณฑ์ 68'!E:E,B13)</f>
        <v>1090900</v>
      </c>
      <c r="G13" s="13">
        <f>SUMIFS('ครุภัณฑ์ 68'!F:F,'ครุภัณฑ์ 68'!C:C,"ยานพาหนะและขนส่ง",'ครุภัณฑ์ 68'!E:E,B13)</f>
        <v>1</v>
      </c>
      <c r="H13" s="13">
        <f t="shared" si="0"/>
        <v>1090900</v>
      </c>
      <c r="I13" s="68">
        <f>SUMIFS('ครุภัณฑ์ 69'!G:G,'ครุภัณฑ์ 69'!C:C,"ยานพาหนะและขนส่ง",'ครุภัณฑ์ 69'!E:E,B13)</f>
        <v>1369000</v>
      </c>
      <c r="J13" s="68">
        <f>SUMIFS('ครุภัณฑ์ 69'!F:F,'ครุภัณฑ์ 69'!C:C,"ยานพาหนะและขนส่ง",'ครุภัณฑ์ 69'!E:E,B13)</f>
        <v>1</v>
      </c>
      <c r="K13" s="68">
        <f t="shared" si="1"/>
        <v>1369000</v>
      </c>
      <c r="L13" s="69">
        <f>SUMIFS('รวมครุภัณฑ์ 70'!L:L,'รวมครุภัณฑ์ 70'!C:C,"ครุภัณฑ์ยานพาหนะและขนส่ง",'รวมครุภัณฑ์ 70'!H:H,B13)</f>
        <v>1268000</v>
      </c>
      <c r="M13" s="69">
        <f>SUMIFS('รวมครุภัณฑ์ 70'!Q:Q,'รวมครุภัณฑ์ 70'!C:C,"ครุภัณฑ์ยานพาหนะและขนส่ง",'รวมครุภัณฑ์ 70'!H:H,B13)</f>
        <v>2</v>
      </c>
      <c r="N13" s="69">
        <f>SUMIFS('รวมครุภัณฑ์ 70'!R:R,'รวมครุภัณฑ์ 70'!C:C,"ครุภัณฑ์ยานพาหนะและขนส่ง",'รวมครุภัณฑ์ 70'!H:H,B13)</f>
        <v>0</v>
      </c>
      <c r="O13" s="69">
        <f t="shared" si="2"/>
        <v>2</v>
      </c>
      <c r="P13" s="69">
        <f t="shared" si="3"/>
        <v>1268000</v>
      </c>
      <c r="Q13" s="70"/>
    </row>
    <row r="14" spans="1:17" ht="21">
      <c r="A14" s="71" t="s">
        <v>230</v>
      </c>
      <c r="B14" s="67" t="s">
        <v>232</v>
      </c>
      <c r="C14" s="22">
        <f>SUMIFS('ครุภัณฑ์ 67'!G:G,'ครุภัณฑ์ 67'!C:C,"ยานพาหนะและขนส่ง",'ครุภัณฑ์ 67'!E:E,B14)</f>
        <v>0</v>
      </c>
      <c r="D14" s="75">
        <f>SUMIFS('ครุภัณฑ์ 67'!F:F,'ครุภัณฑ์ 67'!C:C,"ยานพาหนะและขนส่ง",'ครุภัณฑ์ 67'!E:E,B14)</f>
        <v>0</v>
      </c>
      <c r="E14" s="22">
        <f t="shared" si="4"/>
        <v>0</v>
      </c>
      <c r="F14" s="13">
        <f>SUMIFS('ครุภัณฑ์ 68'!G:G,'ครุภัณฑ์ 68'!C:C,"ยานพาหนะและขนส่ง",'ครุภัณฑ์ 68'!E:E,B14)</f>
        <v>1358000</v>
      </c>
      <c r="G14" s="13">
        <f>SUMIFS('ครุภัณฑ์ 68'!F:F,'ครุภัณฑ์ 68'!C:C,"ยานพาหนะและขนส่ง",'ครุภัณฑ์ 68'!E:E,B14)</f>
        <v>1</v>
      </c>
      <c r="H14" s="13">
        <f t="shared" si="0"/>
        <v>1358000</v>
      </c>
      <c r="I14" s="68">
        <f>SUMIFS('ครุภัณฑ์ 69'!G:G,'ครุภัณฑ์ 69'!C:C,"ยานพาหนะและขนส่ง",'ครุภัณฑ์ 69'!E:E,B14)</f>
        <v>0</v>
      </c>
      <c r="J14" s="68">
        <f>SUMIFS('ครุภัณฑ์ 69'!F:F,'ครุภัณฑ์ 69'!C:C,"ยานพาหนะและขนส่ง",'ครุภัณฑ์ 69'!E:E,B14)</f>
        <v>0</v>
      </c>
      <c r="K14" s="68">
        <f t="shared" si="1"/>
        <v>0</v>
      </c>
      <c r="L14" s="69">
        <f>SUMIFS('รวมครุภัณฑ์ 70'!L:L,'รวมครุภัณฑ์ 70'!C:C,"ครุภัณฑ์ยานพาหนะและขนส่ง",'รวมครุภัณฑ์ 70'!H:H,B14)</f>
        <v>970900</v>
      </c>
      <c r="M14" s="69">
        <f>SUMIFS('รวมครุภัณฑ์ 70'!Q:Q,'รวมครุภัณฑ์ 70'!C:C,"ครุภัณฑ์ยานพาหนะและขนส่ง",'รวมครุภัณฑ์ 70'!H:H,B14)</f>
        <v>1</v>
      </c>
      <c r="N14" s="69">
        <f>SUMIFS('รวมครุภัณฑ์ 70'!R:R,'รวมครุภัณฑ์ 70'!C:C,"ครุภัณฑ์ยานพาหนะและขนส่ง",'รวมครุภัณฑ์ 70'!H:H,B14)</f>
        <v>0</v>
      </c>
      <c r="O14" s="69">
        <f t="shared" si="2"/>
        <v>1</v>
      </c>
      <c r="P14" s="69">
        <f t="shared" si="3"/>
        <v>970900</v>
      </c>
      <c r="Q14" s="70"/>
    </row>
    <row r="15" spans="1:17" ht="21">
      <c r="A15" s="71" t="s">
        <v>444</v>
      </c>
      <c r="B15" s="67" t="s">
        <v>451</v>
      </c>
      <c r="C15" s="22">
        <f>SUMIFS('ครุภัณฑ์ 67'!G:G,'ครุภัณฑ์ 67'!C:C,"ยานพาหนะและขนส่ง",'ครุภัณฑ์ 67'!E:E,B15)</f>
        <v>0</v>
      </c>
      <c r="D15" s="75">
        <f>SUMIFS('ครุภัณฑ์ 67'!F:F,'ครุภัณฑ์ 67'!C:C,"ยานพาหนะและขนส่ง",'ครุภัณฑ์ 67'!E:E,B15)</f>
        <v>0</v>
      </c>
      <c r="E15" s="22">
        <f t="shared" si="4"/>
        <v>0</v>
      </c>
      <c r="F15" s="13">
        <f>SUMIFS('ครุภัณฑ์ 68'!G:G,'ครุภัณฑ์ 68'!C:C,"ยานพาหนะและขนส่ง",'ครุภัณฑ์ 68'!E:E,B15)</f>
        <v>0</v>
      </c>
      <c r="G15" s="13">
        <f>SUMIFS('ครุภัณฑ์ 68'!F:F,'ครุภัณฑ์ 68'!C:C,"ยานพาหนะและขนส่ง",'ครุภัณฑ์ 68'!E:E,B15)</f>
        <v>0</v>
      </c>
      <c r="H15" s="13">
        <f t="shared" si="0"/>
        <v>0</v>
      </c>
      <c r="I15" s="68">
        <f>SUMIFS('ครุภัณฑ์ 69'!G:G,'ครุภัณฑ์ 69'!C:C,"ยานพาหนะและขนส่ง",'ครุภัณฑ์ 69'!E:E,B15)</f>
        <v>0</v>
      </c>
      <c r="J15" s="68">
        <f>SUMIFS('ครุภัณฑ์ 69'!F:F,'ครุภัณฑ์ 69'!C:C,"ยานพาหนะและขนส่ง",'ครุภัณฑ์ 69'!E:E,B15)</f>
        <v>0</v>
      </c>
      <c r="K15" s="68">
        <f t="shared" si="1"/>
        <v>0</v>
      </c>
      <c r="L15" s="69">
        <f>SUMIFS('รวมครุภัณฑ์ 70'!L:L,'รวมครุภัณฑ์ 70'!C:C,"ครุภัณฑ์ยานพาหนะและขนส่ง",'รวมครุภัณฑ์ 70'!H:H,B15)</f>
        <v>2705900</v>
      </c>
      <c r="M15" s="69">
        <f>SUMIFS('รวมครุภัณฑ์ 70'!Q:Q,'รวมครุภัณฑ์ 70'!C:C,"ครุภัณฑ์ยานพาหนะและขนส่ง",'รวมครุภัณฑ์ 70'!H:H,B15)</f>
        <v>2</v>
      </c>
      <c r="N15" s="69">
        <f>SUMIFS('รวมครุภัณฑ์ 70'!R:R,'รวมครุภัณฑ์ 70'!C:C,"ครุภัณฑ์ยานพาหนะและขนส่ง",'รวมครุภัณฑ์ 70'!H:H,B15)</f>
        <v>0</v>
      </c>
      <c r="O15" s="69">
        <f t="shared" si="2"/>
        <v>2</v>
      </c>
      <c r="P15" s="69">
        <f t="shared" si="3"/>
        <v>2705900</v>
      </c>
      <c r="Q15" s="70"/>
    </row>
    <row r="16" spans="1:17" ht="21">
      <c r="A16" s="71" t="s">
        <v>34</v>
      </c>
      <c r="B16" s="67" t="s">
        <v>36</v>
      </c>
      <c r="C16" s="22">
        <f>SUMIFS('ครุภัณฑ์ 67'!G:G,'ครุภัณฑ์ 67'!C:C,"ยานพาหนะและขนส่ง",'ครุภัณฑ์ 67'!E:E,B16)</f>
        <v>885900</v>
      </c>
      <c r="D16" s="75">
        <f>SUMIFS('ครุภัณฑ์ 67'!F:F,'ครุภัณฑ์ 67'!C:C,"ยานพาหนะและขนส่ง",'ครุภัณฑ์ 67'!E:E,B16)</f>
        <v>1</v>
      </c>
      <c r="E16" s="22">
        <f t="shared" si="4"/>
        <v>885900</v>
      </c>
      <c r="F16" s="13">
        <f>SUMIFS('ครุภัณฑ์ 68'!G:G,'ครุภัณฑ์ 68'!C:C,"ยานพาหนะและขนส่ง",'ครุภัณฑ์ 68'!E:E,B16)</f>
        <v>0</v>
      </c>
      <c r="G16" s="13">
        <f>SUMIFS('ครุภัณฑ์ 68'!F:F,'ครุภัณฑ์ 68'!C:C,"ยานพาหนะและขนส่ง",'ครุภัณฑ์ 68'!E:E,B16)</f>
        <v>0</v>
      </c>
      <c r="H16" s="13">
        <f t="shared" si="0"/>
        <v>0</v>
      </c>
      <c r="I16" s="68">
        <f>SUMIFS('ครุภัณฑ์ 69'!G:G,'ครุภัณฑ์ 69'!C:C,"ยานพาหนะและขนส่ง",'ครุภัณฑ์ 69'!E:E,B16)</f>
        <v>1207900</v>
      </c>
      <c r="J16" s="68">
        <f>SUMIFS('ครุภัณฑ์ 69'!F:F,'ครุภัณฑ์ 69'!C:C,"ยานพาหนะและขนส่ง",'ครุภัณฑ์ 69'!E:E,B16)</f>
        <v>1</v>
      </c>
      <c r="K16" s="68">
        <f t="shared" si="1"/>
        <v>1207900</v>
      </c>
      <c r="L16" s="69">
        <f>SUMIFS('รวมครุภัณฑ์ 70'!L:L,'รวมครุภัณฑ์ 70'!C:C,"ครุภัณฑ์ยานพาหนะและขนส่ง",'รวมครุภัณฑ์ 70'!H:H,B16)</f>
        <v>0</v>
      </c>
      <c r="M16" s="69">
        <f>SUMIFS('รวมครุภัณฑ์ 70'!Q:Q,'รวมครุภัณฑ์ 70'!C:C,"ครุภัณฑ์ยานพาหนะและขนส่ง",'รวมครุภัณฑ์ 70'!H:H,B16)</f>
        <v>0</v>
      </c>
      <c r="N16" s="69">
        <f>SUMIFS('รวมครุภัณฑ์ 70'!R:R,'รวมครุภัณฑ์ 70'!C:C,"ครุภัณฑ์ยานพาหนะและขนส่ง",'รวมครุภัณฑ์ 70'!H:H,B16)</f>
        <v>0</v>
      </c>
      <c r="O16" s="69">
        <f t="shared" si="2"/>
        <v>0</v>
      </c>
      <c r="P16" s="69">
        <f t="shared" si="3"/>
        <v>0</v>
      </c>
      <c r="Q16" s="70"/>
    </row>
    <row r="17" spans="1:17" ht="21">
      <c r="A17" s="71" t="s">
        <v>34</v>
      </c>
      <c r="B17" s="67" t="s">
        <v>39</v>
      </c>
      <c r="C17" s="22">
        <f>SUMIFS('ครุภัณฑ์ 67'!G:G,'ครุภัณฑ์ 67'!C:C,"ยานพาหนะและขนส่ง",'ครุภัณฑ์ 67'!E:E,B17)</f>
        <v>0</v>
      </c>
      <c r="D17" s="75">
        <f>SUMIFS('ครุภัณฑ์ 67'!F:F,'ครุภัณฑ์ 67'!C:C,"ยานพาหนะและขนส่ง",'ครุภัณฑ์ 67'!E:E,B17)</f>
        <v>0</v>
      </c>
      <c r="E17" s="22">
        <f t="shared" si="4"/>
        <v>0</v>
      </c>
      <c r="F17" s="13">
        <f>SUMIFS('ครุภัณฑ์ 68'!G:G,'ครุภัณฑ์ 68'!C:C,"ยานพาหนะและขนส่ง",'ครุภัณฑ์ 68'!E:E,B17)</f>
        <v>1090900</v>
      </c>
      <c r="G17" s="13">
        <f>SUMIFS('ครุภัณฑ์ 68'!F:F,'ครุภัณฑ์ 68'!C:C,"ยานพาหนะและขนส่ง",'ครุภัณฑ์ 68'!E:E,B17)</f>
        <v>1</v>
      </c>
      <c r="H17" s="13">
        <f t="shared" si="0"/>
        <v>1090900</v>
      </c>
      <c r="I17" s="68">
        <f>SUMIFS('ครุภัณฑ์ 69'!G:G,'ครุภัณฑ์ 69'!C:C,"ยานพาหนะและขนส่ง",'ครุภัณฑ์ 69'!E:E,B17)</f>
        <v>0</v>
      </c>
      <c r="J17" s="68">
        <f>SUMIFS('ครุภัณฑ์ 69'!F:F,'ครุภัณฑ์ 69'!C:C,"ยานพาหนะและขนส่ง",'ครุภัณฑ์ 69'!E:E,B17)</f>
        <v>0</v>
      </c>
      <c r="K17" s="68">
        <f t="shared" si="1"/>
        <v>0</v>
      </c>
      <c r="L17" s="69">
        <f>SUMIFS('รวมครุภัณฑ์ 70'!L:L,'รวมครุภัณฑ์ 70'!C:C,"ครุภัณฑ์ยานพาหนะและขนส่ง",'รวมครุภัณฑ์ 70'!H:H,B17)</f>
        <v>2705900</v>
      </c>
      <c r="M17" s="69">
        <f>SUMIFS('รวมครุภัณฑ์ 70'!Q:Q,'รวมครุภัณฑ์ 70'!C:C,"ครุภัณฑ์ยานพาหนะและขนส่ง",'รวมครุภัณฑ์ 70'!H:H,B17)</f>
        <v>2</v>
      </c>
      <c r="N17" s="69">
        <f>SUMIFS('รวมครุภัณฑ์ 70'!R:R,'รวมครุภัณฑ์ 70'!C:C,"ครุภัณฑ์ยานพาหนะและขนส่ง",'รวมครุภัณฑ์ 70'!H:H,B17)</f>
        <v>0</v>
      </c>
      <c r="O17" s="69">
        <f t="shared" si="2"/>
        <v>2</v>
      </c>
      <c r="P17" s="69">
        <f t="shared" si="3"/>
        <v>2705900</v>
      </c>
      <c r="Q17" s="70"/>
    </row>
    <row r="18" spans="1:17" ht="21">
      <c r="A18" s="276" t="s">
        <v>10</v>
      </c>
      <c r="B18" s="276"/>
      <c r="C18" s="276"/>
      <c r="D18" s="276"/>
      <c r="E18" s="276"/>
      <c r="F18" s="276"/>
      <c r="G18" s="276"/>
      <c r="H18" s="276"/>
      <c r="I18" s="276"/>
      <c r="J18" s="276"/>
      <c r="K18" s="276"/>
      <c r="L18" s="276"/>
      <c r="M18" s="276"/>
      <c r="N18" s="276"/>
      <c r="O18" s="276"/>
      <c r="P18" s="276"/>
      <c r="Q18" s="70"/>
    </row>
    <row r="19" spans="1:17" ht="21">
      <c r="A19" s="71" t="s">
        <v>41</v>
      </c>
      <c r="B19" s="67" t="s">
        <v>45</v>
      </c>
      <c r="C19" s="22">
        <f>SUMIFS('ครุภัณฑ์ 67'!G:G,'ครุภัณฑ์ 67'!C:C,"ยานพาหนะและขนส่ง",'ครุภัณฑ์ 67'!E:E,B19)</f>
        <v>1976800</v>
      </c>
      <c r="D19" s="75">
        <f>SUMIFS('ครุภัณฑ์ 67'!F:F,'ครุภัณฑ์ 67'!C:C,"ยานพาหนะและขนส่ง",'ครุภัณฑ์ 67'!E:E,B19)</f>
        <v>2</v>
      </c>
      <c r="E19" s="22">
        <f>C19:C30</f>
        <v>1976800</v>
      </c>
      <c r="F19" s="13">
        <f>SUMIFS('ครุภัณฑ์ 68'!G:G,'ครุภัณฑ์ 68'!C:C,"ยานพาหนะและขนส่ง",'ครุภัณฑ์ 68'!E:E,B19)</f>
        <v>0</v>
      </c>
      <c r="G19" s="13">
        <f>SUMIFS('ครุภัณฑ์ 68'!F:F,'ครุภัณฑ์ 68'!C:C,"ยานพาหนะและขนส่ง",'ครุภัณฑ์ 68'!E:E,B19)</f>
        <v>0</v>
      </c>
      <c r="H19" s="13">
        <f>F19</f>
        <v>0</v>
      </c>
      <c r="I19" s="68">
        <f>SUMIFS('ครุภัณฑ์ 69'!G:G,'ครุภัณฑ์ 69'!C:C,"ยานพาหนะและขนส่ง",'ครุภัณฑ์ 69'!E:E,B19)</f>
        <v>970900</v>
      </c>
      <c r="J19" s="68">
        <f>SUMIFS('ครุภัณฑ์ 69'!F:F,'ครุภัณฑ์ 69'!C:C,"ยานพาหนะและขนส่ง",'ครุภัณฑ์ 69'!E:E,B19)</f>
        <v>1</v>
      </c>
      <c r="K19" s="68">
        <f>I19</f>
        <v>970900</v>
      </c>
      <c r="L19" s="69">
        <f>SUMIFS('รวมครุภัณฑ์ 70'!L:L,'รวมครุภัณฑ์ 70'!C:C,"ครุภัณฑ์ยานพาหนะและขนส่ง",'รวมครุภัณฑ์ 70'!H:H,B19)</f>
        <v>1498000</v>
      </c>
      <c r="M19" s="69">
        <f>SUMIFS('รวมครุภัณฑ์ 70'!Q:Q,'รวมครุภัณฑ์ 70'!C:C,"ครุภัณฑ์ยานพาหนะและขนส่ง",'รวมครุภัณฑ์ 70'!H:H,B19)</f>
        <v>1</v>
      </c>
      <c r="N19" s="69">
        <f>SUMIFS('รวมครุภัณฑ์ 70'!R:R,'รวมครุภัณฑ์ 70'!C:C,"ครุภัณฑ์ยานพาหนะและขนส่ง",'รวมครุภัณฑ์ 70'!H:H,B19)</f>
        <v>0</v>
      </c>
      <c r="O19" s="69">
        <f>M19+N19</f>
        <v>1</v>
      </c>
      <c r="P19" s="69">
        <f>L19</f>
        <v>1498000</v>
      </c>
      <c r="Q19" s="72">
        <f>SUM(L19:L42)</f>
        <v>16485500</v>
      </c>
    </row>
    <row r="20" spans="1:17" ht="21">
      <c r="A20" s="71" t="s">
        <v>41</v>
      </c>
      <c r="B20" s="67" t="s">
        <v>43</v>
      </c>
      <c r="C20" s="22">
        <f>SUMIFS('ครุภัณฑ์ 67'!G:G,'ครุภัณฑ์ 67'!C:C,"ยานพาหนะและขนส่ง",'ครุภัณฑ์ 67'!E:E,B20)</f>
        <v>0</v>
      </c>
      <c r="D20" s="75">
        <f>SUMIFS('ครุภัณฑ์ 67'!F:F,'ครุภัณฑ์ 67'!C:C,"ยานพาหนะและขนส่ง",'ครุภัณฑ์ 67'!E:E,B20)</f>
        <v>0</v>
      </c>
      <c r="E20" s="22">
        <f>C20:C31</f>
        <v>0</v>
      </c>
      <c r="F20" s="13">
        <f>SUMIFS('ครุภัณฑ์ 68'!G:G,'ครุภัณฑ์ 68'!C:C,"ยานพาหนะและขนส่ง",'ครุภัณฑ์ 68'!E:E,B20)</f>
        <v>0</v>
      </c>
      <c r="G20" s="13">
        <f>SUMIFS('ครุภัณฑ์ 68'!F:F,'ครุภัณฑ์ 68'!C:C,"ยานพาหนะและขนส่ง",'ครุภัณฑ์ 68'!E:E,B20)</f>
        <v>0</v>
      </c>
      <c r="H20" s="13">
        <f t="shared" ref="H20:H42" si="5">F20</f>
        <v>0</v>
      </c>
      <c r="I20" s="68">
        <f>SUMIFS('ครุภัณฑ์ 69'!G:G,'ครุภัณฑ์ 69'!C:C,"ยานพาหนะและขนส่ง",'ครุภัณฑ์ 69'!E:E,B20)</f>
        <v>1369000</v>
      </c>
      <c r="J20" s="68">
        <f>SUMIFS('ครุภัณฑ์ 69'!F:F,'ครุภัณฑ์ 69'!C:C,"ยานพาหนะและขนส่ง",'ครุภัณฑ์ 69'!E:E,B20)</f>
        <v>1</v>
      </c>
      <c r="K20" s="68">
        <f t="shared" ref="K20:K42" si="6">I20</f>
        <v>1369000</v>
      </c>
      <c r="L20" s="69">
        <f>SUMIFS('รวมครุภัณฑ์ 70'!L:L,'รวมครุภัณฑ์ 70'!C:C,"ครุภัณฑ์ยานพาหนะและขนส่ง",'รวมครุภัณฑ์ 70'!H:H,B20)</f>
        <v>0</v>
      </c>
      <c r="M20" s="69">
        <f>SUMIFS('รวมครุภัณฑ์ 70'!Q:Q,'รวมครุภัณฑ์ 70'!C:C,"ครุภัณฑ์ยานพาหนะและขนส่ง",'รวมครุภัณฑ์ 70'!H:H,B20)</f>
        <v>0</v>
      </c>
      <c r="N20" s="69">
        <f>SUMIFS('รวมครุภัณฑ์ 70'!R:R,'รวมครุภัณฑ์ 70'!C:C,"ครุภัณฑ์ยานพาหนะและขนส่ง",'รวมครุภัณฑ์ 70'!H:H,B20)</f>
        <v>0</v>
      </c>
      <c r="O20" s="69">
        <f t="shared" ref="O20:O42" si="7">M20+N20</f>
        <v>0</v>
      </c>
      <c r="P20" s="69">
        <f t="shared" ref="P20:P42" si="8">L20</f>
        <v>0</v>
      </c>
      <c r="Q20" s="72" t="e">
        <f>SUM(#REF!)</f>
        <v>#REF!</v>
      </c>
    </row>
    <row r="21" spans="1:17" ht="21">
      <c r="A21" s="71" t="s">
        <v>317</v>
      </c>
      <c r="B21" s="67" t="s">
        <v>319</v>
      </c>
      <c r="C21" s="22">
        <f>SUMIFS('ครุภัณฑ์ 67'!G:G,'ครุภัณฑ์ 67'!C:C,"ยานพาหนะและขนส่ง",'ครุภัณฑ์ 67'!E:E,B21)</f>
        <v>0</v>
      </c>
      <c r="D21" s="75">
        <f>SUMIFS('ครุภัณฑ์ 67'!F:F,'ครุภัณฑ์ 67'!C:C,"ยานพาหนะและขนส่ง",'ครุภัณฑ์ 67'!E:E,B21)</f>
        <v>0</v>
      </c>
      <c r="E21" s="22">
        <f t="shared" ref="E21:E42" si="9">C21</f>
        <v>0</v>
      </c>
      <c r="F21" s="13">
        <f>SUMIFS('ครุภัณฑ์ 68'!G:G,'ครุภัณฑ์ 68'!C:C,"ยานพาหนะและขนส่ง",'ครุภัณฑ์ 68'!E:E,B21)</f>
        <v>0</v>
      </c>
      <c r="G21" s="13">
        <f>SUMIFS('ครุภัณฑ์ 68'!F:F,'ครุภัณฑ์ 68'!C:C,"ยานพาหนะและขนส่ง",'ครุภัณฑ์ 68'!E:E,B21)</f>
        <v>0</v>
      </c>
      <c r="H21" s="13">
        <f t="shared" si="5"/>
        <v>0</v>
      </c>
      <c r="I21" s="68">
        <f>SUMIFS('ครุภัณฑ์ 69'!G:G,'ครุภัณฑ์ 69'!C:C,"ยานพาหนะและขนส่ง",'ครุภัณฑ์ 69'!E:E,B21)</f>
        <v>0</v>
      </c>
      <c r="J21" s="68">
        <f>SUMIFS('ครุภัณฑ์ 69'!F:F,'ครุภัณฑ์ 69'!C:C,"ยานพาหนะและขนส่ง",'ครุภัณฑ์ 69'!E:E,B21)</f>
        <v>0</v>
      </c>
      <c r="K21" s="68">
        <f t="shared" si="6"/>
        <v>0</v>
      </c>
      <c r="L21" s="69">
        <f>SUMIFS('รวมครุภัณฑ์ 70'!L:L,'รวมครุภัณฑ์ 70'!C:C,"ครุภัณฑ์ยานพาหนะและขนส่ง",'รวมครุภัณฑ์ 70'!H:H,B21)</f>
        <v>0</v>
      </c>
      <c r="M21" s="69">
        <f>SUMIFS('รวมครุภัณฑ์ 70'!Q:Q,'รวมครุภัณฑ์ 70'!C:C,"ครุภัณฑ์ยานพาหนะและขนส่ง",'รวมครุภัณฑ์ 70'!H:H,B21)</f>
        <v>0</v>
      </c>
      <c r="N21" s="69">
        <f>SUMIFS('รวมครุภัณฑ์ 70'!R:R,'รวมครุภัณฑ์ 70'!C:C,"ครุภัณฑ์ยานพาหนะและขนส่ง",'รวมครุภัณฑ์ 70'!H:H,B21)</f>
        <v>0</v>
      </c>
      <c r="O21" s="69">
        <f t="shared" si="7"/>
        <v>0</v>
      </c>
      <c r="P21" s="69">
        <f t="shared" si="8"/>
        <v>0</v>
      </c>
      <c r="Q21" s="72">
        <f>SUM(P19:P42)</f>
        <v>16485500</v>
      </c>
    </row>
    <row r="22" spans="1:17" ht="21">
      <c r="A22" s="71" t="s">
        <v>317</v>
      </c>
      <c r="B22" s="67" t="s">
        <v>411</v>
      </c>
      <c r="C22" s="22">
        <f>SUMIFS('ครุภัณฑ์ 67'!G:G,'ครุภัณฑ์ 67'!C:C,"ยานพาหนะและขนส่ง",'ครุภัณฑ์ 67'!E:E,B22)</f>
        <v>1358000</v>
      </c>
      <c r="D22" s="75">
        <f>SUMIFS('ครุภัณฑ์ 67'!F:F,'ครุภัณฑ์ 67'!C:C,"ยานพาหนะและขนส่ง",'ครุภัณฑ์ 67'!E:E,B22)</f>
        <v>1</v>
      </c>
      <c r="E22" s="22">
        <f t="shared" si="9"/>
        <v>1358000</v>
      </c>
      <c r="F22" s="13">
        <f>SUMIFS('ครุภัณฑ์ 68'!G:G,'ครุภัณฑ์ 68'!C:C,"ยานพาหนะและขนส่ง",'ครุภัณฑ์ 68'!E:E,B22)</f>
        <v>0</v>
      </c>
      <c r="G22" s="13">
        <f>SUMIFS('ครุภัณฑ์ 68'!F:F,'ครุภัณฑ์ 68'!C:C,"ยานพาหนะและขนส่ง",'ครุภัณฑ์ 68'!E:E,B22)</f>
        <v>0</v>
      </c>
      <c r="H22" s="13">
        <f t="shared" si="5"/>
        <v>0</v>
      </c>
      <c r="I22" s="68">
        <f>SUMIFS('ครุภัณฑ์ 69'!G:G,'ครุภัณฑ์ 69'!C:C,"ยานพาหนะและขนส่ง",'ครุภัณฑ์ 69'!E:E,B22)</f>
        <v>0</v>
      </c>
      <c r="J22" s="68">
        <f>SUMIFS('ครุภัณฑ์ 69'!F:F,'ครุภัณฑ์ 69'!C:C,"ยานพาหนะและขนส่ง",'ครุภัณฑ์ 69'!E:E,B22)</f>
        <v>0</v>
      </c>
      <c r="K22" s="68">
        <f t="shared" si="6"/>
        <v>0</v>
      </c>
      <c r="L22" s="69">
        <f>SUMIFS('รวมครุภัณฑ์ 70'!L:L,'รวมครุภัณฑ์ 70'!C:C,"ครุภัณฑ์ยานพาหนะและขนส่ง",'รวมครุภัณฑ์ 70'!H:H,B22)</f>
        <v>0</v>
      </c>
      <c r="M22" s="69">
        <f>SUMIFS('รวมครุภัณฑ์ 70'!Q:Q,'รวมครุภัณฑ์ 70'!C:C,"ครุภัณฑ์ยานพาหนะและขนส่ง",'รวมครุภัณฑ์ 70'!H:H,B22)</f>
        <v>0</v>
      </c>
      <c r="N22" s="69">
        <f>SUMIFS('รวมครุภัณฑ์ 70'!R:R,'รวมครุภัณฑ์ 70'!C:C,"ครุภัณฑ์ยานพาหนะและขนส่ง",'รวมครุภัณฑ์ 70'!H:H,B22)</f>
        <v>0</v>
      </c>
      <c r="O22" s="69">
        <f t="shared" si="7"/>
        <v>0</v>
      </c>
      <c r="P22" s="69">
        <f t="shared" si="8"/>
        <v>0</v>
      </c>
      <c r="Q22" s="70"/>
    </row>
    <row r="23" spans="1:17" ht="21">
      <c r="A23" s="71" t="s">
        <v>320</v>
      </c>
      <c r="B23" s="67" t="s">
        <v>322</v>
      </c>
      <c r="C23" s="22">
        <f>SUMIFS('ครุภัณฑ์ 67'!G:G,'ครุภัณฑ์ 67'!C:C,"ยานพาหนะและขนส่ง",'ครุภัณฑ์ 67'!E:E,B23)</f>
        <v>1090900</v>
      </c>
      <c r="D23" s="75">
        <f>SUMIFS('ครุภัณฑ์ 67'!F:F,'ครุภัณฑ์ 67'!C:C,"ยานพาหนะและขนส่ง",'ครุภัณฑ์ 67'!E:E,B23)</f>
        <v>1</v>
      </c>
      <c r="E23" s="22">
        <f t="shared" si="9"/>
        <v>1090900</v>
      </c>
      <c r="F23" s="13">
        <f>SUMIFS('ครุภัณฑ์ 68'!G:G,'ครุภัณฑ์ 68'!C:C,"ยานพาหนะและขนส่ง",'ครุภัณฑ์ 68'!E:E,B23)</f>
        <v>0</v>
      </c>
      <c r="G23" s="13">
        <f>SUMIFS('ครุภัณฑ์ 68'!F:F,'ครุภัณฑ์ 68'!C:C,"ยานพาหนะและขนส่ง",'ครุภัณฑ์ 68'!E:E,B23)</f>
        <v>0</v>
      </c>
      <c r="H23" s="13">
        <f t="shared" si="5"/>
        <v>0</v>
      </c>
      <c r="I23" s="68">
        <f>SUMIFS('ครุภัณฑ์ 69'!G:G,'ครุภัณฑ์ 69'!C:C,"ยานพาหนะและขนส่ง",'ครุภัณฑ์ 69'!E:E,B23)</f>
        <v>0</v>
      </c>
      <c r="J23" s="68">
        <f>SUMIFS('ครุภัณฑ์ 69'!F:F,'ครุภัณฑ์ 69'!C:C,"ยานพาหนะและขนส่ง",'ครุภัณฑ์ 69'!E:E,B23)</f>
        <v>0</v>
      </c>
      <c r="K23" s="68">
        <f t="shared" si="6"/>
        <v>0</v>
      </c>
      <c r="L23" s="69">
        <f>SUMIFS('รวมครุภัณฑ์ 70'!L:L,'รวมครุภัณฑ์ 70'!C:C,"ครุภัณฑ์ยานพาหนะและขนส่ง",'รวมครุภัณฑ์ 70'!H:H,B23)</f>
        <v>2415800</v>
      </c>
      <c r="M23" s="69">
        <f>SUMIFS('รวมครุภัณฑ์ 70'!Q:Q,'รวมครุภัณฑ์ 70'!C:C,"ครุภัณฑ์ยานพาหนะและขนส่ง",'รวมครุภัณฑ์ 70'!H:H,B23)</f>
        <v>2</v>
      </c>
      <c r="N23" s="69">
        <f>SUMIFS('รวมครุภัณฑ์ 70'!R:R,'รวมครุภัณฑ์ 70'!C:C,"ครุภัณฑ์ยานพาหนะและขนส่ง",'รวมครุภัณฑ์ 70'!H:H,B23)</f>
        <v>0</v>
      </c>
      <c r="O23" s="69">
        <f t="shared" si="7"/>
        <v>2</v>
      </c>
      <c r="P23" s="69">
        <f t="shared" si="8"/>
        <v>2415800</v>
      </c>
      <c r="Q23" s="70"/>
    </row>
    <row r="24" spans="1:17" ht="21">
      <c r="A24" s="71" t="s">
        <v>182</v>
      </c>
      <c r="B24" s="67" t="s">
        <v>185</v>
      </c>
      <c r="C24" s="22">
        <f>SUMIFS('ครุภัณฑ์ 67'!G:G,'ครุภัณฑ์ 67'!C:C,"ยานพาหนะและขนส่ง",'ครุภัณฑ์ 67'!E:E,B24)</f>
        <v>1358000</v>
      </c>
      <c r="D24" s="75">
        <f>SUMIFS('ครุภัณฑ์ 67'!F:F,'ครุภัณฑ์ 67'!C:C,"ยานพาหนะและขนส่ง",'ครุภัณฑ์ 67'!E:E,B24)</f>
        <v>1</v>
      </c>
      <c r="E24" s="22">
        <f t="shared" si="9"/>
        <v>1358000</v>
      </c>
      <c r="F24" s="13">
        <f>SUMIFS('ครุภัณฑ์ 68'!G:G,'ครุภัณฑ์ 68'!C:C,"ยานพาหนะและขนส่ง",'ครุภัณฑ์ 68'!E:E,B24)</f>
        <v>0</v>
      </c>
      <c r="G24" s="13">
        <f>SUMIFS('ครุภัณฑ์ 68'!F:F,'ครุภัณฑ์ 68'!C:C,"ยานพาหนะและขนส่ง",'ครุภัณฑ์ 68'!E:E,B24)</f>
        <v>0</v>
      </c>
      <c r="H24" s="13">
        <f t="shared" si="5"/>
        <v>0</v>
      </c>
      <c r="I24" s="68">
        <f>SUMIFS('ครุภัณฑ์ 69'!G:G,'ครุภัณฑ์ 69'!C:C,"ยานพาหนะและขนส่ง",'ครุภัณฑ์ 69'!E:E,B24)</f>
        <v>0</v>
      </c>
      <c r="J24" s="68">
        <f>SUMIFS('ครุภัณฑ์ 69'!F:F,'ครุภัณฑ์ 69'!C:C,"ยานพาหนะและขนส่ง",'ครุภัณฑ์ 69'!E:E,B24)</f>
        <v>0</v>
      </c>
      <c r="K24" s="68">
        <f t="shared" si="6"/>
        <v>0</v>
      </c>
      <c r="L24" s="69">
        <f>SUMIFS('รวมครุภัณฑ์ 70'!L:L,'รวมครุภัณฑ์ 70'!C:C,"ครุภัณฑ์ยานพาหนะและขนส่ง",'รวมครุภัณฑ์ 70'!H:H,B24)</f>
        <v>0</v>
      </c>
      <c r="M24" s="69">
        <f>SUMIFS('รวมครุภัณฑ์ 70'!Q:Q,'รวมครุภัณฑ์ 70'!C:C,"ครุภัณฑ์ยานพาหนะและขนส่ง",'รวมครุภัณฑ์ 70'!H:H,B24)</f>
        <v>0</v>
      </c>
      <c r="N24" s="69">
        <f>SUMIFS('รวมครุภัณฑ์ 70'!R:R,'รวมครุภัณฑ์ 70'!C:C,"ครุภัณฑ์ยานพาหนะและขนส่ง",'รวมครุภัณฑ์ 70'!H:H,B24)</f>
        <v>0</v>
      </c>
      <c r="O24" s="69">
        <f t="shared" si="7"/>
        <v>0</v>
      </c>
      <c r="P24" s="69">
        <f t="shared" si="8"/>
        <v>0</v>
      </c>
      <c r="Q24" s="70"/>
    </row>
    <row r="25" spans="1:17" ht="21">
      <c r="A25" s="71" t="s">
        <v>46</v>
      </c>
      <c r="B25" s="67" t="s">
        <v>50</v>
      </c>
      <c r="C25" s="22">
        <f>SUMIFS('ครุภัณฑ์ 67'!G:G,'ครุภัณฑ์ 67'!C:C,"ยานพาหนะและขนส่ง",'ครุภัณฑ์ 67'!E:E,B25)</f>
        <v>1090900</v>
      </c>
      <c r="D25" s="75">
        <f>SUMIFS('ครุภัณฑ์ 67'!F:F,'ครุภัณฑ์ 67'!C:C,"ยานพาหนะและขนส่ง",'ครุภัณฑ์ 67'!E:E,B25)</f>
        <v>1</v>
      </c>
      <c r="E25" s="22">
        <f t="shared" si="9"/>
        <v>1090900</v>
      </c>
      <c r="F25" s="13">
        <f>SUMIFS('ครุภัณฑ์ 68'!G:G,'ครุภัณฑ์ 68'!C:C,"ยานพาหนะและขนส่ง",'ครุภัณฑ์ 68'!E:E,B25)</f>
        <v>0</v>
      </c>
      <c r="G25" s="13">
        <f>SUMIFS('ครุภัณฑ์ 68'!F:F,'ครุภัณฑ์ 68'!C:C,"ยานพาหนะและขนส่ง",'ครุภัณฑ์ 68'!E:E,B25)</f>
        <v>0</v>
      </c>
      <c r="H25" s="13">
        <f t="shared" si="5"/>
        <v>0</v>
      </c>
      <c r="I25" s="68">
        <f>SUMIFS('ครุภัณฑ์ 69'!G:G,'ครุภัณฑ์ 69'!C:C,"ยานพาหนะและขนส่ง",'ครุภัณฑ์ 69'!E:E,B25)</f>
        <v>0</v>
      </c>
      <c r="J25" s="68">
        <f>SUMIFS('ครุภัณฑ์ 69'!F:F,'ครุภัณฑ์ 69'!C:C,"ยานพาหนะและขนส่ง",'ครุภัณฑ์ 69'!E:E,B25)</f>
        <v>0</v>
      </c>
      <c r="K25" s="68">
        <f t="shared" si="6"/>
        <v>0</v>
      </c>
      <c r="L25" s="69">
        <f>SUMIFS('รวมครุภัณฑ์ 70'!L:L,'รวมครุภัณฑ์ 70'!C:C,"ครุภัณฑ์ยานพาหนะและขนส่ง",'รวมครุภัณฑ์ 70'!H:H,B25)</f>
        <v>2975000</v>
      </c>
      <c r="M25" s="69">
        <f>SUMIFS('รวมครุภัณฑ์ 70'!Q:Q,'รวมครุภัณฑ์ 70'!C:C,"ครุภัณฑ์ยานพาหนะและขนส่ง",'รวมครุภัณฑ์ 70'!H:H,B25)</f>
        <v>1</v>
      </c>
      <c r="N25" s="69">
        <f>SUMIFS('รวมครุภัณฑ์ 70'!R:R,'รวมครุภัณฑ์ 70'!C:C,"ครุภัณฑ์ยานพาหนะและขนส่ง",'รวมครุภัณฑ์ 70'!H:H,B25)</f>
        <v>1</v>
      </c>
      <c r="O25" s="69">
        <f t="shared" si="7"/>
        <v>2</v>
      </c>
      <c r="P25" s="69">
        <f t="shared" si="8"/>
        <v>2975000</v>
      </c>
      <c r="Q25" s="70"/>
    </row>
    <row r="26" spans="1:17" ht="21">
      <c r="A26" s="71" t="s">
        <v>46</v>
      </c>
      <c r="B26" s="67" t="s">
        <v>1178</v>
      </c>
      <c r="C26" s="22">
        <f>SUMIFS('ครุภัณฑ์ 67'!G:G,'ครุภัณฑ์ 67'!C:C,"ยานพาหนะและขนส่ง",'ครุภัณฑ์ 67'!E:E,B26)</f>
        <v>0</v>
      </c>
      <c r="D26" s="75">
        <f>SUMIFS('ครุภัณฑ์ 67'!F:F,'ครุภัณฑ์ 67'!C:C,"ยานพาหนะและขนส่ง",'ครุภัณฑ์ 67'!E:E,B26)</f>
        <v>0</v>
      </c>
      <c r="E26" s="22">
        <f t="shared" si="9"/>
        <v>0</v>
      </c>
      <c r="F26" s="13">
        <f>SUMIFS('ครุภัณฑ์ 68'!G:G,'ครุภัณฑ์ 68'!C:C,"ยานพาหนะและขนส่ง",'ครุภัณฑ์ 68'!E:E,B26)</f>
        <v>0</v>
      </c>
      <c r="G26" s="13">
        <f>SUMIFS('ครุภัณฑ์ 68'!F:F,'ครุภัณฑ์ 68'!C:C,"ยานพาหนะและขนส่ง",'ครุภัณฑ์ 68'!E:E,B26)</f>
        <v>0</v>
      </c>
      <c r="H26" s="13">
        <f t="shared" si="5"/>
        <v>0</v>
      </c>
      <c r="I26" s="68">
        <f>SUMIFS('ครุภัณฑ์ 69'!G:G,'ครุภัณฑ์ 69'!C:C,"ยานพาหนะและขนส่ง",'ครุภัณฑ์ 69'!E:E,B26)</f>
        <v>0</v>
      </c>
      <c r="J26" s="68">
        <f>SUMIFS('ครุภัณฑ์ 69'!F:F,'ครุภัณฑ์ 69'!C:C,"ยานพาหนะและขนส่ง",'ครุภัณฑ์ 69'!E:E,B26)</f>
        <v>0</v>
      </c>
      <c r="K26" s="68">
        <f t="shared" si="6"/>
        <v>0</v>
      </c>
      <c r="L26" s="69">
        <f>SUMIFS('รวมครุภัณฑ์ 70'!L:L,'รวมครุภัณฑ์ 70'!C:C,"ครุภัณฑ์ยานพาหนะและขนส่ง",'รวมครุภัณฑ์ 70'!H:H,B26)</f>
        <v>0</v>
      </c>
      <c r="M26" s="69">
        <f>SUMIFS('รวมครุภัณฑ์ 70'!Q:Q,'รวมครุภัณฑ์ 70'!C:C,"ครุภัณฑ์ยานพาหนะและขนส่ง",'รวมครุภัณฑ์ 70'!H:H,B26)</f>
        <v>0</v>
      </c>
      <c r="N26" s="69">
        <f>SUMIFS('รวมครุภัณฑ์ 70'!R:R,'รวมครุภัณฑ์ 70'!C:C,"ครุภัณฑ์ยานพาหนะและขนส่ง",'รวมครุภัณฑ์ 70'!H:H,B26)</f>
        <v>0</v>
      </c>
      <c r="O26" s="69">
        <f t="shared" si="7"/>
        <v>0</v>
      </c>
      <c r="P26" s="69">
        <f t="shared" si="8"/>
        <v>0</v>
      </c>
      <c r="Q26" s="70"/>
    </row>
    <row r="27" spans="1:17" ht="21">
      <c r="A27" s="71" t="s">
        <v>46</v>
      </c>
      <c r="B27" s="67" t="s">
        <v>48</v>
      </c>
      <c r="C27" s="22">
        <f>SUMIFS('ครุภัณฑ์ 67'!G:G,'ครุภัณฑ์ 67'!C:C,"ยานพาหนะและขนส่ง",'ครุภัณฑ์ 67'!E:E,B27)</f>
        <v>0</v>
      </c>
      <c r="D27" s="75">
        <f>SUMIFS('ครุภัณฑ์ 67'!F:F,'ครุภัณฑ์ 67'!C:C,"ยานพาหนะและขนส่ง",'ครุภัณฑ์ 67'!E:E,B27)</f>
        <v>0</v>
      </c>
      <c r="E27" s="22">
        <f t="shared" si="9"/>
        <v>0</v>
      </c>
      <c r="F27" s="13">
        <f>SUMIFS('ครุภัณฑ์ 68'!G:G,'ครุภัณฑ์ 68'!C:C,"ยานพาหนะและขนส่ง",'ครุภัณฑ์ 68'!E:E,B27)</f>
        <v>0</v>
      </c>
      <c r="G27" s="13">
        <f>SUMIFS('ครุภัณฑ์ 68'!F:F,'ครุภัณฑ์ 68'!C:C,"ยานพาหนะและขนส่ง",'ครุภัณฑ์ 68'!E:E,B27)</f>
        <v>0</v>
      </c>
      <c r="H27" s="13">
        <f t="shared" si="5"/>
        <v>0</v>
      </c>
      <c r="I27" s="68">
        <f>SUMIFS('ครุภัณฑ์ 69'!G:G,'ครุภัณฑ์ 69'!C:C,"ยานพาหนะและขนส่ง",'ครุภัณฑ์ 69'!E:E,B27)</f>
        <v>1941800</v>
      </c>
      <c r="J27" s="68">
        <f>SUMIFS('ครุภัณฑ์ 69'!F:F,'ครุภัณฑ์ 69'!C:C,"ยานพาหนะและขนส่ง",'ครุภัณฑ์ 69'!E:E,B27)</f>
        <v>2</v>
      </c>
      <c r="K27" s="68">
        <f t="shared" si="6"/>
        <v>1941800</v>
      </c>
      <c r="L27" s="69">
        <f>SUMIFS('รวมครุภัณฑ์ 70'!L:L,'รวมครุภัณฑ์ 70'!C:C,"ครุภัณฑ์ยานพาหนะและขนส่ง",'รวมครุภัณฑ์ 70'!H:H,B27)</f>
        <v>0</v>
      </c>
      <c r="M27" s="69">
        <f>SUMIFS('รวมครุภัณฑ์ 70'!Q:Q,'รวมครุภัณฑ์ 70'!C:C,"ครุภัณฑ์ยานพาหนะและขนส่ง",'รวมครุภัณฑ์ 70'!H:H,B27)</f>
        <v>0</v>
      </c>
      <c r="N27" s="69">
        <f>SUMIFS('รวมครุภัณฑ์ 70'!R:R,'รวมครุภัณฑ์ 70'!C:C,"ครุภัณฑ์ยานพาหนะและขนส่ง",'รวมครุภัณฑ์ 70'!H:H,B27)</f>
        <v>0</v>
      </c>
      <c r="O27" s="69">
        <f t="shared" si="7"/>
        <v>0</v>
      </c>
      <c r="P27" s="69">
        <f t="shared" si="8"/>
        <v>0</v>
      </c>
      <c r="Q27" s="70"/>
    </row>
    <row r="28" spans="1:17" ht="21">
      <c r="A28" s="71" t="s">
        <v>443</v>
      </c>
      <c r="B28" s="67" t="s">
        <v>455</v>
      </c>
      <c r="C28" s="22">
        <f>SUMIFS('ครุภัณฑ์ 67'!G:G,'ครุภัณฑ์ 67'!C:C,"ยานพาหนะและขนส่ง",'ครุภัณฑ์ 67'!E:E,B28)</f>
        <v>0</v>
      </c>
      <c r="D28" s="75">
        <f>SUMIFS('ครุภัณฑ์ 67'!F:F,'ครุภัณฑ์ 67'!C:C,"ยานพาหนะและขนส่ง",'ครุภัณฑ์ 67'!E:E,B28)</f>
        <v>0</v>
      </c>
      <c r="E28" s="22">
        <f t="shared" si="9"/>
        <v>0</v>
      </c>
      <c r="F28" s="13">
        <f>SUMIFS('ครุภัณฑ์ 68'!G:G,'ครุภัณฑ์ 68'!C:C,"ยานพาหนะและขนส่ง",'ครุภัณฑ์ 68'!E:E,B28)</f>
        <v>0</v>
      </c>
      <c r="G28" s="13">
        <f>SUMIFS('ครุภัณฑ์ 68'!F:F,'ครุภัณฑ์ 68'!C:C,"ยานพาหนะและขนส่ง",'ครุภัณฑ์ 68'!E:E,B28)</f>
        <v>0</v>
      </c>
      <c r="H28" s="13">
        <f t="shared" si="5"/>
        <v>0</v>
      </c>
      <c r="I28" s="68">
        <f>SUMIFS('ครุภัณฑ์ 69'!G:G,'ครุภัณฑ์ 69'!C:C,"ยานพาหนะและขนส่ง",'ครุภัณฑ์ 69'!E:E,B28)</f>
        <v>0</v>
      </c>
      <c r="J28" s="68">
        <f>SUMIFS('ครุภัณฑ์ 69'!F:F,'ครุภัณฑ์ 69'!C:C,"ยานพาหนะและขนส่ง",'ครุภัณฑ์ 69'!E:E,B28)</f>
        <v>0</v>
      </c>
      <c r="K28" s="68">
        <f t="shared" si="6"/>
        <v>0</v>
      </c>
      <c r="L28" s="69">
        <f>SUMIFS('รวมครุภัณฑ์ 70'!L:L,'รวมครุภัณฑ์ 70'!C:C,"ครุภัณฑ์ยานพาหนะและขนส่ง",'รวมครุภัณฑ์ 70'!H:H,B28)</f>
        <v>1207900</v>
      </c>
      <c r="M28" s="69">
        <f>SUMIFS('รวมครุภัณฑ์ 70'!Q:Q,'รวมครุภัณฑ์ 70'!C:C,"ครุภัณฑ์ยานพาหนะและขนส่ง",'รวมครุภัณฑ์ 70'!H:H,B28)</f>
        <v>1</v>
      </c>
      <c r="N28" s="69">
        <f>SUMIFS('รวมครุภัณฑ์ 70'!R:R,'รวมครุภัณฑ์ 70'!C:C,"ครุภัณฑ์ยานพาหนะและขนส่ง",'รวมครุภัณฑ์ 70'!H:H,B28)</f>
        <v>0</v>
      </c>
      <c r="O28" s="69">
        <f t="shared" si="7"/>
        <v>1</v>
      </c>
      <c r="P28" s="69">
        <f t="shared" si="8"/>
        <v>1207900</v>
      </c>
      <c r="Q28" s="70"/>
    </row>
    <row r="29" spans="1:17" ht="21">
      <c r="A29" s="71" t="s">
        <v>326</v>
      </c>
      <c r="B29" s="67" t="s">
        <v>329</v>
      </c>
      <c r="C29" s="22">
        <f>SUMIFS('ครุภัณฑ์ 67'!G:G,'ครุภัณฑ์ 67'!C:C,"ยานพาหนะและขนส่ง",'ครุภัณฑ์ 67'!E:E,B29)</f>
        <v>3539800</v>
      </c>
      <c r="D29" s="75">
        <f>SUMIFS('ครุภัณฑ์ 67'!F:F,'ครุภัณฑ์ 67'!C:C,"ยานพาหนะและขนส่ง",'ครุภัณฑ์ 67'!E:E,B29)</f>
        <v>3</v>
      </c>
      <c r="E29" s="22">
        <f t="shared" si="9"/>
        <v>3539800</v>
      </c>
      <c r="F29" s="13">
        <f>SUMIFS('ครุภัณฑ์ 68'!G:G,'ครุภัณฑ์ 68'!C:C,"ยานพาหนะและขนส่ง",'ครุภัณฑ์ 68'!E:E,B29)</f>
        <v>0</v>
      </c>
      <c r="G29" s="13">
        <f>SUMIFS('ครุภัณฑ์ 68'!F:F,'ครุภัณฑ์ 68'!C:C,"ยานพาหนะและขนส่ง",'ครุภัณฑ์ 68'!E:E,B29)</f>
        <v>0</v>
      </c>
      <c r="H29" s="13">
        <f t="shared" si="5"/>
        <v>0</v>
      </c>
      <c r="I29" s="68">
        <f>SUMIFS('ครุภัณฑ์ 69'!G:G,'ครุภัณฑ์ 69'!C:C,"ยานพาหนะและขนส่ง",'ครุภัณฑ์ 69'!E:E,B29)</f>
        <v>0</v>
      </c>
      <c r="J29" s="68">
        <f>SUMIFS('ครุภัณฑ์ 69'!F:F,'ครุภัณฑ์ 69'!C:C,"ยานพาหนะและขนส่ง",'ครุภัณฑ์ 69'!E:E,B29)</f>
        <v>0</v>
      </c>
      <c r="K29" s="68">
        <f t="shared" si="6"/>
        <v>0</v>
      </c>
      <c r="L29" s="69">
        <f>SUMIFS('รวมครุภัณฑ์ 70'!L:L,'รวมครุภัณฑ์ 70'!C:C,"ครุภัณฑ์ยานพาหนะและขนส่ง",'รวมครุภัณฑ์ 70'!H:H,B29)</f>
        <v>0</v>
      </c>
      <c r="M29" s="69">
        <f>SUMIFS('รวมครุภัณฑ์ 70'!Q:Q,'รวมครุภัณฑ์ 70'!C:C,"ครุภัณฑ์ยานพาหนะและขนส่ง",'รวมครุภัณฑ์ 70'!H:H,B29)</f>
        <v>0</v>
      </c>
      <c r="N29" s="69">
        <f>SUMIFS('รวมครุภัณฑ์ 70'!R:R,'รวมครุภัณฑ์ 70'!C:C,"ครุภัณฑ์ยานพาหนะและขนส่ง",'รวมครุภัณฑ์ 70'!H:H,B29)</f>
        <v>0</v>
      </c>
      <c r="O29" s="69">
        <f t="shared" si="7"/>
        <v>0</v>
      </c>
      <c r="P29" s="69">
        <f t="shared" si="8"/>
        <v>0</v>
      </c>
      <c r="Q29" s="70"/>
    </row>
    <row r="30" spans="1:17" ht="21">
      <c r="A30" s="71" t="s">
        <v>442</v>
      </c>
      <c r="B30" s="67" t="s">
        <v>456</v>
      </c>
      <c r="C30" s="22">
        <f>SUMIFS('ครุภัณฑ์ 67'!G:G,'ครุภัณฑ์ 67'!C:C,"ยานพาหนะและขนส่ง",'ครุภัณฑ์ 67'!E:E,B30)</f>
        <v>0</v>
      </c>
      <c r="D30" s="75">
        <f>SUMIFS('ครุภัณฑ์ 67'!F:F,'ครุภัณฑ์ 67'!C:C,"ยานพาหนะและขนส่ง",'ครุภัณฑ์ 67'!E:E,B30)</f>
        <v>0</v>
      </c>
      <c r="E30" s="22">
        <f t="shared" si="9"/>
        <v>0</v>
      </c>
      <c r="F30" s="13">
        <f>SUMIFS('ครุภัณฑ์ 68'!G:G,'ครุภัณฑ์ 68'!C:C,"ยานพาหนะและขนส่ง",'ครุภัณฑ์ 68'!E:E,B30)</f>
        <v>0</v>
      </c>
      <c r="G30" s="13">
        <f>SUMIFS('ครุภัณฑ์ 68'!F:F,'ครุภัณฑ์ 68'!C:C,"ยานพาหนะและขนส่ง",'ครุภัณฑ์ 68'!E:E,B30)</f>
        <v>0</v>
      </c>
      <c r="H30" s="13">
        <f t="shared" si="5"/>
        <v>0</v>
      </c>
      <c r="I30" s="68">
        <f>SUMIFS('ครุภัณฑ์ 69'!G:G,'ครุภัณฑ์ 69'!C:C,"ยานพาหนะและขนส่ง",'ครุภัณฑ์ 69'!E:E,B30)</f>
        <v>0</v>
      </c>
      <c r="J30" s="68">
        <f>SUMIFS('ครุภัณฑ์ 69'!F:F,'ครุภัณฑ์ 69'!C:C,"ยานพาหนะและขนส่ง",'ครุภัณฑ์ 69'!E:E,B30)</f>
        <v>0</v>
      </c>
      <c r="K30" s="68">
        <f t="shared" si="6"/>
        <v>0</v>
      </c>
      <c r="L30" s="69">
        <f>SUMIFS('รวมครุภัณฑ์ 70'!L:L,'รวมครุภัณฑ์ 70'!C:C,"ครุภัณฑ์ยานพาหนะและขนส่ง",'รวมครุภัณฑ์ 70'!H:H,B30)</f>
        <v>0</v>
      </c>
      <c r="M30" s="69">
        <f>SUMIFS('รวมครุภัณฑ์ 70'!Q:Q,'รวมครุภัณฑ์ 70'!C:C,"ครุภัณฑ์ยานพาหนะและขนส่ง",'รวมครุภัณฑ์ 70'!H:H,B30)</f>
        <v>0</v>
      </c>
      <c r="N30" s="69">
        <f>SUMIFS('รวมครุภัณฑ์ 70'!R:R,'รวมครุภัณฑ์ 70'!C:C,"ครุภัณฑ์ยานพาหนะและขนส่ง",'รวมครุภัณฑ์ 70'!H:H,B30)</f>
        <v>0</v>
      </c>
      <c r="O30" s="69">
        <f t="shared" si="7"/>
        <v>0</v>
      </c>
      <c r="P30" s="69">
        <f t="shared" si="8"/>
        <v>0</v>
      </c>
      <c r="Q30" s="70"/>
    </row>
    <row r="31" spans="1:17" ht="21">
      <c r="A31" s="71" t="s">
        <v>424</v>
      </c>
      <c r="B31" s="67" t="s">
        <v>426</v>
      </c>
      <c r="C31" s="22">
        <f>SUMIFS('ครุภัณฑ์ 67'!G:G,'ครุภัณฑ์ 67'!C:C,"ยานพาหนะและขนส่ง",'ครุภัณฑ์ 67'!E:E,B31)</f>
        <v>0</v>
      </c>
      <c r="D31" s="75">
        <f>SUMIFS('ครุภัณฑ์ 67'!F:F,'ครุภัณฑ์ 67'!C:C,"ยานพาหนะและขนส่ง",'ครุภัณฑ์ 67'!E:E,B31)</f>
        <v>0</v>
      </c>
      <c r="E31" s="22">
        <f t="shared" si="9"/>
        <v>0</v>
      </c>
      <c r="F31" s="13">
        <f>SUMIFS('ครุภัณฑ์ 68'!G:G,'ครุภัณฑ์ 68'!C:C,"ยานพาหนะและขนส่ง",'ครุภัณฑ์ 68'!E:E,B31)</f>
        <v>0</v>
      </c>
      <c r="G31" s="13">
        <f>SUMIFS('ครุภัณฑ์ 68'!F:F,'ครุภัณฑ์ 68'!C:C,"ยานพาหนะและขนส่ง",'ครุภัณฑ์ 68'!E:E,B31)</f>
        <v>0</v>
      </c>
      <c r="H31" s="13">
        <f t="shared" si="5"/>
        <v>0</v>
      </c>
      <c r="I31" s="68">
        <f>SUMIFS('ครุภัณฑ์ 69'!G:G,'ครุภัณฑ์ 69'!C:C,"ยานพาหนะและขนส่ง",'ครุภัณฑ์ 69'!E:E,B31)</f>
        <v>0</v>
      </c>
      <c r="J31" s="68">
        <f>SUMIFS('ครุภัณฑ์ 69'!F:F,'ครุภัณฑ์ 69'!C:C,"ยานพาหนะและขนส่ง",'ครุภัณฑ์ 69'!E:E,B31)</f>
        <v>0</v>
      </c>
      <c r="K31" s="68">
        <f t="shared" si="6"/>
        <v>0</v>
      </c>
      <c r="L31" s="69">
        <f>SUMIFS('รวมครุภัณฑ์ 70'!L:L,'รวมครุภัณฑ์ 70'!C:C,"ครุภัณฑ์ยานพาหนะและขนส่ง",'รวมครุภัณฑ์ 70'!H:H,B31)</f>
        <v>0</v>
      </c>
      <c r="M31" s="69">
        <f>SUMIFS('รวมครุภัณฑ์ 70'!Q:Q,'รวมครุภัณฑ์ 70'!C:C,"ครุภัณฑ์ยานพาหนะและขนส่ง",'รวมครุภัณฑ์ 70'!H:H,B31)</f>
        <v>0</v>
      </c>
      <c r="N31" s="69">
        <f>SUMIFS('รวมครุภัณฑ์ 70'!R:R,'รวมครุภัณฑ์ 70'!C:C,"ครุภัณฑ์ยานพาหนะและขนส่ง",'รวมครุภัณฑ์ 70'!H:H,B31)</f>
        <v>0</v>
      </c>
      <c r="O31" s="69">
        <f t="shared" si="7"/>
        <v>0</v>
      </c>
      <c r="P31" s="69">
        <f t="shared" si="8"/>
        <v>0</v>
      </c>
      <c r="Q31" s="70"/>
    </row>
    <row r="32" spans="1:17" ht="21">
      <c r="A32" s="71" t="s">
        <v>51</v>
      </c>
      <c r="B32" s="67" t="s">
        <v>53</v>
      </c>
      <c r="C32" s="22">
        <f>SUMIFS('ครุภัณฑ์ 67'!G:G,'ครุภัณฑ์ 67'!C:C,"ยานพาหนะและขนส่ง",'ครุภัณฑ์ 67'!E:E,B32)</f>
        <v>0</v>
      </c>
      <c r="D32" s="75">
        <f>SUMIFS('ครุภัณฑ์ 67'!F:F,'ครุภัณฑ์ 67'!C:C,"ยานพาหนะและขนส่ง",'ครุภัณฑ์ 67'!E:E,B32)</f>
        <v>0</v>
      </c>
      <c r="E32" s="22">
        <f t="shared" si="9"/>
        <v>0</v>
      </c>
      <c r="F32" s="13">
        <f>SUMIFS('ครุภัณฑ์ 68'!G:G,'ครุภัณฑ์ 68'!C:C,"ยานพาหนะและขนส่ง",'ครุภัณฑ์ 68'!E:E,B32)</f>
        <v>0</v>
      </c>
      <c r="G32" s="13">
        <f>SUMIFS('ครุภัณฑ์ 68'!F:F,'ครุภัณฑ์ 68'!C:C,"ยานพาหนะและขนส่ง",'ครุภัณฑ์ 68'!E:E,B32)</f>
        <v>0</v>
      </c>
      <c r="H32" s="13">
        <f t="shared" si="5"/>
        <v>0</v>
      </c>
      <c r="I32" s="68">
        <f>SUMIFS('ครุภัณฑ์ 69'!G:G,'ครุภัณฑ์ 69'!C:C,"ยานพาหนะและขนส่ง",'ครุภัณฑ์ 69'!E:E,B32)</f>
        <v>970900</v>
      </c>
      <c r="J32" s="68">
        <f>SUMIFS('ครุภัณฑ์ 69'!F:F,'ครุภัณฑ์ 69'!C:C,"ยานพาหนะและขนส่ง",'ครุภัณฑ์ 69'!E:E,B32)</f>
        <v>1</v>
      </c>
      <c r="K32" s="68">
        <f t="shared" si="6"/>
        <v>970900</v>
      </c>
      <c r="L32" s="69">
        <f>SUMIFS('รวมครุภัณฑ์ 70'!L:L,'รวมครุภัณฑ์ 70'!C:C,"ครุภัณฑ์ยานพาหนะและขนส่ง",'รวมครุภัณฑ์ 70'!H:H,B32)</f>
        <v>52000</v>
      </c>
      <c r="M32" s="69">
        <f>SUMIFS('รวมครุภัณฑ์ 70'!Q:Q,'รวมครุภัณฑ์ 70'!C:C,"ครุภัณฑ์ยานพาหนะและขนส่ง",'รวมครุภัณฑ์ 70'!H:H,B32)</f>
        <v>1</v>
      </c>
      <c r="N32" s="69">
        <f>SUMIFS('รวมครุภัณฑ์ 70'!R:R,'รวมครุภัณฑ์ 70'!C:C,"ครุภัณฑ์ยานพาหนะและขนส่ง",'รวมครุภัณฑ์ 70'!H:H,B32)</f>
        <v>0</v>
      </c>
      <c r="O32" s="69">
        <f t="shared" si="7"/>
        <v>1</v>
      </c>
      <c r="P32" s="69">
        <f t="shared" si="8"/>
        <v>52000</v>
      </c>
      <c r="Q32" s="70"/>
    </row>
    <row r="33" spans="1:19" ht="21">
      <c r="A33" s="71" t="s">
        <v>188</v>
      </c>
      <c r="B33" s="67" t="s">
        <v>190</v>
      </c>
      <c r="C33" s="22">
        <f>SUMIFS('ครุภัณฑ์ 67'!G:G,'ครุภัณฑ์ 67'!C:C,"ยานพาหนะและขนส่ง",'ครุภัณฑ์ 67'!E:E,B33)</f>
        <v>1090900</v>
      </c>
      <c r="D33" s="75">
        <f>SUMIFS('ครุภัณฑ์ 67'!F:F,'ครุภัณฑ์ 67'!C:C,"ยานพาหนะและขนส่ง",'ครุภัณฑ์ 67'!E:E,B33)</f>
        <v>1</v>
      </c>
      <c r="E33" s="22">
        <f t="shared" si="9"/>
        <v>1090900</v>
      </c>
      <c r="F33" s="13">
        <f>SUMIFS('ครุภัณฑ์ 68'!G:G,'ครุภัณฑ์ 68'!C:C,"ยานพาหนะและขนส่ง",'ครุภัณฑ์ 68'!E:E,B33)</f>
        <v>1358000</v>
      </c>
      <c r="G33" s="13">
        <f>SUMIFS('ครุภัณฑ์ 68'!F:F,'ครุภัณฑ์ 68'!C:C,"ยานพาหนะและขนส่ง",'ครุภัณฑ์ 68'!E:E,B33)</f>
        <v>1</v>
      </c>
      <c r="H33" s="13">
        <f t="shared" si="5"/>
        <v>1358000</v>
      </c>
      <c r="I33" s="68">
        <f>SUMIFS('ครุภัณฑ์ 69'!G:G,'ครุภัณฑ์ 69'!C:C,"ยานพาหนะและขนส่ง",'ครุภัณฑ์ 69'!E:E,B33)</f>
        <v>0</v>
      </c>
      <c r="J33" s="68">
        <f>SUMIFS('ครุภัณฑ์ 69'!F:F,'ครุภัณฑ์ 69'!C:C,"ยานพาหนะและขนส่ง",'ครุภัณฑ์ 69'!E:E,B33)</f>
        <v>0</v>
      </c>
      <c r="K33" s="68">
        <f t="shared" si="6"/>
        <v>0</v>
      </c>
      <c r="L33" s="69">
        <f>SUMIFS('รวมครุภัณฑ์ 70'!L:L,'รวมครุภัณฑ์ 70'!C:C,"ครุภัณฑ์ยานพาหนะและขนส่ง",'รวมครุภัณฑ์ 70'!H:H,B33)</f>
        <v>0</v>
      </c>
      <c r="M33" s="69">
        <f>SUMIFS('รวมครุภัณฑ์ 70'!Q:Q,'รวมครุภัณฑ์ 70'!C:C,"ครุภัณฑ์ยานพาหนะและขนส่ง",'รวมครุภัณฑ์ 70'!H:H,B33)</f>
        <v>0</v>
      </c>
      <c r="N33" s="69">
        <f>SUMIFS('รวมครุภัณฑ์ 70'!R:R,'รวมครุภัณฑ์ 70'!C:C,"ครุภัณฑ์ยานพาหนะและขนส่ง",'รวมครุภัณฑ์ 70'!H:H,B33)</f>
        <v>0</v>
      </c>
      <c r="O33" s="69">
        <f t="shared" si="7"/>
        <v>0</v>
      </c>
      <c r="P33" s="69">
        <f t="shared" si="8"/>
        <v>0</v>
      </c>
      <c r="Q33" s="70"/>
    </row>
    <row r="34" spans="1:19" ht="21">
      <c r="A34" s="71" t="s">
        <v>54</v>
      </c>
      <c r="B34" s="67" t="s">
        <v>56</v>
      </c>
      <c r="C34" s="22">
        <f>SUMIFS('ครุภัณฑ์ 67'!G:G,'ครุภัณฑ์ 67'!C:C,"ยานพาหนะและขนส่ง",'ครุภัณฑ์ 67'!E:E,B34)</f>
        <v>0</v>
      </c>
      <c r="D34" s="75">
        <f>SUMIFS('ครุภัณฑ์ 67'!F:F,'ครุภัณฑ์ 67'!C:C,"ยานพาหนะและขนส่ง",'ครุภัณฑ์ 67'!E:E,B34)</f>
        <v>0</v>
      </c>
      <c r="E34" s="22">
        <f t="shared" si="9"/>
        <v>0</v>
      </c>
      <c r="F34" s="13">
        <f>SUMIFS('ครุภัณฑ์ 68'!G:G,'ครุภัณฑ์ 68'!C:C,"ยานพาหนะและขนส่ง",'ครุภัณฑ์ 68'!E:E,B34)</f>
        <v>0</v>
      </c>
      <c r="G34" s="13">
        <f>SUMIFS('ครุภัณฑ์ 68'!F:F,'ครุภัณฑ์ 68'!C:C,"ยานพาหนะและขนส่ง",'ครุภัณฑ์ 68'!E:E,B34)</f>
        <v>0</v>
      </c>
      <c r="H34" s="13">
        <f t="shared" si="5"/>
        <v>0</v>
      </c>
      <c r="I34" s="68">
        <f>SUMIFS('ครุภัณฑ์ 69'!G:G,'ครุภัณฑ์ 69'!C:C,"ยานพาหนะและขนส่ง",'ครุภัณฑ์ 69'!E:E,B34)</f>
        <v>0</v>
      </c>
      <c r="J34" s="68">
        <f>SUMIFS('ครุภัณฑ์ 69'!F:F,'ครุภัณฑ์ 69'!C:C,"ยานพาหนะและขนส่ง",'ครุภัณฑ์ 69'!E:E,B34)</f>
        <v>0</v>
      </c>
      <c r="K34" s="68">
        <f t="shared" si="6"/>
        <v>0</v>
      </c>
      <c r="L34" s="69">
        <f>SUMIFS('รวมครุภัณฑ์ 70'!L:L,'รวมครุภัณฑ์ 70'!C:C,"ครุภัณฑ์ยานพาหนะและขนส่ง",'รวมครุภัณฑ์ 70'!H:H,B34)</f>
        <v>0</v>
      </c>
      <c r="M34" s="69">
        <f>SUMIFS('รวมครุภัณฑ์ 70'!Q:Q,'รวมครุภัณฑ์ 70'!C:C,"ครุภัณฑ์ยานพาหนะและขนส่ง",'รวมครุภัณฑ์ 70'!H:H,B34)</f>
        <v>0</v>
      </c>
      <c r="N34" s="69">
        <f>SUMIFS('รวมครุภัณฑ์ 70'!R:R,'รวมครุภัณฑ์ 70'!C:C,"ครุภัณฑ์ยานพาหนะและขนส่ง",'รวมครุภัณฑ์ 70'!H:H,B34)</f>
        <v>0</v>
      </c>
      <c r="O34" s="69">
        <f t="shared" si="7"/>
        <v>0</v>
      </c>
      <c r="P34" s="69">
        <f t="shared" si="8"/>
        <v>0</v>
      </c>
      <c r="Q34" s="70"/>
    </row>
    <row r="35" spans="1:19" ht="21">
      <c r="A35" s="71" t="s">
        <v>193</v>
      </c>
      <c r="B35" s="67" t="s">
        <v>195</v>
      </c>
      <c r="C35" s="22">
        <f>SUMIFS('ครุภัณฑ์ 67'!G:G,'ครุภัณฑ์ 67'!C:C,"ยานพาหนะและขนส่ง",'ครุภัณฑ์ 67'!E:E,B35)</f>
        <v>1090900</v>
      </c>
      <c r="D35" s="75">
        <f>SUMIFS('ครุภัณฑ์ 67'!F:F,'ครุภัณฑ์ 67'!C:C,"ยานพาหนะและขนส่ง",'ครุภัณฑ์ 67'!E:E,B35)</f>
        <v>1</v>
      </c>
      <c r="E35" s="22">
        <f t="shared" si="9"/>
        <v>1090900</v>
      </c>
      <c r="F35" s="13">
        <f>SUMIFS('ครุภัณฑ์ 68'!G:G,'ครุภัณฑ์ 68'!C:C,"ยานพาหนะและขนส่ง",'ครุภัณฑ์ 68'!E:E,B35)</f>
        <v>1358000</v>
      </c>
      <c r="G35" s="13">
        <f>SUMIFS('ครุภัณฑ์ 68'!F:F,'ครุภัณฑ์ 68'!C:C,"ยานพาหนะและขนส่ง",'ครุภัณฑ์ 68'!E:E,B35)</f>
        <v>1</v>
      </c>
      <c r="H35" s="13">
        <f t="shared" si="5"/>
        <v>1358000</v>
      </c>
      <c r="I35" s="68">
        <f>SUMIFS('ครุภัณฑ์ 69'!G:G,'ครุภัณฑ์ 69'!C:C,"ยานพาหนะและขนส่ง",'ครุภัณฑ์ 69'!E:E,B35)</f>
        <v>0</v>
      </c>
      <c r="J35" s="68">
        <f>SUMIFS('ครุภัณฑ์ 69'!F:F,'ครุภัณฑ์ 69'!C:C,"ยานพาหนะและขนส่ง",'ครุภัณฑ์ 69'!E:E,B35)</f>
        <v>0</v>
      </c>
      <c r="K35" s="68">
        <f t="shared" si="6"/>
        <v>0</v>
      </c>
      <c r="L35" s="69">
        <f>SUMIFS('รวมครุภัณฑ์ 70'!L:L,'รวมครุภัณฑ์ 70'!C:C,"ครุภัณฑ์ยานพาหนะและขนส่ง",'รวมครุภัณฑ์ 70'!H:H,B35)</f>
        <v>0</v>
      </c>
      <c r="M35" s="69">
        <f>SUMIFS('รวมครุภัณฑ์ 70'!Q:Q,'รวมครุภัณฑ์ 70'!C:C,"ครุภัณฑ์ยานพาหนะและขนส่ง",'รวมครุภัณฑ์ 70'!H:H,B35)</f>
        <v>0</v>
      </c>
      <c r="N35" s="69">
        <f>SUMIFS('รวมครุภัณฑ์ 70'!R:R,'รวมครุภัณฑ์ 70'!C:C,"ครุภัณฑ์ยานพาหนะและขนส่ง",'รวมครุภัณฑ์ 70'!H:H,B35)</f>
        <v>0</v>
      </c>
      <c r="O35" s="69">
        <f t="shared" si="7"/>
        <v>0</v>
      </c>
      <c r="P35" s="69">
        <f t="shared" si="8"/>
        <v>0</v>
      </c>
      <c r="Q35" s="70"/>
    </row>
    <row r="36" spans="1:19" ht="21">
      <c r="A36" s="71" t="s">
        <v>278</v>
      </c>
      <c r="B36" s="67" t="s">
        <v>280</v>
      </c>
      <c r="C36" s="22">
        <f>SUMIFS('ครุภัณฑ์ 67'!G:G,'ครุภัณฑ์ 67'!C:C,"ยานพาหนะและขนส่ง",'ครุภัณฑ์ 67'!E:E,B36)</f>
        <v>0</v>
      </c>
      <c r="D36" s="75">
        <f>SUMIFS('ครุภัณฑ์ 67'!F:F,'ครุภัณฑ์ 67'!C:C,"ยานพาหนะและขนส่ง",'ครุภัณฑ์ 67'!E:E,B36)</f>
        <v>0</v>
      </c>
      <c r="E36" s="22">
        <f t="shared" si="9"/>
        <v>0</v>
      </c>
      <c r="F36" s="13">
        <f>SUMIFS('ครุภัณฑ์ 68'!G:G,'ครุภัณฑ์ 68'!C:C,"ยานพาหนะและขนส่ง",'ครุภัณฑ์ 68'!E:E,B36)</f>
        <v>0</v>
      </c>
      <c r="G36" s="13">
        <f>SUMIFS('ครุภัณฑ์ 68'!F:F,'ครุภัณฑ์ 68'!C:C,"ยานพาหนะและขนส่ง",'ครุภัณฑ์ 68'!E:E,B36)</f>
        <v>0</v>
      </c>
      <c r="H36" s="13">
        <f t="shared" si="5"/>
        <v>0</v>
      </c>
      <c r="I36" s="68">
        <f>SUMIFS('ครุภัณฑ์ 69'!G:G,'ครุภัณฑ์ 69'!C:C,"ยานพาหนะและขนส่ง",'ครุภัณฑ์ 69'!E:E,B36)</f>
        <v>0</v>
      </c>
      <c r="J36" s="68">
        <f>SUMIFS('ครุภัณฑ์ 69'!F:F,'ครุภัณฑ์ 69'!C:C,"ยานพาหนะและขนส่ง",'ครุภัณฑ์ 69'!E:E,B36)</f>
        <v>0</v>
      </c>
      <c r="K36" s="68">
        <f t="shared" si="6"/>
        <v>0</v>
      </c>
      <c r="L36" s="69">
        <f>SUMIFS('รวมครุภัณฑ์ 70'!L:L,'รวมครุภัณฑ์ 70'!C:C,"ครุภัณฑ์ยานพาหนะและขนส่ง",'รวมครุภัณฑ์ 70'!H:H,B36)</f>
        <v>2871900</v>
      </c>
      <c r="M36" s="69">
        <f>SUMIFS('รวมครุภัณฑ์ 70'!Q:Q,'รวมครุภัณฑ์ 70'!C:C,"ครุภัณฑ์ยานพาหนะและขนส่ง",'รวมครุภัณฑ์ 70'!H:H,B36)</f>
        <v>1</v>
      </c>
      <c r="N36" s="69">
        <f>SUMIFS('รวมครุภัณฑ์ 70'!R:R,'รวมครุภัณฑ์ 70'!C:C,"ครุภัณฑ์ยานพาหนะและขนส่ง",'รวมครุภัณฑ์ 70'!H:H,B36)</f>
        <v>1</v>
      </c>
      <c r="O36" s="69">
        <f t="shared" si="7"/>
        <v>2</v>
      </c>
      <c r="P36" s="69">
        <f t="shared" si="8"/>
        <v>2871900</v>
      </c>
      <c r="Q36" s="70"/>
    </row>
    <row r="37" spans="1:19" ht="21">
      <c r="A37" s="71" t="s">
        <v>441</v>
      </c>
      <c r="B37" s="67" t="s">
        <v>457</v>
      </c>
      <c r="C37" s="22">
        <f>SUMIFS('ครุภัณฑ์ 67'!G:G,'ครุภัณฑ์ 67'!C:C,"ยานพาหนะและขนส่ง",'ครุภัณฑ์ 67'!E:E,B37)</f>
        <v>0</v>
      </c>
      <c r="D37" s="75">
        <f>SUMIFS('ครุภัณฑ์ 67'!F:F,'ครุภัณฑ์ 67'!C:C,"ยานพาหนะและขนส่ง",'ครุภัณฑ์ 67'!E:E,B37)</f>
        <v>0</v>
      </c>
      <c r="E37" s="22">
        <f t="shared" si="9"/>
        <v>0</v>
      </c>
      <c r="F37" s="13">
        <f>SUMIFS('ครุภัณฑ์ 68'!G:G,'ครุภัณฑ์ 68'!C:C,"ยานพาหนะและขนส่ง",'ครุภัณฑ์ 68'!E:E,B37)</f>
        <v>0</v>
      </c>
      <c r="G37" s="13">
        <f>SUMIFS('ครุภัณฑ์ 68'!F:F,'ครุภัณฑ์ 68'!C:C,"ยานพาหนะและขนส่ง",'ครุภัณฑ์ 68'!E:E,B37)</f>
        <v>0</v>
      </c>
      <c r="H37" s="13">
        <f t="shared" si="5"/>
        <v>0</v>
      </c>
      <c r="I37" s="68">
        <f>SUMIFS('ครุภัณฑ์ 69'!G:G,'ครุภัณฑ์ 69'!C:C,"ยานพาหนะและขนส่ง",'ครุภัณฑ์ 69'!E:E,B37)</f>
        <v>0</v>
      </c>
      <c r="J37" s="68">
        <f>SUMIFS('ครุภัณฑ์ 69'!F:F,'ครุภัณฑ์ 69'!C:C,"ยานพาหนะและขนส่ง",'ครุภัณฑ์ 69'!E:E,B37)</f>
        <v>0</v>
      </c>
      <c r="K37" s="68">
        <f t="shared" si="6"/>
        <v>0</v>
      </c>
      <c r="L37" s="69">
        <f>SUMIFS('รวมครุภัณฑ์ 70'!L:L,'รวมครุภัณฑ์ 70'!C:C,"ครุภัณฑ์ยานพาหนะและขนส่ง",'รวมครุภัณฑ์ 70'!H:H,B37)</f>
        <v>1498000</v>
      </c>
      <c r="M37" s="69">
        <f>SUMIFS('รวมครุภัณฑ์ 70'!Q:Q,'รวมครุภัณฑ์ 70'!C:C,"ครุภัณฑ์ยานพาหนะและขนส่ง",'รวมครุภัณฑ์ 70'!H:H,B37)</f>
        <v>1</v>
      </c>
      <c r="N37" s="69">
        <f>SUMIFS('รวมครุภัณฑ์ 70'!R:R,'รวมครุภัณฑ์ 70'!C:C,"ครุภัณฑ์ยานพาหนะและขนส่ง",'รวมครุภัณฑ์ 70'!H:H,B37)</f>
        <v>0</v>
      </c>
      <c r="O37" s="69">
        <f t="shared" si="7"/>
        <v>1</v>
      </c>
      <c r="P37" s="69">
        <f t="shared" si="8"/>
        <v>1498000</v>
      </c>
      <c r="Q37" s="70"/>
    </row>
    <row r="38" spans="1:19" ht="21">
      <c r="A38" s="71" t="s">
        <v>237</v>
      </c>
      <c r="B38" s="67" t="s">
        <v>239</v>
      </c>
      <c r="C38" s="22">
        <f>SUMIFS('ครุภัณฑ์ 67'!G:G,'ครุภัณฑ์ 67'!C:C,"ยานพาหนะและขนส่ง",'ครุภัณฑ์ 67'!E:E,B38)</f>
        <v>0</v>
      </c>
      <c r="D38" s="75">
        <f>SUMIFS('ครุภัณฑ์ 67'!F:F,'ครุภัณฑ์ 67'!C:C,"ยานพาหนะและขนส่ง",'ครุภัณฑ์ 67'!E:E,B38)</f>
        <v>0</v>
      </c>
      <c r="E38" s="22">
        <f t="shared" si="9"/>
        <v>0</v>
      </c>
      <c r="F38" s="13">
        <f>SUMIFS('ครุภัณฑ์ 68'!G:G,'ครุภัณฑ์ 68'!C:C,"ยานพาหนะและขนส่ง",'ครุภัณฑ์ 68'!E:E,B38)</f>
        <v>1940900</v>
      </c>
      <c r="G38" s="13">
        <f>SUMIFS('ครุภัณฑ์ 68'!F:F,'ครุภัณฑ์ 68'!C:C,"ยานพาหนะและขนส่ง",'ครุภัณฑ์ 68'!E:E,B38)</f>
        <v>2</v>
      </c>
      <c r="H38" s="13">
        <f t="shared" si="5"/>
        <v>1940900</v>
      </c>
      <c r="I38" s="68">
        <f>SUMIFS('ครุภัณฑ์ 69'!G:G,'ครุภัณฑ์ 69'!C:C,"ยานพาหนะและขนส่ง",'ครุภัณฑ์ 69'!E:E,B38)</f>
        <v>0</v>
      </c>
      <c r="J38" s="68">
        <f>SUMIFS('ครุภัณฑ์ 69'!F:F,'ครุภัณฑ์ 69'!C:C,"ยานพาหนะและขนส่ง",'ครุภัณฑ์ 69'!E:E,B38)</f>
        <v>0</v>
      </c>
      <c r="K38" s="68">
        <f t="shared" si="6"/>
        <v>0</v>
      </c>
      <c r="L38" s="69">
        <f>SUMIFS('รวมครุภัณฑ์ 70'!L:L,'รวมครุภัณฑ์ 70'!C:C,"ครุภัณฑ์ยานพาหนะและขนส่ง",'รวมครุภัณฑ์ 70'!H:H,B38)</f>
        <v>0</v>
      </c>
      <c r="M38" s="69">
        <f>SUMIFS('รวมครุภัณฑ์ 70'!Q:Q,'รวมครุภัณฑ์ 70'!C:C,"ครุภัณฑ์ยานพาหนะและขนส่ง",'รวมครุภัณฑ์ 70'!H:H,B38)</f>
        <v>0</v>
      </c>
      <c r="N38" s="69">
        <f>SUMIFS('รวมครุภัณฑ์ 70'!R:R,'รวมครุภัณฑ์ 70'!C:C,"ครุภัณฑ์ยานพาหนะและขนส่ง",'รวมครุภัณฑ์ 70'!H:H,B38)</f>
        <v>0</v>
      </c>
      <c r="O38" s="69">
        <f t="shared" si="7"/>
        <v>0</v>
      </c>
      <c r="P38" s="69">
        <f t="shared" si="8"/>
        <v>0</v>
      </c>
      <c r="Q38" s="70"/>
    </row>
    <row r="39" spans="1:19" ht="21">
      <c r="A39" s="71" t="s">
        <v>241</v>
      </c>
      <c r="B39" s="67" t="s">
        <v>243</v>
      </c>
      <c r="C39" s="22">
        <f>SUMIFS('ครุภัณฑ์ 67'!G:G,'ครุภัณฑ์ 67'!C:C,"ยานพาหนะและขนส่ง",'ครุภัณฑ์ 67'!E:E,B39)</f>
        <v>0</v>
      </c>
      <c r="D39" s="75">
        <f>SUMIFS('ครุภัณฑ์ 67'!F:F,'ครุภัณฑ์ 67'!C:C,"ยานพาหนะและขนส่ง",'ครุภัณฑ์ 67'!E:E,B39)</f>
        <v>0</v>
      </c>
      <c r="E39" s="22">
        <f t="shared" si="9"/>
        <v>0</v>
      </c>
      <c r="F39" s="13">
        <f>SUMIFS('ครุภัณฑ์ 68'!G:G,'ครุภัณฑ์ 68'!C:C,"ยานพาหนะและขนส่ง",'ครุภัณฑ์ 68'!E:E,B39)</f>
        <v>885900</v>
      </c>
      <c r="G39" s="13">
        <f>SUMIFS('ครุภัณฑ์ 68'!F:F,'ครุภัณฑ์ 68'!C:C,"ยานพาหนะและขนส่ง",'ครุภัณฑ์ 68'!E:E,B39)</f>
        <v>1</v>
      </c>
      <c r="H39" s="13">
        <f t="shared" si="5"/>
        <v>885900</v>
      </c>
      <c r="I39" s="68">
        <f>SUMIFS('ครุภัณฑ์ 69'!G:G,'ครุภัณฑ์ 69'!C:C,"ยานพาหนะและขนส่ง",'ครุภัณฑ์ 69'!E:E,B39)</f>
        <v>0</v>
      </c>
      <c r="J39" s="68">
        <f>SUMIFS('ครุภัณฑ์ 69'!F:F,'ครุภัณฑ์ 69'!C:C,"ยานพาหนะและขนส่ง",'ครุภัณฑ์ 69'!E:E,B39)</f>
        <v>0</v>
      </c>
      <c r="K39" s="68">
        <f t="shared" si="6"/>
        <v>0</v>
      </c>
      <c r="L39" s="69">
        <f>SUMIFS('รวมครุภัณฑ์ 70'!L:L,'รวมครุภัณฑ์ 70'!C:C,"ครุภัณฑ์ยานพาหนะและขนส่ง",'รวมครุภัณฑ์ 70'!H:H,B39)</f>
        <v>1498000</v>
      </c>
      <c r="M39" s="69">
        <f>SUMIFS('รวมครุภัณฑ์ 70'!Q:Q,'รวมครุภัณฑ์ 70'!C:C,"ครุภัณฑ์ยานพาหนะและขนส่ง",'รวมครุภัณฑ์ 70'!H:H,B39)</f>
        <v>1</v>
      </c>
      <c r="N39" s="69">
        <f>SUMIFS('รวมครุภัณฑ์ 70'!R:R,'รวมครุภัณฑ์ 70'!C:C,"ครุภัณฑ์ยานพาหนะและขนส่ง",'รวมครุภัณฑ์ 70'!H:H,B39)</f>
        <v>0</v>
      </c>
      <c r="O39" s="69">
        <f t="shared" si="7"/>
        <v>1</v>
      </c>
      <c r="P39" s="69">
        <f t="shared" si="8"/>
        <v>1498000</v>
      </c>
      <c r="Q39" s="70"/>
    </row>
    <row r="40" spans="1:19" ht="21">
      <c r="A40" s="71" t="s">
        <v>57</v>
      </c>
      <c r="B40" s="67" t="s">
        <v>59</v>
      </c>
      <c r="C40" s="22">
        <f>SUMIFS('ครุภัณฑ์ 67'!G:G,'ครุภัณฑ์ 67'!C:C,"ยานพาหนะและขนส่ง",'ครุภัณฑ์ 67'!E:E,B40)</f>
        <v>0</v>
      </c>
      <c r="D40" s="75">
        <f>SUMIFS('ครุภัณฑ์ 67'!F:F,'ครุภัณฑ์ 67'!C:C,"ยานพาหนะและขนส่ง",'ครุภัณฑ์ 67'!E:E,B40)</f>
        <v>0</v>
      </c>
      <c r="E40" s="22">
        <f t="shared" si="9"/>
        <v>0</v>
      </c>
      <c r="F40" s="13">
        <f>SUMIFS('ครุภัณฑ์ 68'!G:G,'ครุภัณฑ์ 68'!C:C,"ยานพาหนะและขนส่ง",'ครุภัณฑ์ 68'!E:E,B40)</f>
        <v>0</v>
      </c>
      <c r="G40" s="13">
        <f>SUMIFS('ครุภัณฑ์ 68'!F:F,'ครุภัณฑ์ 68'!C:C,"ยานพาหนะและขนส่ง",'ครุภัณฑ์ 68'!E:E,B40)</f>
        <v>0</v>
      </c>
      <c r="H40" s="13">
        <f t="shared" si="5"/>
        <v>0</v>
      </c>
      <c r="I40" s="68">
        <f>SUMIFS('ครุภัณฑ์ 69'!G:G,'ครุภัณฑ์ 69'!C:C,"ยานพาหนะและขนส่ง",'ครุภัณฑ์ 69'!E:E,B40)</f>
        <v>970900</v>
      </c>
      <c r="J40" s="68">
        <f>SUMIFS('ครุภัณฑ์ 69'!F:F,'ครุภัณฑ์ 69'!C:C,"ยานพาหนะและขนส่ง",'ครุภัณฑ์ 69'!E:E,B40)</f>
        <v>1</v>
      </c>
      <c r="K40" s="68">
        <f t="shared" si="6"/>
        <v>970900</v>
      </c>
      <c r="L40" s="69">
        <f>SUMIFS('รวมครุภัณฑ์ 70'!L:L,'รวมครุภัณฑ์ 70'!C:C,"ครุภัณฑ์ยานพาหนะและขนส่ง",'รวมครุภัณฑ์ 70'!H:H,B40)</f>
        <v>0</v>
      </c>
      <c r="M40" s="69">
        <f>SUMIFS('รวมครุภัณฑ์ 70'!Q:Q,'รวมครุภัณฑ์ 70'!C:C,"ครุภัณฑ์ยานพาหนะและขนส่ง",'รวมครุภัณฑ์ 70'!H:H,B40)</f>
        <v>0</v>
      </c>
      <c r="N40" s="69">
        <f>SUMIFS('รวมครุภัณฑ์ 70'!R:R,'รวมครุภัณฑ์ 70'!C:C,"ครุภัณฑ์ยานพาหนะและขนส่ง",'รวมครุภัณฑ์ 70'!H:H,B40)</f>
        <v>0</v>
      </c>
      <c r="O40" s="69">
        <f t="shared" si="7"/>
        <v>0</v>
      </c>
      <c r="P40" s="69">
        <f t="shared" si="8"/>
        <v>0</v>
      </c>
      <c r="Q40" s="70"/>
    </row>
    <row r="41" spans="1:19" ht="21">
      <c r="A41" s="71" t="s">
        <v>440</v>
      </c>
      <c r="B41" s="67" t="s">
        <v>458</v>
      </c>
      <c r="C41" s="22">
        <f>SUMIFS('ครุภัณฑ์ 67'!G:G,'ครุภัณฑ์ 67'!C:C,"ยานพาหนะและขนส่ง",'ครุภัณฑ์ 67'!E:E,B41)</f>
        <v>0</v>
      </c>
      <c r="D41" s="75">
        <f>SUMIFS('ครุภัณฑ์ 67'!F:F,'ครุภัณฑ์ 67'!C:C,"ยานพาหนะและขนส่ง",'ครุภัณฑ์ 67'!E:E,B41)</f>
        <v>0</v>
      </c>
      <c r="E41" s="22">
        <f t="shared" si="9"/>
        <v>0</v>
      </c>
      <c r="F41" s="13">
        <f>SUMIFS('ครุภัณฑ์ 68'!G:G,'ครุภัณฑ์ 68'!C:C,"ยานพาหนะและขนส่ง",'ครุภัณฑ์ 68'!E:E,B41)</f>
        <v>0</v>
      </c>
      <c r="G41" s="13">
        <f>SUMIFS('ครุภัณฑ์ 68'!F:F,'ครุภัณฑ์ 68'!C:C,"ยานพาหนะและขนส่ง",'ครุภัณฑ์ 68'!E:E,B41)</f>
        <v>0</v>
      </c>
      <c r="H41" s="13">
        <f t="shared" si="5"/>
        <v>0</v>
      </c>
      <c r="I41" s="68">
        <f>SUMIFS('ครุภัณฑ์ 69'!G:G,'ครุภัณฑ์ 69'!C:C,"ยานพาหนะและขนส่ง",'ครุภัณฑ์ 69'!E:E,B41)</f>
        <v>0</v>
      </c>
      <c r="J41" s="68">
        <f>SUMIFS('ครุภัณฑ์ 69'!F:F,'ครุภัณฑ์ 69'!C:C,"ยานพาหนะและขนส่ง",'ครุภัณฑ์ 69'!E:E,B41)</f>
        <v>0</v>
      </c>
      <c r="K41" s="68">
        <f t="shared" si="6"/>
        <v>0</v>
      </c>
      <c r="L41" s="69">
        <f>SUMIFS('รวมครุภัณฑ์ 70'!L:L,'รวมครุภัณฑ์ 70'!C:C,"ครุภัณฑ์ยานพาหนะและขนส่ง",'รวมครุภัณฑ์ 70'!H:H,B41)</f>
        <v>970900</v>
      </c>
      <c r="M41" s="69">
        <f>SUMIFS('รวมครุภัณฑ์ 70'!Q:Q,'รวมครุภัณฑ์ 70'!C:C,"ครุภัณฑ์ยานพาหนะและขนส่ง",'รวมครุภัณฑ์ 70'!H:H,B41)</f>
        <v>1</v>
      </c>
      <c r="N41" s="69">
        <f>SUMIFS('รวมครุภัณฑ์ 70'!R:R,'รวมครุภัณฑ์ 70'!C:C,"ครุภัณฑ์ยานพาหนะและขนส่ง",'รวมครุภัณฑ์ 70'!H:H,B41)</f>
        <v>0</v>
      </c>
      <c r="O41" s="69">
        <f t="shared" si="7"/>
        <v>1</v>
      </c>
      <c r="P41" s="69">
        <f t="shared" si="8"/>
        <v>970900</v>
      </c>
      <c r="Q41" s="70"/>
    </row>
    <row r="42" spans="1:19" ht="21">
      <c r="A42" s="71" t="s">
        <v>60</v>
      </c>
      <c r="B42" s="67" t="s">
        <v>62</v>
      </c>
      <c r="C42" s="22">
        <f>SUMIFS('ครุภัณฑ์ 67'!G:G,'ครุภัณฑ์ 67'!C:C,"ยานพาหนะและขนส่ง",'ครุภัณฑ์ 67'!E:E,B42)</f>
        <v>0</v>
      </c>
      <c r="D42" s="75">
        <f>SUMIFS('ครุภัณฑ์ 67'!F:F,'ครุภัณฑ์ 67'!C:C,"ยานพาหนะและขนส่ง",'ครุภัณฑ์ 67'!E:E,B42)</f>
        <v>0</v>
      </c>
      <c r="E42" s="22">
        <f t="shared" si="9"/>
        <v>0</v>
      </c>
      <c r="F42" s="13">
        <f>SUMIFS('ครุภัณฑ์ 68'!G:G,'ครุภัณฑ์ 68'!C:C,"ยานพาหนะและขนส่ง",'ครุภัณฑ์ 68'!E:E,B42)</f>
        <v>0</v>
      </c>
      <c r="G42" s="13">
        <f>SUMIFS('ครุภัณฑ์ 68'!F:F,'ครุภัณฑ์ 68'!C:C,"ยานพาหนะและขนส่ง",'ครุภัณฑ์ 68'!E:E,B42)</f>
        <v>0</v>
      </c>
      <c r="H42" s="13">
        <f t="shared" si="5"/>
        <v>0</v>
      </c>
      <c r="I42" s="68">
        <f>SUMIFS('ครุภัณฑ์ 69'!G:G,'ครุภัณฑ์ 69'!C:C,"ยานพาหนะและขนส่ง",'ครุภัณฑ์ 69'!E:E,B42)</f>
        <v>0</v>
      </c>
      <c r="J42" s="68">
        <f>SUMIFS('ครุภัณฑ์ 69'!F:F,'ครุภัณฑ์ 69'!C:C,"ยานพาหนะและขนส่ง",'ครุภัณฑ์ 69'!E:E,B42)</f>
        <v>0</v>
      </c>
      <c r="K42" s="68">
        <f t="shared" si="6"/>
        <v>0</v>
      </c>
      <c r="L42" s="69">
        <f>SUMIFS('รวมครุภัณฑ์ 70'!L:L,'รวมครุภัณฑ์ 70'!C:C,"ครุภัณฑ์ยานพาหนะและขนส่ง",'รวมครุภัณฑ์ 70'!H:H,B42)</f>
        <v>1498000</v>
      </c>
      <c r="M42" s="69">
        <f>SUMIFS('รวมครุภัณฑ์ 70'!Q:Q,'รวมครุภัณฑ์ 70'!C:C,"ครุภัณฑ์ยานพาหนะและขนส่ง",'รวมครุภัณฑ์ 70'!H:H,B42)</f>
        <v>1</v>
      </c>
      <c r="N42" s="69">
        <f>SUMIFS('รวมครุภัณฑ์ 70'!R:R,'รวมครุภัณฑ์ 70'!C:C,"ครุภัณฑ์ยานพาหนะและขนส่ง",'รวมครุภัณฑ์ 70'!H:H,B42)</f>
        <v>0</v>
      </c>
      <c r="O42" s="69">
        <f t="shared" si="7"/>
        <v>1</v>
      </c>
      <c r="P42" s="69">
        <f t="shared" si="8"/>
        <v>1498000</v>
      </c>
      <c r="Q42" s="70"/>
    </row>
    <row r="43" spans="1:19" ht="21">
      <c r="A43" s="276" t="s">
        <v>11</v>
      </c>
      <c r="B43" s="276"/>
      <c r="C43" s="276"/>
      <c r="D43" s="276"/>
      <c r="E43" s="276"/>
      <c r="F43" s="276"/>
      <c r="G43" s="276"/>
      <c r="H43" s="276"/>
      <c r="I43" s="276"/>
      <c r="J43" s="276"/>
      <c r="K43" s="276"/>
      <c r="L43" s="276"/>
      <c r="M43" s="276"/>
      <c r="N43" s="276"/>
      <c r="O43" s="276"/>
      <c r="P43" s="276"/>
      <c r="Q43" s="70"/>
    </row>
    <row r="44" spans="1:19" ht="21">
      <c r="A44" s="71" t="s">
        <v>64</v>
      </c>
      <c r="B44" s="67" t="s">
        <v>66</v>
      </c>
      <c r="C44" s="22">
        <f>SUMIFS('ครุภัณฑ์ 67'!G:G,'ครุภัณฑ์ 67'!C:C,"ยานพาหนะและขนส่ง",'ครุภัณฑ์ 67'!E:E,B44)</f>
        <v>2749000</v>
      </c>
      <c r="D44" s="75">
        <f>SUMIFS('ครุภัณฑ์ 67'!F:F,'ครุภัณฑ์ 67'!C:C,"ยานพาหนะและขนส่ง",'ครุภัณฑ์ 67'!E:E,B44)</f>
        <v>1</v>
      </c>
      <c r="E44" s="22">
        <f>C44</f>
        <v>2749000</v>
      </c>
      <c r="F44" s="13">
        <f>SUMIFS('ครุภัณฑ์ 68'!G:G,'ครุภัณฑ์ 68'!C:C,"ยานพาหนะและขนส่ง",'ครุภัณฑ์ 68'!E:E,B44)</f>
        <v>0</v>
      </c>
      <c r="G44" s="13">
        <f>SUMIFS('ครุภัณฑ์ 68'!F:F,'ครุภัณฑ์ 68'!C:C,"ยานพาหนะและขนส่ง",'ครุภัณฑ์ 68'!E:E,B44)</f>
        <v>0</v>
      </c>
      <c r="H44" s="13">
        <f>F44</f>
        <v>0</v>
      </c>
      <c r="I44" s="68">
        <f>SUMIFS('ครุภัณฑ์ 69'!G:G,'ครุภัณฑ์ 69'!C:C,"ยานพาหนะและขนส่ง",'ครุภัณฑ์ 69'!E:E,B44)</f>
        <v>1836000</v>
      </c>
      <c r="J44" s="68">
        <f>SUMIFS('ครุภัณฑ์ 69'!F:F,'ครุภัณฑ์ 69'!C:C,"ยานพาหนะและขนส่ง",'ครุภัณฑ์ 69'!E:E,B44)</f>
        <v>2</v>
      </c>
      <c r="K44" s="68">
        <f>I44</f>
        <v>1836000</v>
      </c>
      <c r="L44" s="69">
        <f>SUMIFS('รวมครุภัณฑ์ 70'!L:L,'รวมครุภัณฑ์ 70'!C:C,"ครุภัณฑ์ยานพาหนะและขนส่ง",'รวมครุภัณฑ์ 70'!H:H,B44)</f>
        <v>9522000</v>
      </c>
      <c r="M44" s="73">
        <f>SUMIFS('รวมครุภัณฑ์ 70'!Q:Q,'รวมครุภัณฑ์ 70'!C:C,"ครุภัณฑ์ยานพาหนะและขนส่ง",'รวมครุภัณฑ์ 70'!H:H,B44)</f>
        <v>6</v>
      </c>
      <c r="N44" s="73">
        <f>SUMIFS('รวมครุภัณฑ์ 70'!R:R,'รวมครุภัณฑ์ 70'!C:C,"ครุภัณฑ์ยานพาหนะและขนส่ง",'รวมครุภัณฑ์ 70'!H:H,B44)</f>
        <v>0</v>
      </c>
      <c r="O44" s="73">
        <f>M44+N44</f>
        <v>6</v>
      </c>
      <c r="P44" s="69">
        <f>L44</f>
        <v>9522000</v>
      </c>
      <c r="Q44" s="72">
        <f>SUM(L44:L95)</f>
        <v>54641100</v>
      </c>
      <c r="S44" s="62"/>
    </row>
    <row r="45" spans="1:19" ht="21">
      <c r="A45" s="71" t="s">
        <v>64</v>
      </c>
      <c r="B45" s="67" t="s">
        <v>70</v>
      </c>
      <c r="C45" s="22">
        <f>SUMIFS('ครุภัณฑ์ 67'!G:G,'ครุภัณฑ์ 67'!C:C,"ยานพาหนะและขนส่ง",'ครุภัณฑ์ 67'!E:E,B45)</f>
        <v>0</v>
      </c>
      <c r="D45" s="75">
        <f>SUMIFS('ครุภัณฑ์ 67'!F:F,'ครุภัณฑ์ 67'!C:C,"ยานพาหนะและขนส่ง",'ครุภัณฑ์ 67'!E:E,B45)</f>
        <v>0</v>
      </c>
      <c r="E45" s="22">
        <f>C45</f>
        <v>0</v>
      </c>
      <c r="F45" s="13">
        <f>SUMIFS('ครุภัณฑ์ 68'!G:G,'ครุภัณฑ์ 68'!C:C,"ยานพาหนะและขนส่ง",'ครุภัณฑ์ 68'!E:E,B45)</f>
        <v>0</v>
      </c>
      <c r="G45" s="13">
        <f>SUMIFS('ครุภัณฑ์ 68'!F:F,'ครุภัณฑ์ 68'!C:C,"ยานพาหนะและขนส่ง",'ครุภัณฑ์ 68'!E:E,B45)</f>
        <v>0</v>
      </c>
      <c r="H45" s="13">
        <f t="shared" ref="H45:H95" si="10">F45</f>
        <v>0</v>
      </c>
      <c r="I45" s="68">
        <f>SUMIFS('ครุภัณฑ์ 69'!G:G,'ครุภัณฑ์ 69'!C:C,"ยานพาหนะและขนส่ง",'ครุภัณฑ์ 69'!E:E,B45)</f>
        <v>918000</v>
      </c>
      <c r="J45" s="68">
        <f>SUMIFS('ครุภัณฑ์ 69'!F:F,'ครุภัณฑ์ 69'!C:C,"ยานพาหนะและขนส่ง",'ครุภัณฑ์ 69'!E:E,B45)</f>
        <v>1</v>
      </c>
      <c r="K45" s="68">
        <f t="shared" ref="K45:K95" si="11">I45</f>
        <v>918000</v>
      </c>
      <c r="L45" s="69">
        <f>SUMIFS('รวมครุภัณฑ์ 70'!L:L,'รวมครุภัณฑ์ 70'!C:C,"ครุภัณฑ์ยานพาหนะและขนส่ง",'รวมครุภัณฑ์ 70'!H:H,B45)</f>
        <v>5701900</v>
      </c>
      <c r="M45" s="73">
        <f>SUMIFS('รวมครุภัณฑ์ 70'!Q:Q,'รวมครุภัณฑ์ 70'!C:C,"ครุภัณฑ์ยานพาหนะและขนส่ง",'รวมครุภัณฑ์ 70'!H:H,B45)</f>
        <v>5</v>
      </c>
      <c r="N45" s="73">
        <f>SUMIFS('รวมครุภัณฑ์ 70'!R:R,'รวมครุภัณฑ์ 70'!C:C,"ครุภัณฑ์ยานพาหนะและขนส่ง",'รวมครุภัณฑ์ 70'!H:H,B45)</f>
        <v>0</v>
      </c>
      <c r="O45" s="73">
        <f t="shared" ref="O45:O95" si="12">M45+N45</f>
        <v>5</v>
      </c>
      <c r="P45" s="69">
        <f t="shared" ref="P45:P95" si="13">L45</f>
        <v>5701900</v>
      </c>
      <c r="Q45" s="72" t="e">
        <f>SUM(#REF!)</f>
        <v>#REF!</v>
      </c>
    </row>
    <row r="46" spans="1:19" ht="21">
      <c r="A46" s="71" t="s">
        <v>64</v>
      </c>
      <c r="B46" s="67" t="s">
        <v>448</v>
      </c>
      <c r="C46" s="22">
        <f>SUMIFS('ครุภัณฑ์ 67'!G:G,'ครุภัณฑ์ 67'!C:C,"ยานพาหนะและขนส่ง",'ครุภัณฑ์ 67'!E:E,B46)</f>
        <v>21326000</v>
      </c>
      <c r="D46" s="75">
        <f>SUMIFS('ครุภัณฑ์ 67'!F:F,'ครุภัณฑ์ 67'!C:C,"ยานพาหนะและขนส่ง",'ครุภัณฑ์ 67'!E:E,B46)</f>
        <v>13</v>
      </c>
      <c r="E46" s="22">
        <f t="shared" ref="E46:E95" si="14">C46</f>
        <v>21326000</v>
      </c>
      <c r="F46" s="13">
        <f>SUMIFS('ครุภัณฑ์ 68'!G:G,'ครุภัณฑ์ 68'!C:C,"ยานพาหนะและขนส่ง",'ครุภัณฑ์ 68'!E:E,B46)</f>
        <v>0</v>
      </c>
      <c r="G46" s="13">
        <f>SUMIFS('ครุภัณฑ์ 68'!F:F,'ครุภัณฑ์ 68'!C:C,"ยานพาหนะและขนส่ง",'ครุภัณฑ์ 68'!E:E,B46)</f>
        <v>0</v>
      </c>
      <c r="H46" s="13">
        <f t="shared" si="10"/>
        <v>0</v>
      </c>
      <c r="I46" s="68">
        <f>SUMIFS('ครุภัณฑ์ 69'!G:G,'ครุภัณฑ์ 69'!C:C,"ยานพาหนะและขนส่ง",'ครุภัณฑ์ 69'!E:E,B46)</f>
        <v>0</v>
      </c>
      <c r="J46" s="68">
        <f>SUMIFS('ครุภัณฑ์ 69'!F:F,'ครุภัณฑ์ 69'!C:C,"ยานพาหนะและขนส่ง",'ครุภัณฑ์ 69'!E:E,B46)</f>
        <v>0</v>
      </c>
      <c r="K46" s="68">
        <f t="shared" si="11"/>
        <v>0</v>
      </c>
      <c r="L46" s="69">
        <f>SUMIFS('รวมครุภัณฑ์ 70'!L:L,'รวมครุภัณฑ์ 70'!C:C,"ครุภัณฑ์ยานพาหนะและขนส่ง",'รวมครุภัณฑ์ 70'!H:H,B46)</f>
        <v>10913900</v>
      </c>
      <c r="M46" s="73">
        <f>SUMIFS('รวมครุภัณฑ์ 70'!Q:Q,'รวมครุภัณฑ์ 70'!C:C,"ครุภัณฑ์ยานพาหนะและขนส่ง",'รวมครุภัณฑ์ 70'!H:H,B46)</f>
        <v>3</v>
      </c>
      <c r="N46" s="73">
        <f>SUMIFS('รวมครุภัณฑ์ 70'!R:R,'รวมครุภัณฑ์ 70'!C:C,"ครุภัณฑ์ยานพาหนะและขนส่ง",'รวมครุภัณฑ์ 70'!H:H,B46)</f>
        <v>3</v>
      </c>
      <c r="O46" s="73">
        <f t="shared" si="12"/>
        <v>6</v>
      </c>
      <c r="P46" s="69">
        <f>L46</f>
        <v>10913900</v>
      </c>
      <c r="Q46" s="72" t="e">
        <f>Q44+Q45</f>
        <v>#REF!</v>
      </c>
    </row>
    <row r="47" spans="1:19" ht="21">
      <c r="A47" s="71" t="s">
        <v>64</v>
      </c>
      <c r="B47" s="67" t="s">
        <v>245</v>
      </c>
      <c r="C47" s="22">
        <f>SUMIFS('ครุภัณฑ์ 67'!G:G,'ครุภัณฑ์ 67'!C:C,"ยานพาหนะและขนส่ง",'ครุภัณฑ์ 67'!E:E,B47)</f>
        <v>0</v>
      </c>
      <c r="D47" s="75">
        <f>SUMIFS('ครุภัณฑ์ 67'!F:F,'ครุภัณฑ์ 67'!C:C,"ยานพาหนะและขนส่ง",'ครุภัณฑ์ 67'!E:E,B47)</f>
        <v>0</v>
      </c>
      <c r="E47" s="22">
        <f t="shared" si="14"/>
        <v>0</v>
      </c>
      <c r="F47" s="13">
        <f>SUMIFS('ครุภัณฑ์ 68'!G:G,'ครุภัณฑ์ 68'!C:C,"ยานพาหนะและขนส่ง",'ครุภัณฑ์ 68'!E:E,B47)</f>
        <v>1358000</v>
      </c>
      <c r="G47" s="13">
        <f>SUMIFS('ครุภัณฑ์ 68'!F:F,'ครุภัณฑ์ 68'!C:C,"ยานพาหนะและขนส่ง",'ครุภัณฑ์ 68'!E:E,B47)</f>
        <v>1</v>
      </c>
      <c r="H47" s="13">
        <f t="shared" si="10"/>
        <v>1358000</v>
      </c>
      <c r="I47" s="68">
        <f>SUMIFS('ครุภัณฑ์ 69'!G:G,'ครุภัณฑ์ 69'!C:C,"ยานพาหนะและขนส่ง",'ครุภัณฑ์ 69'!E:E,B47)</f>
        <v>0</v>
      </c>
      <c r="J47" s="68">
        <f>SUMIFS('ครุภัณฑ์ 69'!F:F,'ครุภัณฑ์ 69'!C:C,"ยานพาหนะและขนส่ง",'ครุภัณฑ์ 69'!E:E,B47)</f>
        <v>0</v>
      </c>
      <c r="K47" s="68">
        <f t="shared" si="11"/>
        <v>0</v>
      </c>
      <c r="L47" s="69">
        <f>SUMIFS('รวมครุภัณฑ์ 70'!L:L,'รวมครุภัณฑ์ 70'!C:C,"ครุภัณฑ์ยานพาหนะและขนส่ง",'รวมครุภัณฑ์ 70'!H:H,B47)</f>
        <v>0</v>
      </c>
      <c r="M47" s="73">
        <f>SUMIFS('รวมครุภัณฑ์ 70'!Q:Q,'รวมครุภัณฑ์ 70'!C:C,"ครุภัณฑ์ยานพาหนะและขนส่ง",'รวมครุภัณฑ์ 70'!H:H,B47)</f>
        <v>0</v>
      </c>
      <c r="N47" s="73">
        <f>SUMIFS('รวมครุภัณฑ์ 70'!R:R,'รวมครุภัณฑ์ 70'!C:C,"ครุภัณฑ์ยานพาหนะและขนส่ง",'รวมครุภัณฑ์ 70'!H:H,B47)</f>
        <v>0</v>
      </c>
      <c r="O47" s="73">
        <f t="shared" si="12"/>
        <v>0</v>
      </c>
      <c r="P47" s="69">
        <f t="shared" si="13"/>
        <v>0</v>
      </c>
      <c r="Q47" s="70"/>
    </row>
    <row r="48" spans="1:19" ht="21">
      <c r="A48" s="71" t="s">
        <v>64</v>
      </c>
      <c r="B48" s="67" t="s">
        <v>69</v>
      </c>
      <c r="C48" s="22">
        <f>SUMIFS('ครุภัณฑ์ 67'!G:G,'ครุภัณฑ์ 67'!C:C,"ยานพาหนะและขนส่ง",'ครุภัณฑ์ 67'!E:E,B48)</f>
        <v>0</v>
      </c>
      <c r="D48" s="75">
        <f>SUMIFS('ครุภัณฑ์ 67'!F:F,'ครุภัณฑ์ 67'!C:C,"ยานพาหนะและขนส่ง",'ครุภัณฑ์ 67'!E:E,B48)</f>
        <v>0</v>
      </c>
      <c r="E48" s="22">
        <f t="shared" si="14"/>
        <v>0</v>
      </c>
      <c r="F48" s="13">
        <f>SUMIFS('ครุภัณฑ์ 68'!G:G,'ครุภัณฑ์ 68'!C:C,"ยานพาหนะและขนส่ง",'ครุภัณฑ์ 68'!E:E,B48)</f>
        <v>0</v>
      </c>
      <c r="G48" s="13">
        <f>SUMIFS('ครุภัณฑ์ 68'!F:F,'ครุภัณฑ์ 68'!C:C,"ยานพาหนะและขนส่ง",'ครุภัณฑ์ 68'!E:E,B48)</f>
        <v>0</v>
      </c>
      <c r="H48" s="13">
        <f t="shared" si="10"/>
        <v>0</v>
      </c>
      <c r="I48" s="68">
        <f>SUMIFS('ครุภัณฑ์ 69'!G:G,'ครุภัณฑ์ 69'!C:C,"ยานพาหนะและขนส่ง",'ครุภัณฑ์ 69'!E:E,B48)</f>
        <v>918000</v>
      </c>
      <c r="J48" s="68">
        <f>SUMIFS('ครุภัณฑ์ 69'!F:F,'ครุภัณฑ์ 69'!C:C,"ยานพาหนะและขนส่ง",'ครุภัณฑ์ 69'!E:E,B48)</f>
        <v>1</v>
      </c>
      <c r="K48" s="68">
        <f t="shared" si="11"/>
        <v>918000</v>
      </c>
      <c r="L48" s="69">
        <f>SUMIFS('รวมครุภัณฑ์ 70'!L:L,'รวมครุภัณฑ์ 70'!C:C,"ครุภัณฑ์ยานพาหนะและขนส่ง",'รวมครุภัณฑ์ 70'!H:H,B48)</f>
        <v>0</v>
      </c>
      <c r="M48" s="73">
        <f>SUMIFS('รวมครุภัณฑ์ 70'!Q:Q,'รวมครุภัณฑ์ 70'!C:C,"ครุภัณฑ์ยานพาหนะและขนส่ง",'รวมครุภัณฑ์ 70'!H:H,B48)</f>
        <v>0</v>
      </c>
      <c r="N48" s="73">
        <f>SUMIFS('รวมครุภัณฑ์ 70'!R:R,'รวมครุภัณฑ์ 70'!C:C,"ครุภัณฑ์ยานพาหนะและขนส่ง",'รวมครุภัณฑ์ 70'!H:H,B48)</f>
        <v>0</v>
      </c>
      <c r="O48" s="73">
        <f t="shared" si="12"/>
        <v>0</v>
      </c>
      <c r="P48" s="69">
        <f t="shared" si="13"/>
        <v>0</v>
      </c>
      <c r="Q48" s="70"/>
    </row>
    <row r="49" spans="1:17" ht="21">
      <c r="A49" s="71" t="s">
        <v>64</v>
      </c>
      <c r="B49" s="67" t="s">
        <v>460</v>
      </c>
      <c r="C49" s="22">
        <f>SUMIFS('ครุภัณฑ์ 67'!G:G,'ครุภัณฑ์ 67'!C:C,"ยานพาหนะและขนส่ง",'ครุภัณฑ์ 67'!E:E,B49)</f>
        <v>0</v>
      </c>
      <c r="D49" s="75">
        <f>SUMIFS('ครุภัณฑ์ 67'!F:F,'ครุภัณฑ์ 67'!C:C,"ยานพาหนะและขนส่ง",'ครุภัณฑ์ 67'!E:E,B49)</f>
        <v>0</v>
      </c>
      <c r="E49" s="22">
        <f t="shared" si="14"/>
        <v>0</v>
      </c>
      <c r="F49" s="13">
        <f>SUMIFS('ครุภัณฑ์ 68'!G:G,'ครุภัณฑ์ 68'!C:C,"ยานพาหนะและขนส่ง",'ครุภัณฑ์ 68'!E:E,B49)</f>
        <v>0</v>
      </c>
      <c r="G49" s="13">
        <f>SUMIFS('ครุภัณฑ์ 68'!F:F,'ครุภัณฑ์ 68'!C:C,"ยานพาหนะและขนส่ง",'ครุภัณฑ์ 68'!E:E,B49)</f>
        <v>0</v>
      </c>
      <c r="H49" s="13">
        <f t="shared" si="10"/>
        <v>0</v>
      </c>
      <c r="I49" s="68">
        <f>SUMIFS('ครุภัณฑ์ 69'!G:G,'ครุภัณฑ์ 69'!C:C,"ยานพาหนะและขนส่ง",'ครุภัณฑ์ 69'!E:E,B49)</f>
        <v>0</v>
      </c>
      <c r="J49" s="68">
        <f>SUMIFS('ครุภัณฑ์ 69'!F:F,'ครุภัณฑ์ 69'!C:C,"ยานพาหนะและขนส่ง",'ครุภัณฑ์ 69'!E:E,B49)</f>
        <v>0</v>
      </c>
      <c r="K49" s="68">
        <f t="shared" si="11"/>
        <v>0</v>
      </c>
      <c r="L49" s="69">
        <f>SUMIFS('รวมครุภัณฑ์ 70'!L:L,'รวมครุภัณฑ์ 70'!C:C,"ครุภัณฑ์ยานพาหนะและขนส่ง",'รวมครุภัณฑ์ 70'!H:H,B49)</f>
        <v>1498000</v>
      </c>
      <c r="M49" s="73">
        <f>SUMIFS('รวมครุภัณฑ์ 70'!Q:Q,'รวมครุภัณฑ์ 70'!C:C,"ครุภัณฑ์ยานพาหนะและขนส่ง",'รวมครุภัณฑ์ 70'!H:H,B49)</f>
        <v>1</v>
      </c>
      <c r="N49" s="73">
        <f>SUMIFS('รวมครุภัณฑ์ 70'!R:R,'รวมครุภัณฑ์ 70'!C:C,"ครุภัณฑ์ยานพาหนะและขนส่ง",'รวมครุภัณฑ์ 70'!H:H,B49)</f>
        <v>0</v>
      </c>
      <c r="O49" s="73">
        <f t="shared" si="12"/>
        <v>1</v>
      </c>
      <c r="P49" s="69">
        <f t="shared" si="13"/>
        <v>1498000</v>
      </c>
      <c r="Q49" s="70"/>
    </row>
    <row r="50" spans="1:17" ht="21">
      <c r="A50" s="71" t="s">
        <v>64</v>
      </c>
      <c r="B50" s="67" t="s">
        <v>198</v>
      </c>
      <c r="C50" s="22">
        <f>SUMIFS('ครุภัณฑ์ 67'!G:G,'ครุภัณฑ์ 67'!C:C,"ยานพาหนะและขนส่ง",'ครุภัณฑ์ 67'!E:E,B50)</f>
        <v>0</v>
      </c>
      <c r="D50" s="75">
        <f>SUMIFS('ครุภัณฑ์ 67'!F:F,'ครุภัณฑ์ 67'!C:C,"ยานพาหนะและขนส่ง",'ครุภัณฑ์ 67'!E:E,B50)</f>
        <v>0</v>
      </c>
      <c r="E50" s="22">
        <f t="shared" si="14"/>
        <v>0</v>
      </c>
      <c r="F50" s="13">
        <f>SUMIFS('ครุภัณฑ์ 68'!G:G,'ครุภัณฑ์ 68'!C:C,"ยานพาหนะและขนส่ง",'ครุภัณฑ์ 68'!E:E,B50)</f>
        <v>0</v>
      </c>
      <c r="G50" s="13">
        <f>SUMIFS('ครุภัณฑ์ 68'!F:F,'ครุภัณฑ์ 68'!C:C,"ยานพาหนะและขนส่ง",'ครุภัณฑ์ 68'!E:E,B50)</f>
        <v>0</v>
      </c>
      <c r="H50" s="13">
        <f t="shared" si="10"/>
        <v>0</v>
      </c>
      <c r="I50" s="68">
        <f>SUMIFS('ครุภัณฑ์ 69'!G:G,'ครุภัณฑ์ 69'!C:C,"ยานพาหนะและขนส่ง",'ครุภัณฑ์ 69'!E:E,B50)</f>
        <v>0</v>
      </c>
      <c r="J50" s="68">
        <f>SUMIFS('ครุภัณฑ์ 69'!F:F,'ครุภัณฑ์ 69'!C:C,"ยานพาหนะและขนส่ง",'ครุภัณฑ์ 69'!E:E,B50)</f>
        <v>0</v>
      </c>
      <c r="K50" s="68">
        <f t="shared" si="11"/>
        <v>0</v>
      </c>
      <c r="L50" s="69">
        <f>SUMIFS('รวมครุภัณฑ์ 70'!L:L,'รวมครุภัณฑ์ 70'!C:C,"ครุภัณฑ์ยานพาหนะและขนส่ง",'รวมครุภัณฑ์ 70'!H:H,B50)</f>
        <v>849500</v>
      </c>
      <c r="M50" s="73">
        <f>SUMIFS('รวมครุภัณฑ์ 70'!Q:Q,'รวมครุภัณฑ์ 70'!C:C,"ครุภัณฑ์ยานพาหนะและขนส่ง",'รวมครุภัณฑ์ 70'!H:H,B50)</f>
        <v>1</v>
      </c>
      <c r="N50" s="73">
        <f>SUMIFS('รวมครุภัณฑ์ 70'!R:R,'รวมครุภัณฑ์ 70'!C:C,"ครุภัณฑ์ยานพาหนะและขนส่ง",'รวมครุภัณฑ์ 70'!H:H,B50)</f>
        <v>0</v>
      </c>
      <c r="O50" s="73">
        <f t="shared" si="12"/>
        <v>1</v>
      </c>
      <c r="P50" s="69">
        <f t="shared" si="13"/>
        <v>849500</v>
      </c>
      <c r="Q50" s="70"/>
    </row>
    <row r="51" spans="1:17" ht="21">
      <c r="A51" s="71" t="s">
        <v>64</v>
      </c>
      <c r="B51" s="67" t="s">
        <v>250</v>
      </c>
      <c r="C51" s="22">
        <f>SUMIFS('ครุภัณฑ์ 67'!G:G,'ครุภัณฑ์ 67'!C:C,"ยานพาหนะและขนส่ง",'ครุภัณฑ์ 67'!E:E,B51)</f>
        <v>1090900</v>
      </c>
      <c r="D51" s="75">
        <f>SUMIFS('ครุภัณฑ์ 67'!F:F,'ครุภัณฑ์ 67'!C:C,"ยานพาหนะและขนส่ง",'ครุภัณฑ์ 67'!E:E,B51)</f>
        <v>1</v>
      </c>
      <c r="E51" s="22">
        <f t="shared" si="14"/>
        <v>1090900</v>
      </c>
      <c r="F51" s="13">
        <f>SUMIFS('ครุภัณฑ์ 68'!G:G,'ครุภัณฑ์ 68'!C:C,"ยานพาหนะและขนส่ง",'ครุภัณฑ์ 68'!E:E,B51)</f>
        <v>0</v>
      </c>
      <c r="G51" s="13">
        <f>SUMIFS('ครุภัณฑ์ 68'!F:F,'ครุภัณฑ์ 68'!C:C,"ยานพาหนะและขนส่ง",'ครุภัณฑ์ 68'!E:E,B51)</f>
        <v>0</v>
      </c>
      <c r="H51" s="13">
        <f t="shared" si="10"/>
        <v>0</v>
      </c>
      <c r="I51" s="68">
        <f>SUMIFS('ครุภัณฑ์ 69'!G:G,'ครุภัณฑ์ 69'!C:C,"ยานพาหนะและขนส่ง",'ครุภัณฑ์ 69'!E:E,B51)</f>
        <v>0</v>
      </c>
      <c r="J51" s="68">
        <f>SUMIFS('ครุภัณฑ์ 69'!F:F,'ครุภัณฑ์ 69'!C:C,"ยานพาหนะและขนส่ง",'ครุภัณฑ์ 69'!E:E,B51)</f>
        <v>0</v>
      </c>
      <c r="K51" s="68">
        <f t="shared" si="11"/>
        <v>0</v>
      </c>
      <c r="L51" s="69">
        <f>SUMIFS('รวมครุภัณฑ์ 70'!L:L,'รวมครุภัณฑ์ 70'!C:C,"ครุภัณฑ์ยานพาหนะและขนส่ง",'รวมครุภัณฑ์ 70'!H:H,B51)</f>
        <v>0</v>
      </c>
      <c r="M51" s="73">
        <f>SUMIFS('รวมครุภัณฑ์ 70'!Q:Q,'รวมครุภัณฑ์ 70'!C:C,"ครุภัณฑ์ยานพาหนะและขนส่ง",'รวมครุภัณฑ์ 70'!H:H,B51)</f>
        <v>0</v>
      </c>
      <c r="N51" s="73">
        <f>SUMIFS('รวมครุภัณฑ์ 70'!R:R,'รวมครุภัณฑ์ 70'!C:C,"ครุภัณฑ์ยานพาหนะและขนส่ง",'รวมครุภัณฑ์ 70'!H:H,B51)</f>
        <v>0</v>
      </c>
      <c r="O51" s="73">
        <f t="shared" si="12"/>
        <v>0</v>
      </c>
      <c r="P51" s="69">
        <f t="shared" si="13"/>
        <v>0</v>
      </c>
      <c r="Q51" s="70"/>
    </row>
    <row r="52" spans="1:17" ht="21">
      <c r="A52" s="71" t="s">
        <v>64</v>
      </c>
      <c r="B52" s="67" t="s">
        <v>247</v>
      </c>
      <c r="C52" s="22">
        <f>SUMIFS('ครุภัณฑ์ 67'!G:G,'ครุภัณฑ์ 67'!C:C,"ยานพาหนะและขนส่ง",'ครุภัณฑ์ 67'!E:E,B52)</f>
        <v>0</v>
      </c>
      <c r="D52" s="75">
        <f>SUMIFS('ครุภัณฑ์ 67'!F:F,'ครุภัณฑ์ 67'!C:C,"ยานพาหนะและขนส่ง",'ครุภัณฑ์ 67'!E:E,B52)</f>
        <v>0</v>
      </c>
      <c r="E52" s="22">
        <f t="shared" si="14"/>
        <v>0</v>
      </c>
      <c r="F52" s="13">
        <f>SUMIFS('ครุภัณฑ์ 68'!G:G,'ครุภัณฑ์ 68'!C:C,"ยานพาหนะและขนส่ง",'ครุภัณฑ์ 68'!E:E,B52)</f>
        <v>13312000</v>
      </c>
      <c r="G52" s="13">
        <f>SUMIFS('ครุภัณฑ์ 68'!F:F,'ครุภัณฑ์ 68'!C:C,"ยานพาหนะและขนส่ง",'ครุภัณฑ์ 68'!E:E,B52)</f>
        <v>8</v>
      </c>
      <c r="H52" s="13">
        <f t="shared" si="10"/>
        <v>13312000</v>
      </c>
      <c r="I52" s="68">
        <f>SUMIFS('ครุภัณฑ์ 69'!G:G,'ครุภัณฑ์ 69'!C:C,"ยานพาหนะและขนส่ง",'ครุภัณฑ์ 69'!E:E,B52)</f>
        <v>0</v>
      </c>
      <c r="J52" s="68">
        <f>SUMIFS('ครุภัณฑ์ 69'!F:F,'ครุภัณฑ์ 69'!C:C,"ยานพาหนะและขนส่ง",'ครุภัณฑ์ 69'!E:E,B52)</f>
        <v>0</v>
      </c>
      <c r="K52" s="68">
        <f t="shared" si="11"/>
        <v>0</v>
      </c>
      <c r="L52" s="69">
        <f>SUMIFS('รวมครุภัณฑ์ 70'!L:L,'รวมครุภัณฑ์ 70'!C:C,"ครุภัณฑ์ยานพาหนะและขนส่ง",'รวมครุภัณฑ์ 70'!H:H,B52)</f>
        <v>0</v>
      </c>
      <c r="M52" s="73">
        <f>SUMIFS('รวมครุภัณฑ์ 70'!Q:Q,'รวมครุภัณฑ์ 70'!C:C,"ครุภัณฑ์ยานพาหนะและขนส่ง",'รวมครุภัณฑ์ 70'!H:H,B52)</f>
        <v>0</v>
      </c>
      <c r="N52" s="73">
        <f>SUMIFS('รวมครุภัณฑ์ 70'!R:R,'รวมครุภัณฑ์ 70'!C:C,"ครุภัณฑ์ยานพาหนะและขนส่ง",'รวมครุภัณฑ์ 70'!H:H,B52)</f>
        <v>0</v>
      </c>
      <c r="O52" s="73">
        <f t="shared" si="12"/>
        <v>0</v>
      </c>
      <c r="P52" s="69">
        <f t="shared" si="13"/>
        <v>0</v>
      </c>
      <c r="Q52" s="70"/>
    </row>
    <row r="53" spans="1:17" ht="21">
      <c r="A53" s="71" t="s">
        <v>64</v>
      </c>
      <c r="B53" s="67" t="s">
        <v>68</v>
      </c>
      <c r="C53" s="22">
        <f>SUMIFS('ครุภัณฑ์ 67'!G:G,'ครุภัณฑ์ 67'!C:C,"ยานพาหนะและขนส่ง",'ครุภัณฑ์ 67'!E:E,B53)</f>
        <v>0</v>
      </c>
      <c r="D53" s="75">
        <f>SUMIFS('ครุภัณฑ์ 67'!F:F,'ครุภัณฑ์ 67'!C:C,"ยานพาหนะและขนส่ง",'ครุภัณฑ์ 67'!E:E,B53)</f>
        <v>0</v>
      </c>
      <c r="E53" s="22">
        <f t="shared" si="14"/>
        <v>0</v>
      </c>
      <c r="F53" s="13">
        <f>SUMIFS('ครุภัณฑ์ 68'!G:G,'ครุภัณฑ์ 68'!C:C,"ยานพาหนะและขนส่ง",'ครุภัณฑ์ 68'!E:E,B53)</f>
        <v>1664000</v>
      </c>
      <c r="G53" s="13">
        <f>SUMIFS('ครุภัณฑ์ 68'!F:F,'ครุภัณฑ์ 68'!C:C,"ยานพาหนะและขนส่ง",'ครุภัณฑ์ 68'!E:E,B53)</f>
        <v>1</v>
      </c>
      <c r="H53" s="13">
        <f t="shared" si="10"/>
        <v>1664000</v>
      </c>
      <c r="I53" s="68">
        <f>SUMIFS('ครุภัณฑ์ 69'!G:G,'ครุภัณฑ์ 69'!C:C,"ยานพาหนะและขนส่ง",'ครุภัณฑ์ 69'!E:E,B53)</f>
        <v>825000</v>
      </c>
      <c r="J53" s="68">
        <f>SUMIFS('ครุภัณฑ์ 69'!F:F,'ครุภัณฑ์ 69'!C:C,"ยานพาหนะและขนส่ง",'ครุภัณฑ์ 69'!E:E,B53)</f>
        <v>1</v>
      </c>
      <c r="K53" s="68">
        <f t="shared" si="11"/>
        <v>825000</v>
      </c>
      <c r="L53" s="69">
        <f>SUMIFS('รวมครุภัณฑ์ 70'!L:L,'รวมครุภัณฑ์ 70'!C:C,"ครุภัณฑ์ยานพาหนะและขนส่ง",'รวมครุภัณฑ์ 70'!H:H,B53)</f>
        <v>0</v>
      </c>
      <c r="M53" s="73">
        <f>SUMIFS('รวมครุภัณฑ์ 70'!Q:Q,'รวมครุภัณฑ์ 70'!C:C,"ครุภัณฑ์ยานพาหนะและขนส่ง",'รวมครุภัณฑ์ 70'!H:H,B53)</f>
        <v>0</v>
      </c>
      <c r="N53" s="73">
        <f>SUMIFS('รวมครุภัณฑ์ 70'!R:R,'รวมครุภัณฑ์ 70'!C:C,"ครุภัณฑ์ยานพาหนะและขนส่ง",'รวมครุภัณฑ์ 70'!H:H,B53)</f>
        <v>0</v>
      </c>
      <c r="O53" s="73">
        <f t="shared" si="12"/>
        <v>0</v>
      </c>
      <c r="P53" s="69">
        <f t="shared" si="13"/>
        <v>0</v>
      </c>
      <c r="Q53" s="70"/>
    </row>
    <row r="54" spans="1:17" ht="21">
      <c r="A54" s="71" t="s">
        <v>64</v>
      </c>
      <c r="B54" s="67" t="s">
        <v>77</v>
      </c>
      <c r="C54" s="22">
        <f>SUMIFS('ครุภัณฑ์ 67'!G:G,'ครุภัณฑ์ 67'!C:C,"ยานพาหนะและขนส่ง",'ครุภัณฑ์ 67'!E:E,B54)</f>
        <v>0</v>
      </c>
      <c r="D54" s="75">
        <f>SUMIFS('ครุภัณฑ์ 67'!F:F,'ครุภัณฑ์ 67'!C:C,"ยานพาหนะและขนส่ง",'ครุภัณฑ์ 67'!E:E,B54)</f>
        <v>0</v>
      </c>
      <c r="E54" s="22">
        <f t="shared" si="14"/>
        <v>0</v>
      </c>
      <c r="F54" s="13">
        <f>SUMIFS('ครุภัณฑ์ 68'!G:G,'ครุภัณฑ์ 68'!C:C,"ยานพาหนะและขนส่ง",'ครุภัณฑ์ 68'!E:E,B54)</f>
        <v>0</v>
      </c>
      <c r="G54" s="13">
        <f>SUMIFS('ครุภัณฑ์ 68'!F:F,'ครุภัณฑ์ 68'!C:C,"ยานพาหนะและขนส่ง",'ครุภัณฑ์ 68'!E:E,B54)</f>
        <v>0</v>
      </c>
      <c r="H54" s="13">
        <f t="shared" si="10"/>
        <v>0</v>
      </c>
      <c r="I54" s="68">
        <f>SUMIFS('ครุภัณฑ์ 69'!G:G,'ครุภัณฑ์ 69'!C:C,"ยานพาหนะและขนส่ง",'ครุภัณฑ์ 69'!E:E,B54)</f>
        <v>0</v>
      </c>
      <c r="J54" s="68">
        <f>SUMIFS('ครุภัณฑ์ 69'!F:F,'ครุภัณฑ์ 69'!C:C,"ยานพาหนะและขนส่ง",'ครุภัณฑ์ 69'!E:E,B54)</f>
        <v>0</v>
      </c>
      <c r="K54" s="68">
        <f t="shared" si="11"/>
        <v>0</v>
      </c>
      <c r="L54" s="69">
        <f>SUMIFS('รวมครุภัณฑ์ 70'!L:L,'รวมครุภัณฑ์ 70'!C:C,"ครุภัณฑ์ยานพาหนะและขนส่ง",'รวมครุภัณฑ์ 70'!H:H,B54)</f>
        <v>0</v>
      </c>
      <c r="M54" s="73">
        <f>SUMIFS('รวมครุภัณฑ์ 70'!Q:Q,'รวมครุภัณฑ์ 70'!C:C,"ครุภัณฑ์ยานพาหนะและขนส่ง",'รวมครุภัณฑ์ 70'!H:H,B54)</f>
        <v>0</v>
      </c>
      <c r="N54" s="73">
        <f>SUMIFS('รวมครุภัณฑ์ 70'!R:R,'รวมครุภัณฑ์ 70'!C:C,"ครุภัณฑ์ยานพาหนะและขนส่ง",'รวมครุภัณฑ์ 70'!H:H,B54)</f>
        <v>0</v>
      </c>
      <c r="O54" s="73">
        <f t="shared" si="12"/>
        <v>0</v>
      </c>
      <c r="P54" s="69">
        <f t="shared" si="13"/>
        <v>0</v>
      </c>
      <c r="Q54" s="70"/>
    </row>
    <row r="55" spans="1:17" ht="21">
      <c r="A55" s="71" t="s">
        <v>340</v>
      </c>
      <c r="B55" s="67" t="s">
        <v>343</v>
      </c>
      <c r="C55" s="22">
        <f>SUMIFS('ครุภัณฑ์ 67'!G:G,'ครุภัณฑ์ 67'!C:C,"ยานพาหนะและขนส่ง",'ครุภัณฑ์ 67'!E:E,B55)</f>
        <v>1976800</v>
      </c>
      <c r="D55" s="75">
        <f>SUMIFS('ครุภัณฑ์ 67'!F:F,'ครุภัณฑ์ 67'!C:C,"ยานพาหนะและขนส่ง",'ครุภัณฑ์ 67'!E:E,B55)</f>
        <v>2</v>
      </c>
      <c r="E55" s="22">
        <f t="shared" si="14"/>
        <v>1976800</v>
      </c>
      <c r="F55" s="13">
        <f>SUMIFS('ครุภัณฑ์ 68'!G:G,'ครุภัณฑ์ 68'!C:C,"ยานพาหนะและขนส่ง",'ครุภัณฑ์ 68'!E:E,B55)</f>
        <v>0</v>
      </c>
      <c r="G55" s="13">
        <f>SUMIFS('ครุภัณฑ์ 68'!F:F,'ครุภัณฑ์ 68'!C:C,"ยานพาหนะและขนส่ง",'ครุภัณฑ์ 68'!E:E,B55)</f>
        <v>0</v>
      </c>
      <c r="H55" s="13">
        <f t="shared" si="10"/>
        <v>0</v>
      </c>
      <c r="I55" s="68">
        <f>SUMIFS('ครุภัณฑ์ 69'!G:G,'ครุภัณฑ์ 69'!C:C,"ยานพาหนะและขนส่ง",'ครุภัณฑ์ 69'!E:E,B55)</f>
        <v>0</v>
      </c>
      <c r="J55" s="68">
        <f>SUMIFS('ครุภัณฑ์ 69'!F:F,'ครุภัณฑ์ 69'!C:C,"ยานพาหนะและขนส่ง",'ครุภัณฑ์ 69'!E:E,B55)</f>
        <v>0</v>
      </c>
      <c r="K55" s="68">
        <f t="shared" si="11"/>
        <v>0</v>
      </c>
      <c r="L55" s="69">
        <f>SUMIFS('รวมครุภัณฑ์ 70'!L:L,'รวมครุภัณฑ์ 70'!C:C,"ครุภัณฑ์ยานพาหนะและขนส่ง",'รวมครุภัณฑ์ 70'!H:H,B55)</f>
        <v>0</v>
      </c>
      <c r="M55" s="73">
        <f>SUMIFS('รวมครุภัณฑ์ 70'!Q:Q,'รวมครุภัณฑ์ 70'!C:C,"ครุภัณฑ์ยานพาหนะและขนส่ง",'รวมครุภัณฑ์ 70'!H:H,B55)</f>
        <v>0</v>
      </c>
      <c r="N55" s="73">
        <f>SUMIFS('รวมครุภัณฑ์ 70'!R:R,'รวมครุภัณฑ์ 70'!C:C,"ครุภัณฑ์ยานพาหนะและขนส่ง",'รวมครุภัณฑ์ 70'!H:H,B55)</f>
        <v>0</v>
      </c>
      <c r="O55" s="73">
        <f t="shared" si="12"/>
        <v>0</v>
      </c>
      <c r="P55" s="69">
        <f t="shared" si="13"/>
        <v>0</v>
      </c>
      <c r="Q55" s="70"/>
    </row>
    <row r="56" spans="1:17" ht="21">
      <c r="A56" s="71" t="s">
        <v>344</v>
      </c>
      <c r="B56" s="67" t="s">
        <v>346</v>
      </c>
      <c r="C56" s="22">
        <f>SUMIFS('ครุภัณฑ์ 67'!G:G,'ครุภัณฑ์ 67'!C:C,"ยานพาหนะและขนส่ง",'ครุภัณฑ์ 67'!E:E,B56)</f>
        <v>0</v>
      </c>
      <c r="D56" s="75">
        <f>SUMIFS('ครุภัณฑ์ 67'!F:F,'ครุภัณฑ์ 67'!C:C,"ยานพาหนะและขนส่ง",'ครุภัณฑ์ 67'!E:E,B56)</f>
        <v>0</v>
      </c>
      <c r="E56" s="22">
        <f t="shared" si="14"/>
        <v>0</v>
      </c>
      <c r="F56" s="13">
        <f>SUMIFS('ครุภัณฑ์ 68'!G:G,'ครุภัณฑ์ 68'!C:C,"ยานพาหนะและขนส่ง",'ครุภัณฑ์ 68'!E:E,B56)</f>
        <v>0</v>
      </c>
      <c r="G56" s="13">
        <f>SUMIFS('ครุภัณฑ์ 68'!F:F,'ครุภัณฑ์ 68'!C:C,"ยานพาหนะและขนส่ง",'ครุภัณฑ์ 68'!E:E,B56)</f>
        <v>0</v>
      </c>
      <c r="H56" s="13">
        <f t="shared" si="10"/>
        <v>0</v>
      </c>
      <c r="I56" s="68">
        <f>SUMIFS('ครุภัณฑ์ 69'!G:G,'ครุภัณฑ์ 69'!C:C,"ยานพาหนะและขนส่ง",'ครุภัณฑ์ 69'!E:E,B56)</f>
        <v>0</v>
      </c>
      <c r="J56" s="68">
        <f>SUMIFS('ครุภัณฑ์ 69'!F:F,'ครุภัณฑ์ 69'!C:C,"ยานพาหนะและขนส่ง",'ครุภัณฑ์ 69'!E:E,B56)</f>
        <v>0</v>
      </c>
      <c r="K56" s="68">
        <f t="shared" si="11"/>
        <v>0</v>
      </c>
      <c r="L56" s="69">
        <f>SUMIFS('รวมครุภัณฑ์ 70'!L:L,'รวมครุภัณฑ์ 70'!C:C,"ครุภัณฑ์ยานพาหนะและขนส่ง",'รวมครุภัณฑ์ 70'!H:H,B56)</f>
        <v>0</v>
      </c>
      <c r="M56" s="73">
        <f>SUMIFS('รวมครุภัณฑ์ 70'!Q:Q,'รวมครุภัณฑ์ 70'!C:C,"ครุภัณฑ์ยานพาหนะและขนส่ง",'รวมครุภัณฑ์ 70'!H:H,B56)</f>
        <v>0</v>
      </c>
      <c r="N56" s="73">
        <f>SUMIFS('รวมครุภัณฑ์ 70'!R:R,'รวมครุภัณฑ์ 70'!C:C,"ครุภัณฑ์ยานพาหนะและขนส่ง",'รวมครุภัณฑ์ 70'!H:H,B56)</f>
        <v>0</v>
      </c>
      <c r="O56" s="73">
        <f t="shared" si="12"/>
        <v>0</v>
      </c>
      <c r="P56" s="69">
        <f t="shared" si="13"/>
        <v>0</v>
      </c>
      <c r="Q56" s="70"/>
    </row>
    <row r="57" spans="1:17" ht="21">
      <c r="A57" s="71" t="s">
        <v>199</v>
      </c>
      <c r="B57" s="67" t="s">
        <v>201</v>
      </c>
      <c r="C57" s="22">
        <f>SUMIFS('ครุภัณฑ์ 67'!G:G,'ครุภัณฑ์ 67'!C:C,"ยานพาหนะและขนส่ง",'ครุภัณฑ์ 67'!E:E,B57)</f>
        <v>0</v>
      </c>
      <c r="D57" s="75">
        <f>SUMIFS('ครุภัณฑ์ 67'!F:F,'ครุภัณฑ์ 67'!C:C,"ยานพาหนะและขนส่ง",'ครุภัณฑ์ 67'!E:E,B57)</f>
        <v>0</v>
      </c>
      <c r="E57" s="22">
        <f t="shared" si="14"/>
        <v>0</v>
      </c>
      <c r="F57" s="13">
        <f>SUMIFS('ครุภัณฑ์ 68'!G:G,'ครุภัณฑ์ 68'!C:C,"ยานพาหนะและขนส่ง",'ครุภัณฑ์ 68'!E:E,B57)</f>
        <v>0</v>
      </c>
      <c r="G57" s="13">
        <f>SUMIFS('ครุภัณฑ์ 68'!F:F,'ครุภัณฑ์ 68'!C:C,"ยานพาหนะและขนส่ง",'ครุภัณฑ์ 68'!E:E,B57)</f>
        <v>0</v>
      </c>
      <c r="H57" s="13">
        <f t="shared" si="10"/>
        <v>0</v>
      </c>
      <c r="I57" s="68">
        <f>SUMIFS('ครุภัณฑ์ 69'!G:G,'ครุภัณฑ์ 69'!C:C,"ยานพาหนะและขนส่ง",'ครุภัณฑ์ 69'!E:E,B57)</f>
        <v>0</v>
      </c>
      <c r="J57" s="68">
        <f>SUMIFS('ครุภัณฑ์ 69'!F:F,'ครุภัณฑ์ 69'!C:C,"ยานพาหนะและขนส่ง",'ครุภัณฑ์ 69'!E:E,B57)</f>
        <v>0</v>
      </c>
      <c r="K57" s="68">
        <f t="shared" si="11"/>
        <v>0</v>
      </c>
      <c r="L57" s="69">
        <f>SUMIFS('รวมครุภัณฑ์ 70'!L:L,'รวมครุภัณฑ์ 70'!C:C,"ครุภัณฑ์ยานพาหนะและขนส่ง",'รวมครุภัณฑ์ 70'!H:H,B57)</f>
        <v>2705900</v>
      </c>
      <c r="M57" s="73">
        <f>SUMIFS('รวมครุภัณฑ์ 70'!Q:Q,'รวมครุภัณฑ์ 70'!C:C,"ครุภัณฑ์ยานพาหนะและขนส่ง",'รวมครุภัณฑ์ 70'!H:H,B57)</f>
        <v>2</v>
      </c>
      <c r="N57" s="73">
        <f>SUMIFS('รวมครุภัณฑ์ 70'!R:R,'รวมครุภัณฑ์ 70'!C:C,"ครุภัณฑ์ยานพาหนะและขนส่ง",'รวมครุภัณฑ์ 70'!H:H,B57)</f>
        <v>0</v>
      </c>
      <c r="O57" s="73">
        <f t="shared" si="12"/>
        <v>2</v>
      </c>
      <c r="P57" s="69">
        <f t="shared" si="13"/>
        <v>2705900</v>
      </c>
      <c r="Q57" s="70"/>
    </row>
    <row r="58" spans="1:17" ht="21">
      <c r="A58" s="71" t="s">
        <v>285</v>
      </c>
      <c r="B58" s="67" t="s">
        <v>287</v>
      </c>
      <c r="C58" s="22">
        <f>SUMIFS('ครุภัณฑ์ 67'!G:G,'ครุภัณฑ์ 67'!C:C,"ยานพาหนะและขนส่ง",'ครุภัณฑ์ 67'!E:E,B58)</f>
        <v>885900</v>
      </c>
      <c r="D58" s="75">
        <f>SUMIFS('ครุภัณฑ์ 67'!F:F,'ครุภัณฑ์ 67'!C:C,"ยานพาหนะและขนส่ง",'ครุภัณฑ์ 67'!E:E,B58)</f>
        <v>1</v>
      </c>
      <c r="E58" s="22">
        <f t="shared" si="14"/>
        <v>885900</v>
      </c>
      <c r="F58" s="13">
        <f>SUMIFS('ครุภัณฑ์ 68'!G:G,'ครุภัณฑ์ 68'!C:C,"ยานพาหนะและขนส่ง",'ครุภัณฑ์ 68'!E:E,B58)</f>
        <v>0</v>
      </c>
      <c r="G58" s="13">
        <f>SUMIFS('ครุภัณฑ์ 68'!F:F,'ครุภัณฑ์ 68'!C:C,"ยานพาหนะและขนส่ง",'ครุภัณฑ์ 68'!E:E,B58)</f>
        <v>0</v>
      </c>
      <c r="H58" s="13">
        <f t="shared" si="10"/>
        <v>0</v>
      </c>
      <c r="I58" s="68">
        <f>SUMIFS('ครุภัณฑ์ 69'!G:G,'ครุภัณฑ์ 69'!C:C,"ยานพาหนะและขนส่ง",'ครุภัณฑ์ 69'!E:E,B58)</f>
        <v>0</v>
      </c>
      <c r="J58" s="68">
        <f>SUMIFS('ครุภัณฑ์ 69'!F:F,'ครุภัณฑ์ 69'!C:C,"ยานพาหนะและขนส่ง",'ครุภัณฑ์ 69'!E:E,B58)</f>
        <v>0</v>
      </c>
      <c r="K58" s="68">
        <f t="shared" si="11"/>
        <v>0</v>
      </c>
      <c r="L58" s="69">
        <f>SUMIFS('รวมครุภัณฑ์ 70'!L:L,'รวมครุภัณฑ์ 70'!C:C,"ครุภัณฑ์ยานพาหนะและขนส่ง",'รวมครุภัณฑ์ 70'!H:H,B58)</f>
        <v>0</v>
      </c>
      <c r="M58" s="73">
        <f>SUMIFS('รวมครุภัณฑ์ 70'!Q:Q,'รวมครุภัณฑ์ 70'!C:C,"ครุภัณฑ์ยานพาหนะและขนส่ง",'รวมครุภัณฑ์ 70'!H:H,B58)</f>
        <v>0</v>
      </c>
      <c r="N58" s="73">
        <f>SUMIFS('รวมครุภัณฑ์ 70'!R:R,'รวมครุภัณฑ์ 70'!C:C,"ครุภัณฑ์ยานพาหนะและขนส่ง",'รวมครุภัณฑ์ 70'!H:H,B58)</f>
        <v>0</v>
      </c>
      <c r="O58" s="73">
        <f t="shared" si="12"/>
        <v>0</v>
      </c>
      <c r="P58" s="69">
        <f t="shared" si="13"/>
        <v>0</v>
      </c>
      <c r="Q58" s="70"/>
    </row>
    <row r="59" spans="1:17" ht="21">
      <c r="A59" s="71" t="s">
        <v>103</v>
      </c>
      <c r="B59" s="67" t="s">
        <v>350</v>
      </c>
      <c r="C59" s="22">
        <f>SUMIFS('ครุภัณฑ์ 67'!G:G,'ครุภัณฑ์ 67'!C:C,"ยานพาหนะและขนส่ง",'ครุภัณฑ์ 67'!E:E,B59)</f>
        <v>10600</v>
      </c>
      <c r="D59" s="75">
        <f>SUMIFS('ครุภัณฑ์ 67'!F:F,'ครุภัณฑ์ 67'!C:C,"ยานพาหนะและขนส่ง",'ครุภัณฑ์ 67'!E:E,B59)</f>
        <v>1</v>
      </c>
      <c r="E59" s="22">
        <f t="shared" si="14"/>
        <v>10600</v>
      </c>
      <c r="F59" s="13">
        <f>SUMIFS('ครุภัณฑ์ 68'!G:G,'ครุภัณฑ์ 68'!C:C,"ยานพาหนะและขนส่ง",'ครุภัณฑ์ 68'!E:E,B59)</f>
        <v>0</v>
      </c>
      <c r="G59" s="13">
        <f>SUMIFS('ครุภัณฑ์ 68'!F:F,'ครุภัณฑ์ 68'!C:C,"ยานพาหนะและขนส่ง",'ครุภัณฑ์ 68'!E:E,B59)</f>
        <v>0</v>
      </c>
      <c r="H59" s="13">
        <f t="shared" si="10"/>
        <v>0</v>
      </c>
      <c r="I59" s="68">
        <f>SUMIFS('ครุภัณฑ์ 69'!G:G,'ครุภัณฑ์ 69'!C:C,"ยานพาหนะและขนส่ง",'ครุภัณฑ์ 69'!E:E,B59)</f>
        <v>0</v>
      </c>
      <c r="J59" s="68">
        <f>SUMIFS('ครุภัณฑ์ 69'!F:F,'ครุภัณฑ์ 69'!C:C,"ยานพาหนะและขนส่ง",'ครุภัณฑ์ 69'!E:E,B59)</f>
        <v>0</v>
      </c>
      <c r="K59" s="68">
        <f t="shared" si="11"/>
        <v>0</v>
      </c>
      <c r="L59" s="69">
        <f>SUMIFS('รวมครุภัณฑ์ 70'!L:L,'รวมครุภัณฑ์ 70'!C:C,"ครุภัณฑ์ยานพาหนะและขนส่ง",'รวมครุภัณฑ์ 70'!H:H,B59)</f>
        <v>970900</v>
      </c>
      <c r="M59" s="73">
        <f>SUMIFS('รวมครุภัณฑ์ 70'!Q:Q,'รวมครุภัณฑ์ 70'!C:C,"ครุภัณฑ์ยานพาหนะและขนส่ง",'รวมครุภัณฑ์ 70'!H:H,B59)</f>
        <v>1</v>
      </c>
      <c r="N59" s="73">
        <f>SUMIFS('รวมครุภัณฑ์ 70'!R:R,'รวมครุภัณฑ์ 70'!C:C,"ครุภัณฑ์ยานพาหนะและขนส่ง",'รวมครุภัณฑ์ 70'!H:H,B59)</f>
        <v>0</v>
      </c>
      <c r="O59" s="73">
        <f t="shared" si="12"/>
        <v>1</v>
      </c>
      <c r="P59" s="69">
        <f t="shared" si="13"/>
        <v>970900</v>
      </c>
      <c r="Q59" s="70"/>
    </row>
    <row r="60" spans="1:17" ht="21">
      <c r="A60" s="71" t="s">
        <v>103</v>
      </c>
      <c r="B60" s="67" t="s">
        <v>106</v>
      </c>
      <c r="C60" s="22">
        <f>SUMIFS('ครุภัณฑ์ 67'!G:G,'ครุภัณฑ์ 67'!C:C,"ยานพาหนะและขนส่ง",'ครุภัณฑ์ 67'!E:E,B60)</f>
        <v>0</v>
      </c>
      <c r="D60" s="75">
        <f>SUMIFS('ครุภัณฑ์ 67'!F:F,'ครุภัณฑ์ 67'!C:C,"ยานพาหนะและขนส่ง",'ครุภัณฑ์ 67'!E:E,B60)</f>
        <v>0</v>
      </c>
      <c r="E60" s="22">
        <f t="shared" si="14"/>
        <v>0</v>
      </c>
      <c r="F60" s="13">
        <f>SUMIFS('ครุภัณฑ์ 68'!G:G,'ครุภัณฑ์ 68'!C:C,"ยานพาหนะและขนส่ง",'ครุภัณฑ์ 68'!E:E,B60)</f>
        <v>0</v>
      </c>
      <c r="G60" s="13">
        <f>SUMIFS('ครุภัณฑ์ 68'!F:F,'ครุภัณฑ์ 68'!C:C,"ยานพาหนะและขนส่ง",'ครุภัณฑ์ 68'!E:E,B60)</f>
        <v>0</v>
      </c>
      <c r="H60" s="13">
        <f t="shared" si="10"/>
        <v>0</v>
      </c>
      <c r="I60" s="68">
        <f>SUMIFS('ครุภัณฑ์ 69'!G:G,'ครุภัณฑ์ 69'!C:C,"ยานพาหนะและขนส่ง",'ครุภัณฑ์ 69'!E:E,B60)</f>
        <v>0</v>
      </c>
      <c r="J60" s="68">
        <f>SUMIFS('ครุภัณฑ์ 69'!F:F,'ครุภัณฑ์ 69'!C:C,"ยานพาหนะและขนส่ง",'ครุภัณฑ์ 69'!E:E,B60)</f>
        <v>0</v>
      </c>
      <c r="K60" s="68">
        <f t="shared" si="11"/>
        <v>0</v>
      </c>
      <c r="L60" s="69">
        <f>SUMIFS('รวมครุภัณฑ์ 70'!L:L,'รวมครุภัณฑ์ 70'!C:C,"ครุภัณฑ์ยานพาหนะและขนส่ง",'รวมครุภัณฑ์ 70'!H:H,B60)</f>
        <v>0</v>
      </c>
      <c r="M60" s="73">
        <f>SUMIFS('รวมครุภัณฑ์ 70'!Q:Q,'รวมครุภัณฑ์ 70'!C:C,"ครุภัณฑ์ยานพาหนะและขนส่ง",'รวมครุภัณฑ์ 70'!H:H,B60)</f>
        <v>0</v>
      </c>
      <c r="N60" s="73">
        <f>SUMIFS('รวมครุภัณฑ์ 70'!R:R,'รวมครุภัณฑ์ 70'!C:C,"ครุภัณฑ์ยานพาหนะและขนส่ง",'รวมครุภัณฑ์ 70'!H:H,B60)</f>
        <v>0</v>
      </c>
      <c r="O60" s="73">
        <f t="shared" si="12"/>
        <v>0</v>
      </c>
      <c r="P60" s="69">
        <f t="shared" si="13"/>
        <v>0</v>
      </c>
      <c r="Q60" s="70"/>
    </row>
    <row r="61" spans="1:17" ht="21">
      <c r="A61" s="71" t="s">
        <v>352</v>
      </c>
      <c r="B61" s="67" t="s">
        <v>354</v>
      </c>
      <c r="C61" s="22">
        <f>SUMIFS('ครุภัณฑ์ 67'!G:G,'ครุภัณฑ์ 67'!C:C,"ยานพาหนะและขนส่ง",'ครุภัณฑ์ 67'!E:E,B61)</f>
        <v>885900</v>
      </c>
      <c r="D61" s="75">
        <f>SUMIFS('ครุภัณฑ์ 67'!F:F,'ครุภัณฑ์ 67'!C:C,"ยานพาหนะและขนส่ง",'ครุภัณฑ์ 67'!E:E,B61)</f>
        <v>1</v>
      </c>
      <c r="E61" s="22">
        <f t="shared" si="14"/>
        <v>885900</v>
      </c>
      <c r="F61" s="13">
        <f>SUMIFS('ครุภัณฑ์ 68'!G:G,'ครุภัณฑ์ 68'!C:C,"ยานพาหนะและขนส่ง",'ครุภัณฑ์ 68'!E:E,B61)</f>
        <v>0</v>
      </c>
      <c r="G61" s="13">
        <f>SUMIFS('ครุภัณฑ์ 68'!F:F,'ครุภัณฑ์ 68'!C:C,"ยานพาหนะและขนส่ง",'ครุภัณฑ์ 68'!E:E,B61)</f>
        <v>0</v>
      </c>
      <c r="H61" s="13">
        <f t="shared" si="10"/>
        <v>0</v>
      </c>
      <c r="I61" s="68">
        <f>SUMIFS('ครุภัณฑ์ 69'!G:G,'ครุภัณฑ์ 69'!C:C,"ยานพาหนะและขนส่ง",'ครุภัณฑ์ 69'!E:E,B61)</f>
        <v>0</v>
      </c>
      <c r="J61" s="68">
        <f>SUMIFS('ครุภัณฑ์ 69'!F:F,'ครุภัณฑ์ 69'!C:C,"ยานพาหนะและขนส่ง",'ครุภัณฑ์ 69'!E:E,B61)</f>
        <v>0</v>
      </c>
      <c r="K61" s="68">
        <f t="shared" si="11"/>
        <v>0</v>
      </c>
      <c r="L61" s="69">
        <f>SUMIFS('รวมครุภัณฑ์ 70'!L:L,'รวมครุภัณฑ์ 70'!C:C,"ครุภัณฑ์ยานพาหนะและขนส่ง",'รวมครุภัณฑ์ 70'!H:H,B61)</f>
        <v>1498000</v>
      </c>
      <c r="M61" s="73">
        <f>SUMIFS('รวมครุภัณฑ์ 70'!Q:Q,'รวมครุภัณฑ์ 70'!C:C,"ครุภัณฑ์ยานพาหนะและขนส่ง",'รวมครุภัณฑ์ 70'!H:H,B61)</f>
        <v>1</v>
      </c>
      <c r="N61" s="73">
        <f>SUMIFS('รวมครุภัณฑ์ 70'!R:R,'รวมครุภัณฑ์ 70'!C:C,"ครุภัณฑ์ยานพาหนะและขนส่ง",'รวมครุภัณฑ์ 70'!H:H,B61)</f>
        <v>0</v>
      </c>
      <c r="O61" s="73">
        <f t="shared" si="12"/>
        <v>1</v>
      </c>
      <c r="P61" s="69">
        <f t="shared" si="13"/>
        <v>1498000</v>
      </c>
      <c r="Q61" s="70"/>
    </row>
    <row r="62" spans="1:17" ht="21">
      <c r="A62" s="71" t="s">
        <v>253</v>
      </c>
      <c r="B62" s="67" t="s">
        <v>255</v>
      </c>
      <c r="C62" s="22">
        <f>SUMIFS('ครุภัณฑ์ 67'!G:G,'ครุภัณฑ์ 67'!C:C,"ยานพาหนะและขนส่ง",'ครุภัณฑ์ 67'!E:E,B62)</f>
        <v>0</v>
      </c>
      <c r="D62" s="75">
        <f>SUMIFS('ครุภัณฑ์ 67'!F:F,'ครุภัณฑ์ 67'!C:C,"ยานพาหนะและขนส่ง",'ครุภัณฑ์ 67'!E:E,B62)</f>
        <v>0</v>
      </c>
      <c r="E62" s="22">
        <f t="shared" si="14"/>
        <v>0</v>
      </c>
      <c r="F62" s="13">
        <f>SUMIFS('ครุภัณฑ์ 68'!G:G,'ครุภัณฑ์ 68'!C:C,"ยานพาหนะและขนส่ง",'ครุภัณฑ์ 68'!E:E,B62)</f>
        <v>1090900</v>
      </c>
      <c r="G62" s="13">
        <f>SUMIFS('ครุภัณฑ์ 68'!F:F,'ครุภัณฑ์ 68'!C:C,"ยานพาหนะและขนส่ง",'ครุภัณฑ์ 68'!E:E,B62)</f>
        <v>1</v>
      </c>
      <c r="H62" s="13">
        <f t="shared" si="10"/>
        <v>1090900</v>
      </c>
      <c r="I62" s="68">
        <f>SUMIFS('ครุภัณฑ์ 69'!G:G,'ครุภัณฑ์ 69'!C:C,"ยานพาหนะและขนส่ง",'ครุภัณฑ์ 69'!E:E,B62)</f>
        <v>0</v>
      </c>
      <c r="J62" s="68">
        <f>SUMIFS('ครุภัณฑ์ 69'!F:F,'ครุภัณฑ์ 69'!C:C,"ยานพาหนะและขนส่ง",'ครุภัณฑ์ 69'!E:E,B62)</f>
        <v>0</v>
      </c>
      <c r="K62" s="68">
        <f t="shared" si="11"/>
        <v>0</v>
      </c>
      <c r="L62" s="69">
        <f>SUMIFS('รวมครุภัณฑ์ 70'!L:L,'รวมครุภัณฑ์ 70'!C:C,"ครุภัณฑ์ยานพาหนะและขนส่ง",'รวมครุภัณฑ์ 70'!H:H,B62)</f>
        <v>0</v>
      </c>
      <c r="M62" s="73">
        <f>SUMIFS('รวมครุภัณฑ์ 70'!Q:Q,'รวมครุภัณฑ์ 70'!C:C,"ครุภัณฑ์ยานพาหนะและขนส่ง",'รวมครุภัณฑ์ 70'!H:H,B62)</f>
        <v>0</v>
      </c>
      <c r="N62" s="73">
        <f>SUMIFS('รวมครุภัณฑ์ 70'!R:R,'รวมครุภัณฑ์ 70'!C:C,"ครุภัณฑ์ยานพาหนะและขนส่ง",'รวมครุภัณฑ์ 70'!H:H,B62)</f>
        <v>0</v>
      </c>
      <c r="O62" s="73">
        <f t="shared" si="12"/>
        <v>0</v>
      </c>
      <c r="P62" s="69">
        <f t="shared" si="13"/>
        <v>0</v>
      </c>
      <c r="Q62" s="70"/>
    </row>
    <row r="63" spans="1:17" ht="21">
      <c r="A63" s="71" t="s">
        <v>357</v>
      </c>
      <c r="B63" s="67" t="s">
        <v>356</v>
      </c>
      <c r="C63" s="22">
        <f>SUMIFS('ครุภัณฑ์ 67'!G:G,'ครุภัณฑ์ 67'!C:C,"ยานพาหนะและขนส่ง",'ครุภัณฑ์ 67'!E:E,B63)</f>
        <v>0</v>
      </c>
      <c r="D63" s="75">
        <f>SUMIFS('ครุภัณฑ์ 67'!F:F,'ครุภัณฑ์ 67'!C:C,"ยานพาหนะและขนส่ง",'ครุภัณฑ์ 67'!E:E,B63)</f>
        <v>0</v>
      </c>
      <c r="E63" s="22">
        <f t="shared" si="14"/>
        <v>0</v>
      </c>
      <c r="F63" s="13">
        <f>SUMIFS('ครุภัณฑ์ 68'!G:G,'ครุภัณฑ์ 68'!C:C,"ยานพาหนะและขนส่ง",'ครุภัณฑ์ 68'!E:E,B63)</f>
        <v>0</v>
      </c>
      <c r="G63" s="13">
        <f>SUMIFS('ครุภัณฑ์ 68'!F:F,'ครุภัณฑ์ 68'!C:C,"ยานพาหนะและขนส่ง",'ครุภัณฑ์ 68'!E:E,B63)</f>
        <v>0</v>
      </c>
      <c r="H63" s="13">
        <f t="shared" si="10"/>
        <v>0</v>
      </c>
      <c r="I63" s="68">
        <f>SUMIFS('ครุภัณฑ์ 69'!G:G,'ครุภัณฑ์ 69'!C:C,"ยานพาหนะและขนส่ง",'ครุภัณฑ์ 69'!E:E,B63)</f>
        <v>0</v>
      </c>
      <c r="J63" s="68">
        <f>SUMIFS('ครุภัณฑ์ 69'!F:F,'ครุภัณฑ์ 69'!C:C,"ยานพาหนะและขนส่ง",'ครุภัณฑ์ 69'!E:E,B63)</f>
        <v>0</v>
      </c>
      <c r="K63" s="68">
        <f t="shared" si="11"/>
        <v>0</v>
      </c>
      <c r="L63" s="69">
        <f>SUMIFS('รวมครุภัณฑ์ 70'!L:L,'รวมครุภัณฑ์ 70'!C:C,"ครุภัณฑ์ยานพาหนะและขนส่ง",'รวมครุภัณฑ์ 70'!H:H,B63)</f>
        <v>0</v>
      </c>
      <c r="M63" s="73">
        <f>SUMIFS('รวมครุภัณฑ์ 70'!Q:Q,'รวมครุภัณฑ์ 70'!C:C,"ครุภัณฑ์ยานพาหนะและขนส่ง",'รวมครุภัณฑ์ 70'!H:H,B63)</f>
        <v>0</v>
      </c>
      <c r="N63" s="73">
        <f>SUMIFS('รวมครุภัณฑ์ 70'!R:R,'รวมครุภัณฑ์ 70'!C:C,"ครุภัณฑ์ยานพาหนะและขนส่ง",'รวมครุภัณฑ์ 70'!H:H,B63)</f>
        <v>0</v>
      </c>
      <c r="O63" s="73">
        <f t="shared" si="12"/>
        <v>0</v>
      </c>
      <c r="P63" s="69">
        <f t="shared" si="13"/>
        <v>0</v>
      </c>
      <c r="Q63" s="70"/>
    </row>
    <row r="64" spans="1:17" ht="21">
      <c r="A64" s="71" t="s">
        <v>107</v>
      </c>
      <c r="B64" s="67" t="s">
        <v>109</v>
      </c>
      <c r="C64" s="22">
        <f>SUMIFS('ครุภัณฑ์ 67'!G:G,'ครุภัณฑ์ 67'!C:C,"ยานพาหนะและขนส่ง",'ครุภัณฑ์ 67'!E:E,B64)</f>
        <v>1090900</v>
      </c>
      <c r="D64" s="75">
        <f>SUMIFS('ครุภัณฑ์ 67'!F:F,'ครุภัณฑ์ 67'!C:C,"ยานพาหนะและขนส่ง",'ครุภัณฑ์ 67'!E:E,B64)</f>
        <v>1</v>
      </c>
      <c r="E64" s="22">
        <f t="shared" si="14"/>
        <v>1090900</v>
      </c>
      <c r="F64" s="13">
        <f>SUMIFS('ครุภัณฑ์ 68'!G:G,'ครุภัณฑ์ 68'!C:C,"ยานพาหนะและขนส่ง",'ครุภัณฑ์ 68'!E:E,B64)</f>
        <v>0</v>
      </c>
      <c r="G64" s="13">
        <f>SUMIFS('ครุภัณฑ์ 68'!F:F,'ครุภัณฑ์ 68'!C:C,"ยานพาหนะและขนส่ง",'ครุภัณฑ์ 68'!E:E,B64)</f>
        <v>0</v>
      </c>
      <c r="H64" s="13">
        <f t="shared" si="10"/>
        <v>0</v>
      </c>
      <c r="I64" s="68">
        <f>SUMIFS('ครุภัณฑ์ 69'!G:G,'ครุภัณฑ์ 69'!C:C,"ยานพาหนะและขนส่ง",'ครุภัณฑ์ 69'!E:E,B64)</f>
        <v>0</v>
      </c>
      <c r="J64" s="68">
        <f>SUMIFS('ครุภัณฑ์ 69'!F:F,'ครุภัณฑ์ 69'!C:C,"ยานพาหนะและขนส่ง",'ครุภัณฑ์ 69'!E:E,B64)</f>
        <v>0</v>
      </c>
      <c r="K64" s="68">
        <f t="shared" si="11"/>
        <v>0</v>
      </c>
      <c r="L64" s="69">
        <f>SUMIFS('รวมครุภัณฑ์ 70'!L:L,'รวมครุภัณฑ์ 70'!C:C,"ครุภัณฑ์ยานพาหนะและขนส่ง",'รวมครุภัณฑ์ 70'!H:H,B64)</f>
        <v>0</v>
      </c>
      <c r="M64" s="73">
        <f>SUMIFS('รวมครุภัณฑ์ 70'!Q:Q,'รวมครุภัณฑ์ 70'!C:C,"ครุภัณฑ์ยานพาหนะและขนส่ง",'รวมครุภัณฑ์ 70'!H:H,B64)</f>
        <v>0</v>
      </c>
      <c r="N64" s="73">
        <f>SUMIFS('รวมครุภัณฑ์ 70'!R:R,'รวมครุภัณฑ์ 70'!C:C,"ครุภัณฑ์ยานพาหนะและขนส่ง",'รวมครุภัณฑ์ 70'!H:H,B64)</f>
        <v>0</v>
      </c>
      <c r="O64" s="73">
        <f t="shared" si="12"/>
        <v>0</v>
      </c>
      <c r="P64" s="69">
        <f t="shared" si="13"/>
        <v>0</v>
      </c>
      <c r="Q64" s="70"/>
    </row>
    <row r="65" spans="1:19" ht="21">
      <c r="A65" s="71" t="s">
        <v>439</v>
      </c>
      <c r="B65" s="67" t="s">
        <v>461</v>
      </c>
      <c r="C65" s="22">
        <f>SUMIFS('ครุภัณฑ์ 67'!G:G,'ครุภัณฑ์ 67'!C:C,"ยานพาหนะและขนส่ง",'ครุภัณฑ์ 67'!E:E,B65)</f>
        <v>0</v>
      </c>
      <c r="D65" s="75">
        <f>SUMIFS('ครุภัณฑ์ 67'!F:F,'ครุภัณฑ์ 67'!C:C,"ยานพาหนะและขนส่ง",'ครุภัณฑ์ 67'!E:E,B65)</f>
        <v>0</v>
      </c>
      <c r="E65" s="22">
        <f t="shared" si="14"/>
        <v>0</v>
      </c>
      <c r="F65" s="13">
        <f>SUMIFS('ครุภัณฑ์ 68'!G:G,'ครุภัณฑ์ 68'!C:C,"ยานพาหนะและขนส่ง",'ครุภัณฑ์ 68'!E:E,B65)</f>
        <v>0</v>
      </c>
      <c r="G65" s="13">
        <f>SUMIFS('ครุภัณฑ์ 68'!F:F,'ครุภัณฑ์ 68'!C:C,"ยานพาหนะและขนส่ง",'ครุภัณฑ์ 68'!E:E,B65)</f>
        <v>0</v>
      </c>
      <c r="H65" s="13">
        <f t="shared" si="10"/>
        <v>0</v>
      </c>
      <c r="I65" s="68">
        <f>SUMIFS('ครุภัณฑ์ 69'!G:G,'ครุภัณฑ์ 69'!C:C,"ยานพาหนะและขนส่ง",'ครุภัณฑ์ 69'!E:E,B65)</f>
        <v>0</v>
      </c>
      <c r="J65" s="68">
        <f>SUMIFS('ครุภัณฑ์ 69'!F:F,'ครุภัณฑ์ 69'!C:C,"ยานพาหนะและขนส่ง",'ครุภัณฑ์ 69'!E:E,B65)</f>
        <v>0</v>
      </c>
      <c r="K65" s="68">
        <f t="shared" si="11"/>
        <v>0</v>
      </c>
      <c r="L65" s="69">
        <f>SUMIFS('รวมครุภัณฑ์ 70'!L:L,'รวมครุภัณฑ์ 70'!C:C,"ครุภัณฑ์ยานพาหนะและขนส่ง",'รวมครุภัณฑ์ 70'!H:H,B65)</f>
        <v>0</v>
      </c>
      <c r="M65" s="73">
        <f>SUMIFS('รวมครุภัณฑ์ 70'!Q:Q,'รวมครุภัณฑ์ 70'!C:C,"ครุภัณฑ์ยานพาหนะและขนส่ง",'รวมครุภัณฑ์ 70'!H:H,B65)</f>
        <v>0</v>
      </c>
      <c r="N65" s="73">
        <f>SUMIFS('รวมครุภัณฑ์ 70'!R:R,'รวมครุภัณฑ์ 70'!C:C,"ครุภัณฑ์ยานพาหนะและขนส่ง",'รวมครุภัณฑ์ 70'!H:H,B65)</f>
        <v>0</v>
      </c>
      <c r="O65" s="73">
        <f t="shared" si="12"/>
        <v>0</v>
      </c>
      <c r="P65" s="69">
        <f t="shared" si="13"/>
        <v>0</v>
      </c>
      <c r="Q65" s="70"/>
    </row>
    <row r="66" spans="1:19" ht="21">
      <c r="A66" s="71" t="s">
        <v>439</v>
      </c>
      <c r="B66" s="67" t="s">
        <v>462</v>
      </c>
      <c r="C66" s="22">
        <f>SUMIFS('ครุภัณฑ์ 67'!G:G,'ครุภัณฑ์ 67'!C:C,"ยานพาหนะและขนส่ง",'ครุภัณฑ์ 67'!E:E,B66)</f>
        <v>0</v>
      </c>
      <c r="D66" s="75">
        <f>SUMIFS('ครุภัณฑ์ 67'!F:F,'ครุภัณฑ์ 67'!C:C,"ยานพาหนะและขนส่ง",'ครุภัณฑ์ 67'!E:E,B66)</f>
        <v>0</v>
      </c>
      <c r="E66" s="22">
        <f t="shared" si="14"/>
        <v>0</v>
      </c>
      <c r="F66" s="13">
        <f>SUMIFS('ครุภัณฑ์ 68'!G:G,'ครุภัณฑ์ 68'!C:C,"ยานพาหนะและขนส่ง",'ครุภัณฑ์ 68'!E:E,B66)</f>
        <v>0</v>
      </c>
      <c r="G66" s="13">
        <f>SUMIFS('ครุภัณฑ์ 68'!F:F,'ครุภัณฑ์ 68'!C:C,"ยานพาหนะและขนส่ง",'ครุภัณฑ์ 68'!E:E,B66)</f>
        <v>0</v>
      </c>
      <c r="H66" s="13">
        <f t="shared" si="10"/>
        <v>0</v>
      </c>
      <c r="I66" s="68">
        <f>SUMIFS('ครุภัณฑ์ 69'!G:G,'ครุภัณฑ์ 69'!C:C,"ยานพาหนะและขนส่ง",'ครุภัณฑ์ 69'!E:E,B66)</f>
        <v>0</v>
      </c>
      <c r="J66" s="68">
        <f>SUMIFS('ครุภัณฑ์ 69'!F:F,'ครุภัณฑ์ 69'!C:C,"ยานพาหนะและขนส่ง",'ครุภัณฑ์ 69'!E:E,B66)</f>
        <v>0</v>
      </c>
      <c r="K66" s="68">
        <f t="shared" si="11"/>
        <v>0</v>
      </c>
      <c r="L66" s="69">
        <f>SUMIFS('รวมครุภัณฑ์ 70'!L:L,'รวมครุภัณฑ์ 70'!C:C,"ครุภัณฑ์ยานพาหนะและขนส่ง",'รวมครุภัณฑ์ 70'!H:H,B66)</f>
        <v>1498000</v>
      </c>
      <c r="M66" s="73">
        <f>SUMIFS('รวมครุภัณฑ์ 70'!Q:Q,'รวมครุภัณฑ์ 70'!C:C,"ครุภัณฑ์ยานพาหนะและขนส่ง",'รวมครุภัณฑ์ 70'!H:H,B66)</f>
        <v>1</v>
      </c>
      <c r="N66" s="73">
        <f>SUMIFS('รวมครุภัณฑ์ 70'!R:R,'รวมครุภัณฑ์ 70'!C:C,"ครุภัณฑ์ยานพาหนะและขนส่ง",'รวมครุภัณฑ์ 70'!H:H,B66)</f>
        <v>0</v>
      </c>
      <c r="O66" s="73">
        <f t="shared" si="12"/>
        <v>1</v>
      </c>
      <c r="P66" s="69">
        <f t="shared" si="13"/>
        <v>1498000</v>
      </c>
      <c r="Q66" s="70"/>
    </row>
    <row r="67" spans="1:19" ht="21">
      <c r="A67" s="71" t="s">
        <v>202</v>
      </c>
      <c r="B67" s="67" t="s">
        <v>204</v>
      </c>
      <c r="C67" s="22">
        <f>SUMIFS('ครุภัณฑ์ 67'!G:G,'ครุภัณฑ์ 67'!C:C,"ยานพาหนะและขนส่ง",'ครุภัณฑ์ 67'!E:E,B67)</f>
        <v>1976800</v>
      </c>
      <c r="D67" s="75">
        <f>SUMIFS('ครุภัณฑ์ 67'!F:F,'ครุภัณฑ์ 67'!C:C,"ยานพาหนะและขนส่ง",'ครุภัณฑ์ 67'!E:E,B67)</f>
        <v>2</v>
      </c>
      <c r="E67" s="22">
        <f t="shared" si="14"/>
        <v>1976800</v>
      </c>
      <c r="F67" s="13">
        <f>SUMIFS('ครุภัณฑ์ 68'!G:G,'ครุภัณฑ์ 68'!C:C,"ยานพาหนะและขนส่ง",'ครุภัณฑ์ 68'!E:E,B67)</f>
        <v>0</v>
      </c>
      <c r="G67" s="13">
        <f>SUMIFS('ครุภัณฑ์ 68'!F:F,'ครุภัณฑ์ 68'!C:C,"ยานพาหนะและขนส่ง",'ครุภัณฑ์ 68'!E:E,B67)</f>
        <v>0</v>
      </c>
      <c r="H67" s="13">
        <f t="shared" si="10"/>
        <v>0</v>
      </c>
      <c r="I67" s="68">
        <f>SUMIFS('ครุภัณฑ์ 69'!G:G,'ครุภัณฑ์ 69'!C:C,"ยานพาหนะและขนส่ง",'ครุภัณฑ์ 69'!E:E,B67)</f>
        <v>0</v>
      </c>
      <c r="J67" s="68">
        <f>SUMIFS('ครุภัณฑ์ 69'!F:F,'ครุภัณฑ์ 69'!C:C,"ยานพาหนะและขนส่ง",'ครุภัณฑ์ 69'!E:E,B67)</f>
        <v>0</v>
      </c>
      <c r="K67" s="68">
        <f t="shared" si="11"/>
        <v>0</v>
      </c>
      <c r="L67" s="69">
        <f>SUMIFS('รวมครุภัณฑ์ 70'!L:L,'รวมครุภัณฑ์ 70'!C:C,"ครุภัณฑ์ยานพาหนะและขนส่ง",'รวมครุภัณฑ์ 70'!H:H,B67)</f>
        <v>0</v>
      </c>
      <c r="M67" s="73">
        <f>SUMIFS('รวมครุภัณฑ์ 70'!Q:Q,'รวมครุภัณฑ์ 70'!C:C,"ครุภัณฑ์ยานพาหนะและขนส่ง",'รวมครุภัณฑ์ 70'!H:H,B67)</f>
        <v>0</v>
      </c>
      <c r="N67" s="73">
        <f>SUMIFS('รวมครุภัณฑ์ 70'!R:R,'รวมครุภัณฑ์ 70'!C:C,"ครุภัณฑ์ยานพาหนะและขนส่ง",'รวมครุภัณฑ์ 70'!H:H,B67)</f>
        <v>0</v>
      </c>
      <c r="O67" s="73">
        <f t="shared" si="12"/>
        <v>0</v>
      </c>
      <c r="P67" s="69">
        <f t="shared" si="13"/>
        <v>0</v>
      </c>
      <c r="Q67" s="70"/>
    </row>
    <row r="68" spans="1:19" ht="21">
      <c r="A68" s="71" t="s">
        <v>205</v>
      </c>
      <c r="B68" s="67" t="s">
        <v>363</v>
      </c>
      <c r="C68" s="22">
        <f>SUMIFS('ครุภัณฑ์ 67'!G:G,'ครุภัณฑ์ 67'!C:C,"ยานพาหนะและขนส่ง",'ครุภัณฑ์ 67'!E:E,B68)</f>
        <v>1358000</v>
      </c>
      <c r="D68" s="75">
        <f>SUMIFS('ครุภัณฑ์ 67'!F:F,'ครุภัณฑ์ 67'!C:C,"ยานพาหนะและขนส่ง",'ครุภัณฑ์ 67'!E:E,B68)</f>
        <v>1</v>
      </c>
      <c r="E68" s="22">
        <f t="shared" si="14"/>
        <v>1358000</v>
      </c>
      <c r="F68" s="13">
        <f>SUMIFS('ครุภัณฑ์ 68'!G:G,'ครุภัณฑ์ 68'!C:C,"ยานพาหนะและขนส่ง",'ครุภัณฑ์ 68'!E:E,B68)</f>
        <v>0</v>
      </c>
      <c r="G68" s="13">
        <f>SUMIFS('ครุภัณฑ์ 68'!F:F,'ครุภัณฑ์ 68'!C:C,"ยานพาหนะและขนส่ง",'ครุภัณฑ์ 68'!E:E,B68)</f>
        <v>0</v>
      </c>
      <c r="H68" s="13">
        <f t="shared" si="10"/>
        <v>0</v>
      </c>
      <c r="I68" s="68">
        <f>SUMIFS('ครุภัณฑ์ 69'!G:G,'ครุภัณฑ์ 69'!C:C,"ยานพาหนะและขนส่ง",'ครุภัณฑ์ 69'!E:E,B68)</f>
        <v>0</v>
      </c>
      <c r="J68" s="68">
        <f>SUMIFS('ครุภัณฑ์ 69'!F:F,'ครุภัณฑ์ 69'!C:C,"ยานพาหนะและขนส่ง",'ครุภัณฑ์ 69'!E:E,B68)</f>
        <v>0</v>
      </c>
      <c r="K68" s="68">
        <f t="shared" si="11"/>
        <v>0</v>
      </c>
      <c r="L68" s="69">
        <f>SUMIFS('รวมครุภัณฑ์ 70'!L:L,'รวมครุภัณฑ์ 70'!C:C,"ครุภัณฑ์ยานพาหนะและขนส่ง",'รวมครุภัณฑ์ 70'!H:H,B68)</f>
        <v>0</v>
      </c>
      <c r="M68" s="73">
        <f>SUMIFS('รวมครุภัณฑ์ 70'!Q:Q,'รวมครุภัณฑ์ 70'!C:C,"ครุภัณฑ์ยานพาหนะและขนส่ง",'รวมครุภัณฑ์ 70'!H:H,B68)</f>
        <v>0</v>
      </c>
      <c r="N68" s="73">
        <f>SUMIFS('รวมครุภัณฑ์ 70'!R:R,'รวมครุภัณฑ์ 70'!C:C,"ครุภัณฑ์ยานพาหนะและขนส่ง",'รวมครุภัณฑ์ 70'!H:H,B68)</f>
        <v>0</v>
      </c>
      <c r="O68" s="73">
        <f t="shared" si="12"/>
        <v>0</v>
      </c>
      <c r="P68" s="69">
        <f t="shared" si="13"/>
        <v>0</v>
      </c>
      <c r="Q68" s="70"/>
    </row>
    <row r="69" spans="1:19" ht="21">
      <c r="A69" s="71" t="s">
        <v>205</v>
      </c>
      <c r="B69" s="67" t="s">
        <v>207</v>
      </c>
      <c r="C69" s="22">
        <f>SUMIFS('ครุภัณฑ์ 67'!G:G,'ครุภัณฑ์ 67'!C:C,"ยานพาหนะและขนส่ง",'ครุภัณฑ์ 67'!E:E,B69)</f>
        <v>0</v>
      </c>
      <c r="D69" s="75">
        <f>SUMIFS('ครุภัณฑ์ 67'!F:F,'ครุภัณฑ์ 67'!C:C,"ยานพาหนะและขนส่ง",'ครุภัณฑ์ 67'!E:E,B69)</f>
        <v>0</v>
      </c>
      <c r="E69" s="22">
        <f t="shared" si="14"/>
        <v>0</v>
      </c>
      <c r="F69" s="13">
        <f>SUMIFS('ครุภัณฑ์ 68'!G:G,'ครุภัณฑ์ 68'!C:C,"ยานพาหนะและขนส่ง",'ครุภัณฑ์ 68'!E:E,B69)</f>
        <v>0</v>
      </c>
      <c r="G69" s="13">
        <f>SUMIFS('ครุภัณฑ์ 68'!F:F,'ครุภัณฑ์ 68'!C:C,"ยานพาหนะและขนส่ง",'ครุภัณฑ์ 68'!E:E,B69)</f>
        <v>0</v>
      </c>
      <c r="H69" s="13">
        <f t="shared" si="10"/>
        <v>0</v>
      </c>
      <c r="I69" s="68">
        <f>SUMIFS('ครุภัณฑ์ 69'!G:G,'ครุภัณฑ์ 69'!C:C,"ยานพาหนะและขนส่ง",'ครุภัณฑ์ 69'!E:E,B69)</f>
        <v>0</v>
      </c>
      <c r="J69" s="68">
        <f>SUMIFS('ครุภัณฑ์ 69'!F:F,'ครุภัณฑ์ 69'!C:C,"ยานพาหนะและขนส่ง",'ครุภัณฑ์ 69'!E:E,B69)</f>
        <v>0</v>
      </c>
      <c r="K69" s="68">
        <f t="shared" si="11"/>
        <v>0</v>
      </c>
      <c r="L69" s="69">
        <f>SUMIFS('รวมครุภัณฑ์ 70'!L:L,'รวมครุภัณฑ์ 70'!C:C,"ครุภัณฑ์ยานพาหนะและขนส่ง",'รวมครุภัณฑ์ 70'!H:H,B69)</f>
        <v>0</v>
      </c>
      <c r="M69" s="73">
        <f>SUMIFS('รวมครุภัณฑ์ 70'!Q:Q,'รวมครุภัณฑ์ 70'!C:C,"ครุภัณฑ์ยานพาหนะและขนส่ง",'รวมครุภัณฑ์ 70'!H:H,B69)</f>
        <v>0</v>
      </c>
      <c r="N69" s="73">
        <f>SUMIFS('รวมครุภัณฑ์ 70'!R:R,'รวมครุภัณฑ์ 70'!C:C,"ครุภัณฑ์ยานพาหนะและขนส่ง",'รวมครุภัณฑ์ 70'!H:H,B69)</f>
        <v>0</v>
      </c>
      <c r="O69" s="73">
        <f t="shared" si="12"/>
        <v>0</v>
      </c>
      <c r="P69" s="69">
        <f t="shared" si="13"/>
        <v>0</v>
      </c>
      <c r="Q69" s="70"/>
    </row>
    <row r="70" spans="1:19" ht="21">
      <c r="A70" s="71" t="s">
        <v>110</v>
      </c>
      <c r="B70" s="67" t="s">
        <v>365</v>
      </c>
      <c r="C70" s="22">
        <f>SUMIFS('ครุภัณฑ์ 67'!G:G,'ครุภัณฑ์ 67'!C:C,"ยานพาหนะและขนส่ง",'ครุภัณฑ์ 67'!E:E,B70)</f>
        <v>885900</v>
      </c>
      <c r="D70" s="75">
        <f>SUMIFS('ครุภัณฑ์ 67'!F:F,'ครุภัณฑ์ 67'!C:C,"ยานพาหนะและขนส่ง",'ครุภัณฑ์ 67'!E:E,B70)</f>
        <v>1</v>
      </c>
      <c r="E70" s="22">
        <f t="shared" si="14"/>
        <v>885900</v>
      </c>
      <c r="F70" s="13">
        <f>SUMIFS('ครุภัณฑ์ 68'!G:G,'ครุภัณฑ์ 68'!C:C,"ยานพาหนะและขนส่ง",'ครุภัณฑ์ 68'!E:E,B70)</f>
        <v>0</v>
      </c>
      <c r="G70" s="13">
        <f>SUMIFS('ครุภัณฑ์ 68'!F:F,'ครุภัณฑ์ 68'!C:C,"ยานพาหนะและขนส่ง",'ครุภัณฑ์ 68'!E:E,B70)</f>
        <v>0</v>
      </c>
      <c r="H70" s="13">
        <f t="shared" si="10"/>
        <v>0</v>
      </c>
      <c r="I70" s="68">
        <f>SUMIFS('ครุภัณฑ์ 69'!G:G,'ครุภัณฑ์ 69'!C:C,"ยานพาหนะและขนส่ง",'ครุภัณฑ์ 69'!E:E,B70)</f>
        <v>0</v>
      </c>
      <c r="J70" s="68">
        <f>SUMIFS('ครุภัณฑ์ 69'!F:F,'ครุภัณฑ์ 69'!C:C,"ยานพาหนะและขนส่ง",'ครุภัณฑ์ 69'!E:E,B70)</f>
        <v>0</v>
      </c>
      <c r="K70" s="68">
        <f t="shared" si="11"/>
        <v>0</v>
      </c>
      <c r="L70" s="69">
        <f>SUMIFS('รวมครุภัณฑ์ 70'!L:L,'รวมครุภัณฑ์ 70'!C:C,"ครุภัณฑ์ยานพาหนะและขนส่ง",'รวมครุภัณฑ์ 70'!H:H,B70)</f>
        <v>970900</v>
      </c>
      <c r="M70" s="73">
        <f>SUMIFS('รวมครุภัณฑ์ 70'!Q:Q,'รวมครุภัณฑ์ 70'!C:C,"ครุภัณฑ์ยานพาหนะและขนส่ง",'รวมครุภัณฑ์ 70'!H:H,B70)</f>
        <v>1</v>
      </c>
      <c r="N70" s="73">
        <f>SUMIFS('รวมครุภัณฑ์ 70'!R:R,'รวมครุภัณฑ์ 70'!C:C,"ครุภัณฑ์ยานพาหนะและขนส่ง",'รวมครุภัณฑ์ 70'!H:H,B70)</f>
        <v>0</v>
      </c>
      <c r="O70" s="73">
        <f t="shared" si="12"/>
        <v>1</v>
      </c>
      <c r="P70" s="69">
        <f t="shared" si="13"/>
        <v>970900</v>
      </c>
      <c r="Q70" s="70"/>
      <c r="S70" s="62"/>
    </row>
    <row r="71" spans="1:19" ht="21">
      <c r="A71" s="71" t="s">
        <v>110</v>
      </c>
      <c r="B71" s="67" t="s">
        <v>114</v>
      </c>
      <c r="C71" s="22">
        <f>SUMIFS('ครุภัณฑ์ 67'!G:G,'ครุภัณฑ์ 67'!C:C,"ยานพาหนะและขนส่ง",'ครุภัณฑ์ 67'!E:E,B71)</f>
        <v>0</v>
      </c>
      <c r="D71" s="75">
        <f>SUMIFS('ครุภัณฑ์ 67'!F:F,'ครุภัณฑ์ 67'!C:C,"ยานพาหนะและขนส่ง",'ครุภัณฑ์ 67'!E:E,B71)</f>
        <v>0</v>
      </c>
      <c r="E71" s="22">
        <f t="shared" si="14"/>
        <v>0</v>
      </c>
      <c r="F71" s="13">
        <f>SUMIFS('ครุภัณฑ์ 68'!G:G,'ครุภัณฑ์ 68'!C:C,"ยานพาหนะและขนส่ง",'ครุภัณฑ์ 68'!E:E,B71)</f>
        <v>0</v>
      </c>
      <c r="G71" s="13">
        <f>SUMIFS('ครุภัณฑ์ 68'!F:F,'ครุภัณฑ์ 68'!C:C,"ยานพาหนะและขนส่ง",'ครุภัณฑ์ 68'!E:E,B71)</f>
        <v>0</v>
      </c>
      <c r="H71" s="13">
        <f t="shared" si="10"/>
        <v>0</v>
      </c>
      <c r="I71" s="68">
        <f>SUMIFS('ครุภัณฑ์ 69'!G:G,'ครุภัณฑ์ 69'!C:C,"ยานพาหนะและขนส่ง",'ครุภัณฑ์ 69'!E:E,B71)</f>
        <v>0</v>
      </c>
      <c r="J71" s="68">
        <f>SUMIFS('ครุภัณฑ์ 69'!F:F,'ครุภัณฑ์ 69'!C:C,"ยานพาหนะและขนส่ง",'ครุภัณฑ์ 69'!E:E,B71)</f>
        <v>0</v>
      </c>
      <c r="K71" s="68">
        <f t="shared" si="11"/>
        <v>0</v>
      </c>
      <c r="L71" s="69">
        <f>SUMIFS('รวมครุภัณฑ์ 70'!L:L,'รวมครุภัณฑ์ 70'!C:C,"ครุภัณฑ์ยานพาหนะและขนส่ง",'รวมครุภัณฑ์ 70'!H:H,B71)</f>
        <v>1329000</v>
      </c>
      <c r="M71" s="73">
        <f>SUMIFS('รวมครุภัณฑ์ 70'!Q:Q,'รวมครุภัณฑ์ 70'!C:C,"ครุภัณฑ์ยานพาหนะและขนส่ง",'รวมครุภัณฑ์ 70'!H:H,B71)</f>
        <v>1</v>
      </c>
      <c r="N71" s="73">
        <f>SUMIFS('รวมครุภัณฑ์ 70'!R:R,'รวมครุภัณฑ์ 70'!C:C,"ครุภัณฑ์ยานพาหนะและขนส่ง",'รวมครุภัณฑ์ 70'!H:H,B71)</f>
        <v>0</v>
      </c>
      <c r="O71" s="73">
        <f t="shared" si="12"/>
        <v>1</v>
      </c>
      <c r="P71" s="69">
        <f t="shared" si="13"/>
        <v>1329000</v>
      </c>
      <c r="Q71" s="70"/>
    </row>
    <row r="72" spans="1:19" ht="21">
      <c r="A72" s="71" t="s">
        <v>110</v>
      </c>
      <c r="B72" s="67" t="s">
        <v>117</v>
      </c>
      <c r="C72" s="22">
        <f>SUMIFS('ครุภัณฑ์ 67'!G:G,'ครุภัณฑ์ 67'!C:C,"ยานพาหนะและขนส่ง",'ครุภัณฑ์ 67'!E:E,B72)</f>
        <v>0</v>
      </c>
      <c r="D72" s="75">
        <f>SUMIFS('ครุภัณฑ์ 67'!F:F,'ครุภัณฑ์ 67'!C:C,"ยานพาหนะและขนส่ง",'ครุภัณฑ์ 67'!E:E,B72)</f>
        <v>0</v>
      </c>
      <c r="E72" s="22">
        <f t="shared" si="14"/>
        <v>0</v>
      </c>
      <c r="F72" s="13">
        <f>SUMIFS('ครุภัณฑ์ 68'!G:G,'ครุภัณฑ์ 68'!C:C,"ยานพาหนะและขนส่ง",'ครุภัณฑ์ 68'!E:E,B72)</f>
        <v>0</v>
      </c>
      <c r="G72" s="13">
        <f>SUMIFS('ครุภัณฑ์ 68'!F:F,'ครุภัณฑ์ 68'!C:C,"ยานพาหนะและขนส่ง",'ครุภัณฑ์ 68'!E:E,B72)</f>
        <v>0</v>
      </c>
      <c r="H72" s="13">
        <f t="shared" si="10"/>
        <v>0</v>
      </c>
      <c r="I72" s="68">
        <f>SUMIFS('ครุภัณฑ์ 69'!G:G,'ครุภัณฑ์ 69'!C:C,"ยานพาหนะและขนส่ง",'ครุภัณฑ์ 69'!E:E,B72)</f>
        <v>0</v>
      </c>
      <c r="J72" s="68">
        <f>SUMIFS('ครุภัณฑ์ 69'!F:F,'ครุภัณฑ์ 69'!C:C,"ยานพาหนะและขนส่ง",'ครุภัณฑ์ 69'!E:E,B72)</f>
        <v>0</v>
      </c>
      <c r="K72" s="68">
        <f t="shared" si="11"/>
        <v>0</v>
      </c>
      <c r="L72" s="69">
        <f>SUMIFS('รวมครุภัณฑ์ 70'!L:L,'รวมครุภัณฑ์ 70'!C:C,"ครุภัณฑ์ยานพาหนะและขนส่ง",'รวมครุภัณฑ์ 70'!H:H,B72)</f>
        <v>0</v>
      </c>
      <c r="M72" s="73">
        <f>SUMIFS('รวมครุภัณฑ์ 70'!Q:Q,'รวมครุภัณฑ์ 70'!C:C,"ครุภัณฑ์ยานพาหนะและขนส่ง",'รวมครุภัณฑ์ 70'!H:H,B72)</f>
        <v>0</v>
      </c>
      <c r="N72" s="73">
        <f>SUMIFS('รวมครุภัณฑ์ 70'!R:R,'รวมครุภัณฑ์ 70'!C:C,"ครุภัณฑ์ยานพาหนะและขนส่ง",'รวมครุภัณฑ์ 70'!H:H,B72)</f>
        <v>0</v>
      </c>
      <c r="O72" s="73">
        <f t="shared" si="12"/>
        <v>0</v>
      </c>
      <c r="P72" s="69">
        <f t="shared" si="13"/>
        <v>0</v>
      </c>
      <c r="Q72" s="70"/>
    </row>
    <row r="73" spans="1:19" ht="21">
      <c r="A73" s="71" t="s">
        <v>110</v>
      </c>
      <c r="B73" s="67" t="s">
        <v>112</v>
      </c>
      <c r="C73" s="22">
        <f>SUMIFS('ครุภัณฑ์ 67'!G:G,'ครุภัณฑ์ 67'!C:C,"ยานพาหนะและขนส่ง",'ครุภัณฑ์ 67'!E:E,B73)</f>
        <v>0</v>
      </c>
      <c r="D73" s="75">
        <f>SUMIFS('ครุภัณฑ์ 67'!F:F,'ครุภัณฑ์ 67'!C:C,"ยานพาหนะและขนส่ง",'ครุภัณฑ์ 67'!E:E,B73)</f>
        <v>0</v>
      </c>
      <c r="E73" s="22">
        <f t="shared" si="14"/>
        <v>0</v>
      </c>
      <c r="F73" s="13">
        <f>SUMIFS('ครุภัณฑ์ 68'!G:G,'ครุภัณฑ์ 68'!C:C,"ยานพาหนะและขนส่ง",'ครุภัณฑ์ 68'!E:E,B73)</f>
        <v>0</v>
      </c>
      <c r="G73" s="13">
        <f>SUMIFS('ครุภัณฑ์ 68'!F:F,'ครุภัณฑ์ 68'!C:C,"ยานพาหนะและขนส่ง",'ครุภัณฑ์ 68'!E:E,B73)</f>
        <v>0</v>
      </c>
      <c r="H73" s="13">
        <f t="shared" si="10"/>
        <v>0</v>
      </c>
      <c r="I73" s="68">
        <f>SUMIFS('ครุภัณฑ์ 69'!G:G,'ครุภัณฑ์ 69'!C:C,"ยานพาหนะและขนส่ง",'ครุภัณฑ์ 69'!E:E,B73)</f>
        <v>1369000</v>
      </c>
      <c r="J73" s="68">
        <f>SUMIFS('ครุภัณฑ์ 69'!F:F,'ครุภัณฑ์ 69'!C:C,"ยานพาหนะและขนส่ง",'ครุภัณฑ์ 69'!E:E,B73)</f>
        <v>1</v>
      </c>
      <c r="K73" s="68">
        <f t="shared" si="11"/>
        <v>1369000</v>
      </c>
      <c r="L73" s="69">
        <f>SUMIFS('รวมครุภัณฑ์ 70'!L:L,'รวมครุภัณฑ์ 70'!C:C,"ครุภัณฑ์ยานพาหนะและขนส่ง",'รวมครุภัณฑ์ 70'!H:H,B73)</f>
        <v>0</v>
      </c>
      <c r="M73" s="73">
        <f>SUMIFS('รวมครุภัณฑ์ 70'!Q:Q,'รวมครุภัณฑ์ 70'!C:C,"ครุภัณฑ์ยานพาหนะและขนส่ง",'รวมครุภัณฑ์ 70'!H:H,B73)</f>
        <v>0</v>
      </c>
      <c r="N73" s="73">
        <f>SUMIFS('รวมครุภัณฑ์ 70'!R:R,'รวมครุภัณฑ์ 70'!C:C,"ครุภัณฑ์ยานพาหนะและขนส่ง",'รวมครุภัณฑ์ 70'!H:H,B73)</f>
        <v>0</v>
      </c>
      <c r="O73" s="73">
        <f t="shared" si="12"/>
        <v>0</v>
      </c>
      <c r="P73" s="69">
        <f t="shared" si="13"/>
        <v>0</v>
      </c>
      <c r="Q73" s="70"/>
    </row>
    <row r="74" spans="1:19" ht="21">
      <c r="A74" s="71" t="s">
        <v>438</v>
      </c>
      <c r="B74" s="67" t="s">
        <v>463</v>
      </c>
      <c r="C74" s="22">
        <f>SUMIFS('ครุภัณฑ์ 67'!G:G,'ครุภัณฑ์ 67'!C:C,"ยานพาหนะและขนส่ง",'ครุภัณฑ์ 67'!E:E,B74)</f>
        <v>0</v>
      </c>
      <c r="D74" s="75">
        <f>SUMIFS('ครุภัณฑ์ 67'!F:F,'ครุภัณฑ์ 67'!C:C,"ยานพาหนะและขนส่ง",'ครุภัณฑ์ 67'!E:E,B74)</f>
        <v>0</v>
      </c>
      <c r="E74" s="22">
        <f t="shared" si="14"/>
        <v>0</v>
      </c>
      <c r="F74" s="13">
        <f>SUMIFS('ครุภัณฑ์ 68'!G:G,'ครุภัณฑ์ 68'!C:C,"ยานพาหนะและขนส่ง",'ครุภัณฑ์ 68'!E:E,B74)</f>
        <v>0</v>
      </c>
      <c r="G74" s="13">
        <f>SUMIFS('ครุภัณฑ์ 68'!F:F,'ครุภัณฑ์ 68'!C:C,"ยานพาหนะและขนส่ง",'ครุภัณฑ์ 68'!E:E,B74)</f>
        <v>0</v>
      </c>
      <c r="H74" s="13">
        <f t="shared" si="10"/>
        <v>0</v>
      </c>
      <c r="I74" s="68">
        <f>SUMIFS('ครุภัณฑ์ 69'!G:G,'ครุภัณฑ์ 69'!C:C,"ยานพาหนะและขนส่ง",'ครุภัณฑ์ 69'!E:E,B74)</f>
        <v>0</v>
      </c>
      <c r="J74" s="68">
        <f>SUMIFS('ครุภัณฑ์ 69'!F:F,'ครุภัณฑ์ 69'!C:C,"ยานพาหนะและขนส่ง",'ครุภัณฑ์ 69'!E:E,B74)</f>
        <v>0</v>
      </c>
      <c r="K74" s="68">
        <f t="shared" si="11"/>
        <v>0</v>
      </c>
      <c r="L74" s="69">
        <f>SUMIFS('รวมครุภัณฑ์ 70'!L:L,'รวมครุภัณฑ์ 70'!C:C,"ครุภัณฑ์ยานพาหนะและขนส่ง",'รวมครุภัณฑ์ 70'!H:H,B74)</f>
        <v>0</v>
      </c>
      <c r="M74" s="73">
        <f>SUMIFS('รวมครุภัณฑ์ 70'!Q:Q,'รวมครุภัณฑ์ 70'!C:C,"ครุภัณฑ์ยานพาหนะและขนส่ง",'รวมครุภัณฑ์ 70'!H:H,B74)</f>
        <v>0</v>
      </c>
      <c r="N74" s="73">
        <f>SUMIFS('รวมครุภัณฑ์ 70'!R:R,'รวมครุภัณฑ์ 70'!C:C,"ครุภัณฑ์ยานพาหนะและขนส่ง",'รวมครุภัณฑ์ 70'!H:H,B74)</f>
        <v>0</v>
      </c>
      <c r="O74" s="73">
        <f t="shared" si="12"/>
        <v>0</v>
      </c>
      <c r="P74" s="69">
        <f t="shared" si="13"/>
        <v>0</v>
      </c>
      <c r="Q74" s="70"/>
    </row>
    <row r="75" spans="1:19" ht="21">
      <c r="A75" s="71" t="s">
        <v>119</v>
      </c>
      <c r="B75" s="67" t="s">
        <v>121</v>
      </c>
      <c r="C75" s="22">
        <f>SUMIFS('ครุภัณฑ์ 67'!G:G,'ครุภัณฑ์ 67'!C:C,"ยานพาหนะและขนส่ง",'ครุภัณฑ์ 67'!E:E,B75)</f>
        <v>0</v>
      </c>
      <c r="D75" s="75">
        <f>SUMIFS('ครุภัณฑ์ 67'!F:F,'ครุภัณฑ์ 67'!C:C,"ยานพาหนะและขนส่ง",'ครุภัณฑ์ 67'!E:E,B75)</f>
        <v>0</v>
      </c>
      <c r="E75" s="22">
        <f t="shared" si="14"/>
        <v>0</v>
      </c>
      <c r="F75" s="13">
        <f>SUMIFS('ครุภัณฑ์ 68'!G:G,'ครุภัณฑ์ 68'!C:C,"ยานพาหนะและขนส่ง",'ครุภัณฑ์ 68'!E:E,B75)</f>
        <v>0</v>
      </c>
      <c r="G75" s="13">
        <f>SUMIFS('ครุภัณฑ์ 68'!F:F,'ครุภัณฑ์ 68'!C:C,"ยานพาหนะและขนส่ง",'ครุภัณฑ์ 68'!E:E,B75)</f>
        <v>0</v>
      </c>
      <c r="H75" s="13">
        <f t="shared" si="10"/>
        <v>0</v>
      </c>
      <c r="I75" s="68">
        <f>SUMIFS('ครุภัณฑ์ 69'!G:G,'ครุภัณฑ์ 69'!C:C,"ยานพาหนะและขนส่ง",'ครุภัณฑ์ 69'!E:E,B75)</f>
        <v>970900</v>
      </c>
      <c r="J75" s="68">
        <f>SUMIFS('ครุภัณฑ์ 69'!F:F,'ครุภัณฑ์ 69'!C:C,"ยานพาหนะและขนส่ง",'ครุภัณฑ์ 69'!E:E,B75)</f>
        <v>1</v>
      </c>
      <c r="K75" s="68">
        <f t="shared" si="11"/>
        <v>970900</v>
      </c>
      <c r="L75" s="69">
        <f>SUMIFS('รวมครุภัณฑ์ 70'!L:L,'รวมครุภัณฑ์ 70'!C:C,"ครุภัณฑ์ยานพาหนะและขนส่ง",'รวมครุภัณฑ์ 70'!H:H,B75)</f>
        <v>1498000</v>
      </c>
      <c r="M75" s="73">
        <f>SUMIFS('รวมครุภัณฑ์ 70'!Q:Q,'รวมครุภัณฑ์ 70'!C:C,"ครุภัณฑ์ยานพาหนะและขนส่ง",'รวมครุภัณฑ์ 70'!H:H,B75)</f>
        <v>1</v>
      </c>
      <c r="N75" s="73">
        <f>SUMIFS('รวมครุภัณฑ์ 70'!R:R,'รวมครุภัณฑ์ 70'!C:C,"ครุภัณฑ์ยานพาหนะและขนส่ง",'รวมครุภัณฑ์ 70'!H:H,B75)</f>
        <v>0</v>
      </c>
      <c r="O75" s="73">
        <f t="shared" si="12"/>
        <v>1</v>
      </c>
      <c r="P75" s="69">
        <f t="shared" si="13"/>
        <v>1498000</v>
      </c>
      <c r="Q75" s="70"/>
    </row>
    <row r="76" spans="1:19" ht="21">
      <c r="A76" s="71" t="s">
        <v>122</v>
      </c>
      <c r="B76" s="67" t="s">
        <v>124</v>
      </c>
      <c r="C76" s="22">
        <f>SUMIFS('ครุภัณฑ์ 67'!G:G,'ครุภัณฑ์ 67'!C:C,"ยานพาหนะและขนส่ง",'ครุภัณฑ์ 67'!E:E,B76)</f>
        <v>885900</v>
      </c>
      <c r="D76" s="75">
        <f>SUMIFS('ครุภัณฑ์ 67'!F:F,'ครุภัณฑ์ 67'!C:C,"ยานพาหนะและขนส่ง",'ครุภัณฑ์ 67'!E:E,B76)</f>
        <v>1</v>
      </c>
      <c r="E76" s="22">
        <f t="shared" si="14"/>
        <v>885900</v>
      </c>
      <c r="F76" s="13">
        <f>SUMIFS('ครุภัณฑ์ 68'!G:G,'ครุภัณฑ์ 68'!C:C,"ยานพาหนะและขนส่ง",'ครุภัณฑ์ 68'!E:E,B76)</f>
        <v>0</v>
      </c>
      <c r="G76" s="13">
        <f>SUMIFS('ครุภัณฑ์ 68'!F:F,'ครุภัณฑ์ 68'!C:C,"ยานพาหนะและขนส่ง",'ครุภัณฑ์ 68'!E:E,B76)</f>
        <v>0</v>
      </c>
      <c r="H76" s="13">
        <f t="shared" si="10"/>
        <v>0</v>
      </c>
      <c r="I76" s="68">
        <f>SUMIFS('ครุภัณฑ์ 69'!G:G,'ครุภัณฑ์ 69'!C:C,"ยานพาหนะและขนส่ง",'ครุภัณฑ์ 69'!E:E,B76)</f>
        <v>0</v>
      </c>
      <c r="J76" s="68">
        <f>SUMIFS('ครุภัณฑ์ 69'!F:F,'ครุภัณฑ์ 69'!C:C,"ยานพาหนะและขนส่ง",'ครุภัณฑ์ 69'!E:E,B76)</f>
        <v>0</v>
      </c>
      <c r="K76" s="68">
        <f t="shared" si="11"/>
        <v>0</v>
      </c>
      <c r="L76" s="69">
        <f>SUMIFS('รวมครุภัณฑ์ 70'!L:L,'รวมครุภัณฑ์ 70'!C:C,"ครุภัณฑ์ยานพาหนะและขนส่ง",'รวมครุภัณฑ์ 70'!H:H,B76)</f>
        <v>1207900</v>
      </c>
      <c r="M76" s="73">
        <f>SUMIFS('รวมครุภัณฑ์ 70'!Q:Q,'รวมครุภัณฑ์ 70'!C:C,"ครุภัณฑ์ยานพาหนะและขนส่ง",'รวมครุภัณฑ์ 70'!H:H,B76)</f>
        <v>1</v>
      </c>
      <c r="N76" s="73">
        <f>SUMIFS('รวมครุภัณฑ์ 70'!R:R,'รวมครุภัณฑ์ 70'!C:C,"ครุภัณฑ์ยานพาหนะและขนส่ง",'รวมครุภัณฑ์ 70'!H:H,B76)</f>
        <v>0</v>
      </c>
      <c r="O76" s="73">
        <f t="shared" si="12"/>
        <v>1</v>
      </c>
      <c r="P76" s="69">
        <f t="shared" si="13"/>
        <v>1207900</v>
      </c>
      <c r="Q76" s="70"/>
    </row>
    <row r="77" spans="1:19" ht="21">
      <c r="A77" s="71" t="s">
        <v>126</v>
      </c>
      <c r="B77" s="67" t="s">
        <v>128</v>
      </c>
      <c r="C77" s="22">
        <f>SUMIFS('ครุภัณฑ์ 67'!G:G,'ครุภัณฑ์ 67'!C:C,"ยานพาหนะและขนส่ง",'ครุภัณฑ์ 67'!E:E,B77)</f>
        <v>1358000</v>
      </c>
      <c r="D77" s="75">
        <f>SUMIFS('ครุภัณฑ์ 67'!F:F,'ครุภัณฑ์ 67'!C:C,"ยานพาหนะและขนส่ง",'ครุภัณฑ์ 67'!E:E,B77)</f>
        <v>1</v>
      </c>
      <c r="E77" s="22">
        <f t="shared" si="14"/>
        <v>1358000</v>
      </c>
      <c r="F77" s="13">
        <f>SUMIFS('ครุภัณฑ์ 68'!G:G,'ครุภัณฑ์ 68'!C:C,"ยานพาหนะและขนส่ง",'ครุภัณฑ์ 68'!E:E,B77)</f>
        <v>885900</v>
      </c>
      <c r="G77" s="13">
        <f>SUMIFS('ครุภัณฑ์ 68'!F:F,'ครุภัณฑ์ 68'!C:C,"ยานพาหนะและขนส่ง",'ครุภัณฑ์ 68'!E:E,B77)</f>
        <v>1</v>
      </c>
      <c r="H77" s="13">
        <f t="shared" si="10"/>
        <v>885900</v>
      </c>
      <c r="I77" s="68">
        <f>SUMIFS('ครุภัณฑ์ 69'!G:G,'ครุภัณฑ์ 69'!C:C,"ยานพาหนะและขนส่ง",'ครุภัณฑ์ 69'!E:E,B77)</f>
        <v>0</v>
      </c>
      <c r="J77" s="68">
        <f>SUMIFS('ครุภัณฑ์ 69'!F:F,'ครุภัณฑ์ 69'!C:C,"ยานพาหนะและขนส่ง",'ครุภัณฑ์ 69'!E:E,B77)</f>
        <v>0</v>
      </c>
      <c r="K77" s="68">
        <f t="shared" si="11"/>
        <v>0</v>
      </c>
      <c r="L77" s="69">
        <f>SUMIFS('รวมครุภัณฑ์ 70'!L:L,'รวมครุภัณฑ์ 70'!C:C,"ครุภัณฑ์ยานพาหนะและขนส่ง",'รวมครุภัณฑ์ 70'!H:H,B77)</f>
        <v>0</v>
      </c>
      <c r="M77" s="73">
        <f>SUMIFS('รวมครุภัณฑ์ 70'!Q:Q,'รวมครุภัณฑ์ 70'!C:C,"ครุภัณฑ์ยานพาหนะและขนส่ง",'รวมครุภัณฑ์ 70'!H:H,B77)</f>
        <v>0</v>
      </c>
      <c r="N77" s="73">
        <f>SUMIFS('รวมครุภัณฑ์ 70'!R:R,'รวมครุภัณฑ์ 70'!C:C,"ครุภัณฑ์ยานพาหนะและขนส่ง",'รวมครุภัณฑ์ 70'!H:H,B77)</f>
        <v>0</v>
      </c>
      <c r="O77" s="73">
        <f t="shared" si="12"/>
        <v>0</v>
      </c>
      <c r="P77" s="69">
        <f t="shared" si="13"/>
        <v>0</v>
      </c>
      <c r="Q77" s="70"/>
    </row>
    <row r="78" spans="1:19" ht="21">
      <c r="A78" s="71" t="s">
        <v>130</v>
      </c>
      <c r="B78" s="67" t="s">
        <v>132</v>
      </c>
      <c r="C78" s="22">
        <f>SUMIFS('ครุภัณฑ์ 67'!G:G,'ครุภัณฑ์ 67'!C:C,"ยานพาหนะและขนส่ง",'ครุภัณฑ์ 67'!E:E,B78)</f>
        <v>2448900</v>
      </c>
      <c r="D78" s="75">
        <f>SUMIFS('ครุภัณฑ์ 67'!F:F,'ครุภัณฑ์ 67'!C:C,"ยานพาหนะและขนส่ง",'ครุภัณฑ์ 67'!E:E,B78)</f>
        <v>2</v>
      </c>
      <c r="E78" s="22">
        <f t="shared" si="14"/>
        <v>2448900</v>
      </c>
      <c r="F78" s="13">
        <f>SUMIFS('ครุภัณฑ์ 68'!G:G,'ครุภัณฑ์ 68'!C:C,"ยานพาหนะและขนส่ง",'ครุภัณฑ์ 68'!E:E,B78)</f>
        <v>0</v>
      </c>
      <c r="G78" s="13">
        <f>SUMIFS('ครุภัณฑ์ 68'!F:F,'ครุภัณฑ์ 68'!C:C,"ยานพาหนะและขนส่ง",'ครุภัณฑ์ 68'!E:E,B78)</f>
        <v>0</v>
      </c>
      <c r="H78" s="13">
        <f t="shared" si="10"/>
        <v>0</v>
      </c>
      <c r="I78" s="68">
        <f>SUMIFS('ครุภัณฑ์ 69'!G:G,'ครุภัณฑ์ 69'!C:C,"ยานพาหนะและขนส่ง",'ครุภัณฑ์ 69'!E:E,B78)</f>
        <v>0</v>
      </c>
      <c r="J78" s="68">
        <f>SUMIFS('ครุภัณฑ์ 69'!F:F,'ครุภัณฑ์ 69'!C:C,"ยานพาหนะและขนส่ง",'ครุภัณฑ์ 69'!E:E,B78)</f>
        <v>0</v>
      </c>
      <c r="K78" s="68">
        <f t="shared" si="11"/>
        <v>0</v>
      </c>
      <c r="L78" s="69">
        <f>SUMIFS('รวมครุภัณฑ์ 70'!L:L,'รวมครุภัณฑ์ 70'!C:C,"ครุภัณฑ์ยานพาหนะและขนส่ง",'รวมครุภัณฑ์ 70'!H:H,B78)</f>
        <v>1207900</v>
      </c>
      <c r="M78" s="73">
        <f>SUMIFS('รวมครุภัณฑ์ 70'!Q:Q,'รวมครุภัณฑ์ 70'!C:C,"ครุภัณฑ์ยานพาหนะและขนส่ง",'รวมครุภัณฑ์ 70'!H:H,B78)</f>
        <v>1</v>
      </c>
      <c r="N78" s="73">
        <f>SUMIFS('รวมครุภัณฑ์ 70'!R:R,'รวมครุภัณฑ์ 70'!C:C,"ครุภัณฑ์ยานพาหนะและขนส่ง",'รวมครุภัณฑ์ 70'!H:H,B78)</f>
        <v>0</v>
      </c>
      <c r="O78" s="73">
        <f t="shared" si="12"/>
        <v>1</v>
      </c>
      <c r="P78" s="69">
        <f t="shared" si="13"/>
        <v>1207900</v>
      </c>
      <c r="Q78" s="70"/>
    </row>
    <row r="79" spans="1:19" ht="21">
      <c r="A79" s="71" t="s">
        <v>130</v>
      </c>
      <c r="B79" s="67" t="s">
        <v>213</v>
      </c>
      <c r="C79" s="22">
        <f>SUMIFS('ครุภัณฑ์ 67'!G:G,'ครุภัณฑ์ 67'!C:C,"ยานพาหนะและขนส่ง",'ครุภัณฑ์ 67'!E:E,B79)</f>
        <v>0</v>
      </c>
      <c r="D79" s="75">
        <f>SUMIFS('ครุภัณฑ์ 67'!F:F,'ครุภัณฑ์ 67'!C:C,"ยานพาหนะและขนส่ง",'ครุภัณฑ์ 67'!E:E,B79)</f>
        <v>0</v>
      </c>
      <c r="E79" s="22">
        <f t="shared" si="14"/>
        <v>0</v>
      </c>
      <c r="F79" s="13">
        <f>SUMIFS('ครุภัณฑ์ 68'!G:G,'ครุภัณฑ์ 68'!C:C,"ยานพาหนะและขนส่ง",'ครุภัณฑ์ 68'!E:E,B79)</f>
        <v>0</v>
      </c>
      <c r="G79" s="13">
        <f>SUMIFS('ครุภัณฑ์ 68'!F:F,'ครุภัณฑ์ 68'!C:C,"ยานพาหนะและขนส่ง",'ครุภัณฑ์ 68'!E:E,B79)</f>
        <v>0</v>
      </c>
      <c r="H79" s="13">
        <f t="shared" si="10"/>
        <v>0</v>
      </c>
      <c r="I79" s="68">
        <f>SUMIFS('ครุภัณฑ์ 69'!G:G,'ครุภัณฑ์ 69'!C:C,"ยานพาหนะและขนส่ง",'ครุภัณฑ์ 69'!E:E,B79)</f>
        <v>0</v>
      </c>
      <c r="J79" s="68">
        <f>SUMIFS('ครุภัณฑ์ 69'!F:F,'ครุภัณฑ์ 69'!C:C,"ยานพาหนะและขนส่ง",'ครุภัณฑ์ 69'!E:E,B79)</f>
        <v>0</v>
      </c>
      <c r="K79" s="68">
        <f t="shared" si="11"/>
        <v>0</v>
      </c>
      <c r="L79" s="69">
        <f>SUMIFS('รวมครุภัณฑ์ 70'!L:L,'รวมครุภัณฑ์ 70'!C:C,"ครุภัณฑ์ยานพาหนะและขนส่ง",'รวมครุภัณฑ์ 70'!H:H,B79)</f>
        <v>0</v>
      </c>
      <c r="M79" s="73">
        <f>SUMIFS('รวมครุภัณฑ์ 70'!Q:Q,'รวมครุภัณฑ์ 70'!C:C,"ครุภัณฑ์ยานพาหนะและขนส่ง",'รวมครุภัณฑ์ 70'!H:H,B79)</f>
        <v>0</v>
      </c>
      <c r="N79" s="73">
        <f>SUMIFS('รวมครุภัณฑ์ 70'!R:R,'รวมครุภัณฑ์ 70'!C:C,"ครุภัณฑ์ยานพาหนะและขนส่ง",'รวมครุภัณฑ์ 70'!H:H,B79)</f>
        <v>0</v>
      </c>
      <c r="O79" s="73">
        <f t="shared" si="12"/>
        <v>0</v>
      </c>
      <c r="P79" s="69">
        <f t="shared" si="13"/>
        <v>0</v>
      </c>
      <c r="Q79" s="70"/>
    </row>
    <row r="80" spans="1:19" ht="21">
      <c r="A80" s="71" t="s">
        <v>133</v>
      </c>
      <c r="B80" s="67" t="s">
        <v>135</v>
      </c>
      <c r="C80" s="22">
        <f>SUMIFS('ครุภัณฑ์ 67'!G:G,'ครุภัณฑ์ 67'!C:C,"ยานพาหนะและขนส่ง",'ครุภัณฑ์ 67'!E:E,B80)</f>
        <v>0</v>
      </c>
      <c r="D80" s="75">
        <f>SUMIFS('ครุภัณฑ์ 67'!F:F,'ครุภัณฑ์ 67'!C:C,"ยานพาหนะและขนส่ง",'ครุภัณฑ์ 67'!E:E,B80)</f>
        <v>0</v>
      </c>
      <c r="E80" s="22">
        <f t="shared" si="14"/>
        <v>0</v>
      </c>
      <c r="F80" s="13">
        <f>SUMIFS('ครุภัณฑ์ 68'!G:G,'ครุภัณฑ์ 68'!C:C,"ยานพาหนะและขนส่ง",'ครุภัณฑ์ 68'!E:E,B80)</f>
        <v>0</v>
      </c>
      <c r="G80" s="13">
        <f>SUMIFS('ครุภัณฑ์ 68'!F:F,'ครุภัณฑ์ 68'!C:C,"ยานพาหนะและขนส่ง",'ครุภัณฑ์ 68'!E:E,B80)</f>
        <v>0</v>
      </c>
      <c r="H80" s="13">
        <f t="shared" si="10"/>
        <v>0</v>
      </c>
      <c r="I80" s="68">
        <f>SUMIFS('ครุภัณฑ์ 69'!G:G,'ครุภัณฑ์ 69'!C:C,"ยานพาหนะและขนส่ง",'ครุภัณฑ์ 69'!E:E,B80)</f>
        <v>0</v>
      </c>
      <c r="J80" s="68">
        <f>SUMIFS('ครุภัณฑ์ 69'!F:F,'ครุภัณฑ์ 69'!C:C,"ยานพาหนะและขนส่ง",'ครุภัณฑ์ 69'!E:E,B80)</f>
        <v>0</v>
      </c>
      <c r="K80" s="68">
        <f t="shared" si="11"/>
        <v>0</v>
      </c>
      <c r="L80" s="69">
        <f>SUMIFS('รวมครุภัณฑ์ 70'!L:L,'รวมครุภัณฑ์ 70'!C:C,"ครุภัณฑ์ยานพาหนะและขนส่ง",'รวมครุภัณฑ์ 70'!H:H,B80)</f>
        <v>0</v>
      </c>
      <c r="M80" s="73">
        <f>SUMIFS('รวมครุภัณฑ์ 70'!Q:Q,'รวมครุภัณฑ์ 70'!C:C,"ครุภัณฑ์ยานพาหนะและขนส่ง",'รวมครุภัณฑ์ 70'!H:H,B80)</f>
        <v>0</v>
      </c>
      <c r="N80" s="73">
        <f>SUMIFS('รวมครุภัณฑ์ 70'!R:R,'รวมครุภัณฑ์ 70'!C:C,"ครุภัณฑ์ยานพาหนะและขนส่ง",'รวมครุภัณฑ์ 70'!H:H,B80)</f>
        <v>0</v>
      </c>
      <c r="O80" s="73">
        <f t="shared" si="12"/>
        <v>0</v>
      </c>
      <c r="P80" s="69">
        <f t="shared" si="13"/>
        <v>0</v>
      </c>
      <c r="Q80" s="70"/>
    </row>
    <row r="81" spans="1:17" ht="21">
      <c r="A81" s="71" t="s">
        <v>136</v>
      </c>
      <c r="B81" s="67" t="s">
        <v>138</v>
      </c>
      <c r="C81" s="22">
        <f>SUMIFS('ครุภัณฑ์ 67'!G:G,'ครุภัณฑ์ 67'!C:C,"ยานพาหนะและขนส่ง",'ครุภัณฑ์ 67'!E:E,B81)</f>
        <v>0</v>
      </c>
      <c r="D81" s="75">
        <f>SUMIFS('ครุภัณฑ์ 67'!F:F,'ครุภัณฑ์ 67'!C:C,"ยานพาหนะและขนส่ง",'ครุภัณฑ์ 67'!E:E,B81)</f>
        <v>0</v>
      </c>
      <c r="E81" s="22">
        <f t="shared" si="14"/>
        <v>0</v>
      </c>
      <c r="F81" s="13">
        <f>SUMIFS('ครุภัณฑ์ 68'!G:G,'ครุภัณฑ์ 68'!C:C,"ยานพาหนะและขนส่ง",'ครุภัณฑ์ 68'!E:E,B81)</f>
        <v>0</v>
      </c>
      <c r="G81" s="13">
        <f>SUMIFS('ครุภัณฑ์ 68'!F:F,'ครุภัณฑ์ 68'!C:C,"ยานพาหนะและขนส่ง",'ครุภัณฑ์ 68'!E:E,B81)</f>
        <v>0</v>
      </c>
      <c r="H81" s="13">
        <f t="shared" si="10"/>
        <v>0</v>
      </c>
      <c r="I81" s="68">
        <f>SUMIFS('ครุภัณฑ์ 69'!G:G,'ครุภัณฑ์ 69'!C:C,"ยานพาหนะและขนส่ง",'ครุภัณฑ์ 69'!E:E,B81)</f>
        <v>1369000</v>
      </c>
      <c r="J81" s="68">
        <f>SUMIFS('ครุภัณฑ์ 69'!F:F,'ครุภัณฑ์ 69'!C:C,"ยานพาหนะและขนส่ง",'ครุภัณฑ์ 69'!E:E,B81)</f>
        <v>1</v>
      </c>
      <c r="K81" s="68">
        <f t="shared" si="11"/>
        <v>1369000</v>
      </c>
      <c r="L81" s="69">
        <f>SUMIFS('รวมครุภัณฑ์ 70'!L:L,'รวมครุภัณฑ์ 70'!C:C,"ครุภัณฑ์ยานพาหนะและขนส่ง",'รวมครุภัณฑ์ 70'!H:H,B81)</f>
        <v>0</v>
      </c>
      <c r="M81" s="73">
        <f>SUMIFS('รวมครุภัณฑ์ 70'!Q:Q,'รวมครุภัณฑ์ 70'!C:C,"ครุภัณฑ์ยานพาหนะและขนส่ง",'รวมครุภัณฑ์ 70'!H:H,B81)</f>
        <v>0</v>
      </c>
      <c r="N81" s="73">
        <f>SUMIFS('รวมครุภัณฑ์ 70'!R:R,'รวมครุภัณฑ์ 70'!C:C,"ครุภัณฑ์ยานพาหนะและขนส่ง",'รวมครุภัณฑ์ 70'!H:H,B81)</f>
        <v>0</v>
      </c>
      <c r="O81" s="73">
        <f t="shared" si="12"/>
        <v>0</v>
      </c>
      <c r="P81" s="69">
        <f t="shared" si="13"/>
        <v>0</v>
      </c>
      <c r="Q81" s="70"/>
    </row>
    <row r="82" spans="1:17" ht="21">
      <c r="A82" s="71" t="s">
        <v>375</v>
      </c>
      <c r="B82" s="67" t="s">
        <v>377</v>
      </c>
      <c r="C82" s="22">
        <f>SUMIFS('ครุภัณฑ์ 67'!G:G,'ครุภัณฑ์ 67'!C:C,"ยานพาหนะและขนส่ง",'ครุภัณฑ์ 67'!E:E,B82)</f>
        <v>1358000</v>
      </c>
      <c r="D82" s="75">
        <f>SUMIFS('ครุภัณฑ์ 67'!F:F,'ครุภัณฑ์ 67'!C:C,"ยานพาหนะและขนส่ง",'ครุภัณฑ์ 67'!E:E,B82)</f>
        <v>1</v>
      </c>
      <c r="E82" s="22">
        <f t="shared" si="14"/>
        <v>1358000</v>
      </c>
      <c r="F82" s="13">
        <f>SUMIFS('ครุภัณฑ์ 68'!G:G,'ครุภัณฑ์ 68'!C:C,"ยานพาหนะและขนส่ง",'ครุภัณฑ์ 68'!E:E,B82)</f>
        <v>0</v>
      </c>
      <c r="G82" s="13">
        <f>SUMIFS('ครุภัณฑ์ 68'!F:F,'ครุภัณฑ์ 68'!C:C,"ยานพาหนะและขนส่ง",'ครุภัณฑ์ 68'!E:E,B82)</f>
        <v>0</v>
      </c>
      <c r="H82" s="13">
        <f t="shared" si="10"/>
        <v>0</v>
      </c>
      <c r="I82" s="68">
        <f>SUMIFS('ครุภัณฑ์ 69'!G:G,'ครุภัณฑ์ 69'!C:C,"ยานพาหนะและขนส่ง",'ครุภัณฑ์ 69'!E:E,B82)</f>
        <v>0</v>
      </c>
      <c r="J82" s="68">
        <f>SUMIFS('ครุภัณฑ์ 69'!F:F,'ครุภัณฑ์ 69'!C:C,"ยานพาหนะและขนส่ง",'ครุภัณฑ์ 69'!E:E,B82)</f>
        <v>0</v>
      </c>
      <c r="K82" s="68">
        <f t="shared" si="11"/>
        <v>0</v>
      </c>
      <c r="L82" s="69">
        <f>SUMIFS('รวมครุภัณฑ์ 70'!L:L,'รวมครุภัณฑ์ 70'!C:C,"ครุภัณฑ์ยานพาหนะและขนส่ง",'รวมครุภัณฑ์ 70'!H:H,B82)</f>
        <v>0</v>
      </c>
      <c r="M82" s="73">
        <f>SUMIFS('รวมครุภัณฑ์ 70'!Q:Q,'รวมครุภัณฑ์ 70'!C:C,"ครุภัณฑ์ยานพาหนะและขนส่ง",'รวมครุภัณฑ์ 70'!H:H,B82)</f>
        <v>0</v>
      </c>
      <c r="N82" s="73">
        <f>SUMIFS('รวมครุภัณฑ์ 70'!R:R,'รวมครุภัณฑ์ 70'!C:C,"ครุภัณฑ์ยานพาหนะและขนส่ง",'รวมครุภัณฑ์ 70'!H:H,B82)</f>
        <v>0</v>
      </c>
      <c r="O82" s="73">
        <f t="shared" si="12"/>
        <v>0</v>
      </c>
      <c r="P82" s="69">
        <f t="shared" si="13"/>
        <v>0</v>
      </c>
      <c r="Q82" s="70"/>
    </row>
    <row r="83" spans="1:17" ht="21">
      <c r="A83" s="71" t="s">
        <v>214</v>
      </c>
      <c r="B83" s="67" t="s">
        <v>216</v>
      </c>
      <c r="C83" s="22">
        <f>SUMIFS('ครุภัณฑ์ 67'!G:G,'ครุภัณฑ์ 67'!C:C,"ยานพาหนะและขนส่ง",'ครุภัณฑ์ 67'!E:E,B83)</f>
        <v>885900</v>
      </c>
      <c r="D83" s="75">
        <f>SUMIFS('ครุภัณฑ์ 67'!F:F,'ครุภัณฑ์ 67'!C:C,"ยานพาหนะและขนส่ง",'ครุภัณฑ์ 67'!E:E,B83)</f>
        <v>1</v>
      </c>
      <c r="E83" s="22">
        <f t="shared" si="14"/>
        <v>885900</v>
      </c>
      <c r="F83" s="13">
        <f>SUMIFS('ครุภัณฑ์ 68'!G:G,'ครุภัณฑ์ 68'!C:C,"ยานพาหนะและขนส่ง",'ครุภัณฑ์ 68'!E:E,B83)</f>
        <v>0</v>
      </c>
      <c r="G83" s="13">
        <f>SUMIFS('ครุภัณฑ์ 68'!F:F,'ครุภัณฑ์ 68'!C:C,"ยานพาหนะและขนส่ง",'ครุภัณฑ์ 68'!E:E,B83)</f>
        <v>0</v>
      </c>
      <c r="H83" s="13">
        <f t="shared" si="10"/>
        <v>0</v>
      </c>
      <c r="I83" s="68">
        <f>SUMIFS('ครุภัณฑ์ 69'!G:G,'ครุภัณฑ์ 69'!C:C,"ยานพาหนะและขนส่ง",'ครุภัณฑ์ 69'!E:E,B83)</f>
        <v>0</v>
      </c>
      <c r="J83" s="68">
        <f>SUMIFS('ครุภัณฑ์ 69'!F:F,'ครุภัณฑ์ 69'!C:C,"ยานพาหนะและขนส่ง",'ครุภัณฑ์ 69'!E:E,B83)</f>
        <v>0</v>
      </c>
      <c r="K83" s="68">
        <f t="shared" si="11"/>
        <v>0</v>
      </c>
      <c r="L83" s="69">
        <f>SUMIFS('รวมครุภัณฑ์ 70'!L:L,'รวมครุภัณฑ์ 70'!C:C,"ครุภัณฑ์ยานพาหนะและขนส่ง",'รวมครุภัณฑ์ 70'!H:H,B83)</f>
        <v>0</v>
      </c>
      <c r="M83" s="73">
        <f>SUMIFS('รวมครุภัณฑ์ 70'!Q:Q,'รวมครุภัณฑ์ 70'!C:C,"ครุภัณฑ์ยานพาหนะและขนส่ง",'รวมครุภัณฑ์ 70'!H:H,B83)</f>
        <v>0</v>
      </c>
      <c r="N83" s="73">
        <f>SUMIFS('รวมครุภัณฑ์ 70'!R:R,'รวมครุภัณฑ์ 70'!C:C,"ครุภัณฑ์ยานพาหนะและขนส่ง",'รวมครุภัณฑ์ 70'!H:H,B83)</f>
        <v>0</v>
      </c>
      <c r="O83" s="73">
        <f t="shared" si="12"/>
        <v>0</v>
      </c>
      <c r="P83" s="69">
        <f t="shared" si="13"/>
        <v>0</v>
      </c>
      <c r="Q83" s="70"/>
    </row>
    <row r="84" spans="1:17" ht="21">
      <c r="A84" s="71" t="s">
        <v>379</v>
      </c>
      <c r="B84" s="67" t="s">
        <v>381</v>
      </c>
      <c r="C84" s="22">
        <f>SUMIFS('ครุภัณฑ์ 67'!G:G,'ครุภัณฑ์ 67'!C:C,"ยานพาหนะและขนส่ง",'ครุภัณฑ์ 67'!E:E,B84)</f>
        <v>1090900</v>
      </c>
      <c r="D84" s="75">
        <f>SUMIFS('ครุภัณฑ์ 67'!F:F,'ครุภัณฑ์ 67'!C:C,"ยานพาหนะและขนส่ง",'ครุภัณฑ์ 67'!E:E,B84)</f>
        <v>1</v>
      </c>
      <c r="E84" s="22">
        <f t="shared" si="14"/>
        <v>1090900</v>
      </c>
      <c r="F84" s="13">
        <f>SUMIFS('ครุภัณฑ์ 68'!G:G,'ครุภัณฑ์ 68'!C:C,"ยานพาหนะและขนส่ง",'ครุภัณฑ์ 68'!E:E,B84)</f>
        <v>0</v>
      </c>
      <c r="G84" s="13">
        <f>SUMIFS('ครุภัณฑ์ 68'!F:F,'ครุภัณฑ์ 68'!C:C,"ยานพาหนะและขนส่ง",'ครุภัณฑ์ 68'!E:E,B84)</f>
        <v>0</v>
      </c>
      <c r="H84" s="13">
        <f t="shared" si="10"/>
        <v>0</v>
      </c>
      <c r="I84" s="68">
        <f>SUMIFS('ครุภัณฑ์ 69'!G:G,'ครุภัณฑ์ 69'!C:C,"ยานพาหนะและขนส่ง",'ครุภัณฑ์ 69'!E:E,B84)</f>
        <v>0</v>
      </c>
      <c r="J84" s="68">
        <f>SUMIFS('ครุภัณฑ์ 69'!F:F,'ครุภัณฑ์ 69'!C:C,"ยานพาหนะและขนส่ง",'ครุภัณฑ์ 69'!E:E,B84)</f>
        <v>0</v>
      </c>
      <c r="K84" s="68">
        <f t="shared" si="11"/>
        <v>0</v>
      </c>
      <c r="L84" s="69">
        <f>SUMIFS('รวมครุภัณฑ์ 70'!L:L,'รวมครุภัณฑ์ 70'!C:C,"ครุภัณฑ์ยานพาหนะและขนส่ง",'รวมครุภัณฑ์ 70'!H:H,B84)</f>
        <v>1207900</v>
      </c>
      <c r="M84" s="73">
        <f>SUMIFS('รวมครุภัณฑ์ 70'!Q:Q,'รวมครุภัณฑ์ 70'!C:C,"ครุภัณฑ์ยานพาหนะและขนส่ง",'รวมครุภัณฑ์ 70'!H:H,B84)</f>
        <v>1</v>
      </c>
      <c r="N84" s="73">
        <f>SUMIFS('รวมครุภัณฑ์ 70'!R:R,'รวมครุภัณฑ์ 70'!C:C,"ครุภัณฑ์ยานพาหนะและขนส่ง",'รวมครุภัณฑ์ 70'!H:H,B84)</f>
        <v>0</v>
      </c>
      <c r="O84" s="73">
        <f t="shared" si="12"/>
        <v>1</v>
      </c>
      <c r="P84" s="69">
        <f t="shared" si="13"/>
        <v>1207900</v>
      </c>
      <c r="Q84" s="70"/>
    </row>
    <row r="85" spans="1:17" ht="21">
      <c r="A85" s="71" t="s">
        <v>379</v>
      </c>
      <c r="B85" s="67" t="s">
        <v>459</v>
      </c>
      <c r="C85" s="22">
        <f>SUMIFS('ครุภัณฑ์ 67'!G:G,'ครุภัณฑ์ 67'!C:C,"ยานพาหนะและขนส่ง",'ครุภัณฑ์ 67'!E:E,B85)</f>
        <v>0</v>
      </c>
      <c r="D85" s="75">
        <f>SUMIFS('ครุภัณฑ์ 67'!F:F,'ครุภัณฑ์ 67'!C:C,"ยานพาหนะและขนส่ง",'ครุภัณฑ์ 67'!E:E,B85)</f>
        <v>0</v>
      </c>
      <c r="E85" s="22">
        <f t="shared" si="14"/>
        <v>0</v>
      </c>
      <c r="F85" s="13">
        <f>SUMIFS('ครุภัณฑ์ 68'!G:G,'ครุภัณฑ์ 68'!C:C,"ยานพาหนะและขนส่ง",'ครุภัณฑ์ 68'!E:E,B85)</f>
        <v>0</v>
      </c>
      <c r="G85" s="13">
        <f>SUMIFS('ครุภัณฑ์ 68'!F:F,'ครุภัณฑ์ 68'!C:C,"ยานพาหนะและขนส่ง",'ครุภัณฑ์ 68'!E:E,B85)</f>
        <v>0</v>
      </c>
      <c r="H85" s="13">
        <f t="shared" si="10"/>
        <v>0</v>
      </c>
      <c r="I85" s="68">
        <f>SUMIFS('ครุภัณฑ์ 69'!G:G,'ครุภัณฑ์ 69'!C:C,"ยานพาหนะและขนส่ง",'ครุภัณฑ์ 69'!E:E,B85)</f>
        <v>0</v>
      </c>
      <c r="J85" s="68">
        <f>SUMIFS('ครุภัณฑ์ 69'!F:F,'ครุภัณฑ์ 69'!C:C,"ยานพาหนะและขนส่ง",'ครุภัณฑ์ 69'!E:E,B85)</f>
        <v>0</v>
      </c>
      <c r="K85" s="68">
        <f t="shared" si="11"/>
        <v>0</v>
      </c>
      <c r="L85" s="69">
        <f>SUMIFS('รวมครุภัณฑ์ 70'!L:L,'รวมครุภัณฑ์ 70'!C:C,"ครุภัณฑ์ยานพาหนะและขนส่ง",'รวมครุภัณฑ์ 70'!H:H,B85)</f>
        <v>0</v>
      </c>
      <c r="M85" s="73">
        <f>SUMIFS('รวมครุภัณฑ์ 70'!Q:Q,'รวมครุภัณฑ์ 70'!C:C,"ครุภัณฑ์ยานพาหนะและขนส่ง",'รวมครุภัณฑ์ 70'!H:H,B85)</f>
        <v>0</v>
      </c>
      <c r="N85" s="73">
        <f>SUMIFS('รวมครุภัณฑ์ 70'!R:R,'รวมครุภัณฑ์ 70'!C:C,"ครุภัณฑ์ยานพาหนะและขนส่ง",'รวมครุภัณฑ์ 70'!H:H,B85)</f>
        <v>0</v>
      </c>
      <c r="O85" s="73">
        <f t="shared" si="12"/>
        <v>0</v>
      </c>
      <c r="P85" s="69">
        <f t="shared" si="13"/>
        <v>0</v>
      </c>
      <c r="Q85" s="70"/>
    </row>
    <row r="86" spans="1:17" ht="21">
      <c r="A86" s="71" t="s">
        <v>139</v>
      </c>
      <c r="B86" s="67" t="s">
        <v>141</v>
      </c>
      <c r="C86" s="22">
        <f>SUMIFS('ครุภัณฑ์ 67'!G:G,'ครุภัณฑ์ 67'!C:C,"ยานพาหนะและขนส่ง",'ครุภัณฑ์ 67'!E:E,B86)</f>
        <v>0</v>
      </c>
      <c r="D86" s="75">
        <f>SUMIFS('ครุภัณฑ์ 67'!F:F,'ครุภัณฑ์ 67'!C:C,"ยานพาหนะและขนส่ง",'ครุภัณฑ์ 67'!E:E,B86)</f>
        <v>0</v>
      </c>
      <c r="E86" s="22">
        <f t="shared" si="14"/>
        <v>0</v>
      </c>
      <c r="F86" s="13">
        <f>SUMIFS('ครุภัณฑ์ 68'!G:G,'ครุภัณฑ์ 68'!C:C,"ยานพาหนะและขนส่ง",'ครุภัณฑ์ 68'!E:E,B86)</f>
        <v>0</v>
      </c>
      <c r="G86" s="13">
        <f>SUMIFS('ครุภัณฑ์ 68'!F:F,'ครุภัณฑ์ 68'!C:C,"ยานพาหนะและขนส่ง",'ครุภัณฑ์ 68'!E:E,B86)</f>
        <v>0</v>
      </c>
      <c r="H86" s="13">
        <f t="shared" si="10"/>
        <v>0</v>
      </c>
      <c r="I86" s="68">
        <f>SUMIFS('ครุภัณฑ์ 69'!G:G,'ครุภัณฑ์ 69'!C:C,"ยานพาหนะและขนส่ง",'ครุภัณฑ์ 69'!E:E,B86)</f>
        <v>970900</v>
      </c>
      <c r="J86" s="68">
        <f>SUMIFS('ครุภัณฑ์ 69'!F:F,'ครุภัณฑ์ 69'!C:C,"ยานพาหนะและขนส่ง",'ครุภัณฑ์ 69'!E:E,B86)</f>
        <v>1</v>
      </c>
      <c r="K86" s="68">
        <f t="shared" si="11"/>
        <v>970900</v>
      </c>
      <c r="L86" s="69">
        <f>SUMIFS('รวมครุภัณฑ์ 70'!L:L,'รวมครุภัณฑ์ 70'!C:C,"ครุภัณฑ์ยานพาหนะและขนส่ง",'รวมครุภัณฑ์ 70'!H:H,B86)</f>
        <v>970900</v>
      </c>
      <c r="M86" s="73">
        <f>SUMIFS('รวมครุภัณฑ์ 70'!Q:Q,'รวมครุภัณฑ์ 70'!C:C,"ครุภัณฑ์ยานพาหนะและขนส่ง",'รวมครุภัณฑ์ 70'!H:H,B86)</f>
        <v>1</v>
      </c>
      <c r="N86" s="73">
        <f>SUMIFS('รวมครุภัณฑ์ 70'!R:R,'รวมครุภัณฑ์ 70'!C:C,"ครุภัณฑ์ยานพาหนะและขนส่ง",'รวมครุภัณฑ์ 70'!H:H,B86)</f>
        <v>0</v>
      </c>
      <c r="O86" s="73">
        <f t="shared" si="12"/>
        <v>1</v>
      </c>
      <c r="P86" s="69">
        <f t="shared" si="13"/>
        <v>970900</v>
      </c>
      <c r="Q86" s="70"/>
    </row>
    <row r="87" spans="1:17" ht="21">
      <c r="A87" s="71" t="s">
        <v>428</v>
      </c>
      <c r="B87" s="67" t="s">
        <v>433</v>
      </c>
      <c r="C87" s="22">
        <f>SUMIFS('ครุภัณฑ์ 67'!G:G,'ครุภัณฑ์ 67'!C:C,"ยานพาหนะและขนส่ง",'ครุภัณฑ์ 67'!E:E,B87)</f>
        <v>0</v>
      </c>
      <c r="D87" s="75">
        <f>SUMIFS('ครุภัณฑ์ 67'!F:F,'ครุภัณฑ์ 67'!C:C,"ยานพาหนะและขนส่ง",'ครุภัณฑ์ 67'!E:E,B87)</f>
        <v>0</v>
      </c>
      <c r="E87" s="22">
        <f t="shared" si="14"/>
        <v>0</v>
      </c>
      <c r="F87" s="13">
        <f>SUMIFS('ครุภัณฑ์ 68'!G:G,'ครุภัณฑ์ 68'!C:C,"ยานพาหนะและขนส่ง",'ครุภัณฑ์ 68'!E:E,B87)</f>
        <v>0</v>
      </c>
      <c r="G87" s="13">
        <f>SUMIFS('ครุภัณฑ์ 68'!F:F,'ครุภัณฑ์ 68'!C:C,"ยานพาหนะและขนส่ง",'ครุภัณฑ์ 68'!E:E,B87)</f>
        <v>0</v>
      </c>
      <c r="H87" s="13">
        <f t="shared" si="10"/>
        <v>0</v>
      </c>
      <c r="I87" s="68">
        <f>SUMIFS('ครุภัณฑ์ 69'!G:G,'ครุภัณฑ์ 69'!C:C,"ยานพาหนะและขนส่ง",'ครุภัณฑ์ 69'!E:E,B87)</f>
        <v>0</v>
      </c>
      <c r="J87" s="68">
        <f>SUMIFS('ครุภัณฑ์ 69'!F:F,'ครุภัณฑ์ 69'!C:C,"ยานพาหนะและขนส่ง",'ครุภัณฑ์ 69'!E:E,B87)</f>
        <v>0</v>
      </c>
      <c r="K87" s="68">
        <f t="shared" si="11"/>
        <v>0</v>
      </c>
      <c r="L87" s="69">
        <f>SUMIFS('รวมครุภัณฑ์ 70'!L:L,'รวมครุภัณฑ์ 70'!C:C,"ครุภัณฑ์ยานพาหนะและขนส่ง",'รวมครุภัณฑ์ 70'!H:H,B87)</f>
        <v>970900</v>
      </c>
      <c r="M87" s="73">
        <f>SUMIFS('รวมครุภัณฑ์ 70'!Q:Q,'รวมครุภัณฑ์ 70'!C:C,"ครุภัณฑ์ยานพาหนะและขนส่ง",'รวมครุภัณฑ์ 70'!H:H,B87)</f>
        <v>1</v>
      </c>
      <c r="N87" s="73">
        <f>SUMIFS('รวมครุภัณฑ์ 70'!R:R,'รวมครุภัณฑ์ 70'!C:C,"ครุภัณฑ์ยานพาหนะและขนส่ง",'รวมครุภัณฑ์ 70'!H:H,B87)</f>
        <v>0</v>
      </c>
      <c r="O87" s="73">
        <f t="shared" si="12"/>
        <v>1</v>
      </c>
      <c r="P87" s="69">
        <f t="shared" si="13"/>
        <v>970900</v>
      </c>
      <c r="Q87" s="70"/>
    </row>
    <row r="88" spans="1:17" ht="21">
      <c r="A88" s="71" t="s">
        <v>217</v>
      </c>
      <c r="B88" s="67" t="s">
        <v>219</v>
      </c>
      <c r="C88" s="22">
        <f>SUMIFS('ครุภัณฑ์ 67'!G:G,'ครุภัณฑ์ 67'!C:C,"ยานพาหนะและขนส่ง",'ครุภัณฑ์ 67'!E:E,B88)</f>
        <v>0</v>
      </c>
      <c r="D88" s="75">
        <f>SUMIFS('ครุภัณฑ์ 67'!F:F,'ครุภัณฑ์ 67'!C:C,"ยานพาหนะและขนส่ง",'ครุภัณฑ์ 67'!E:E,B88)</f>
        <v>0</v>
      </c>
      <c r="E88" s="22">
        <f t="shared" si="14"/>
        <v>0</v>
      </c>
      <c r="F88" s="13">
        <f>SUMIFS('ครุภัณฑ์ 68'!G:G,'ครุภัณฑ์ 68'!C:C,"ยานพาหนะและขนส่ง",'ครุภัณฑ์ 68'!E:E,B88)</f>
        <v>0</v>
      </c>
      <c r="G88" s="13">
        <f>SUMIFS('ครุภัณฑ์ 68'!F:F,'ครุภัณฑ์ 68'!C:C,"ยานพาหนะและขนส่ง",'ครุภัณฑ์ 68'!E:E,B88)</f>
        <v>0</v>
      </c>
      <c r="H88" s="13">
        <f t="shared" si="10"/>
        <v>0</v>
      </c>
      <c r="I88" s="68">
        <f>SUMIFS('ครุภัณฑ์ 69'!G:G,'ครุภัณฑ์ 69'!C:C,"ยานพาหนะและขนส่ง",'ครุภัณฑ์ 69'!E:E,B88)</f>
        <v>0</v>
      </c>
      <c r="J88" s="68">
        <f>SUMIFS('ครุภัณฑ์ 69'!F:F,'ครุภัณฑ์ 69'!C:C,"ยานพาหนะและขนส่ง",'ครุภัณฑ์ 69'!E:E,B88)</f>
        <v>0</v>
      </c>
      <c r="K88" s="68">
        <f t="shared" si="11"/>
        <v>0</v>
      </c>
      <c r="L88" s="69">
        <f>SUMIFS('รวมครุภัณฑ์ 70'!L:L,'รวมครุภัณฑ์ 70'!C:C,"ครุภัณฑ์ยานพาหนะและขนส่ง",'รวมครุภัณฑ์ 70'!H:H,B88)</f>
        <v>0</v>
      </c>
      <c r="M88" s="73">
        <f>SUMIFS('รวมครุภัณฑ์ 70'!Q:Q,'รวมครุภัณฑ์ 70'!C:C,"ครุภัณฑ์ยานพาหนะและขนส่ง",'รวมครุภัณฑ์ 70'!H:H,B88)</f>
        <v>0</v>
      </c>
      <c r="N88" s="73">
        <f>SUMIFS('รวมครุภัณฑ์ 70'!R:R,'รวมครุภัณฑ์ 70'!C:C,"ครุภัณฑ์ยานพาหนะและขนส่ง",'รวมครุภัณฑ์ 70'!H:H,B88)</f>
        <v>0</v>
      </c>
      <c r="O88" s="73">
        <f t="shared" si="12"/>
        <v>0</v>
      </c>
      <c r="P88" s="69">
        <f t="shared" si="13"/>
        <v>0</v>
      </c>
      <c r="Q88" s="70"/>
    </row>
    <row r="89" spans="1:17" ht="21">
      <c r="A89" s="71" t="s">
        <v>143</v>
      </c>
      <c r="B89" s="67" t="s">
        <v>145</v>
      </c>
      <c r="C89" s="22">
        <f>SUMIFS('ครุภัณฑ์ 67'!G:G,'ครุภัณฑ์ 67'!C:C,"ยานพาหนะและขนส่ง",'ครุภัณฑ์ 67'!E:E,B89)</f>
        <v>0</v>
      </c>
      <c r="D89" s="75">
        <f>SUMIFS('ครุภัณฑ์ 67'!F:F,'ครุภัณฑ์ 67'!C:C,"ยานพาหนะและขนส่ง",'ครุภัณฑ์ 67'!E:E,B89)</f>
        <v>0</v>
      </c>
      <c r="E89" s="22">
        <f t="shared" si="14"/>
        <v>0</v>
      </c>
      <c r="F89" s="13">
        <f>SUMIFS('ครุภัณฑ์ 68'!G:G,'ครุภัณฑ์ 68'!C:C,"ยานพาหนะและขนส่ง",'ครุภัณฑ์ 68'!E:E,B89)</f>
        <v>0</v>
      </c>
      <c r="G89" s="13">
        <f>SUMIFS('ครุภัณฑ์ 68'!F:F,'ครุภัณฑ์ 68'!C:C,"ยานพาหนะและขนส่ง",'ครุภัณฑ์ 68'!E:E,B89)</f>
        <v>0</v>
      </c>
      <c r="H89" s="13">
        <f t="shared" si="10"/>
        <v>0</v>
      </c>
      <c r="I89" s="68">
        <f>SUMIFS('ครุภัณฑ์ 69'!G:G,'ครุภัณฑ์ 69'!C:C,"ยานพาหนะและขนส่ง",'ครุภัณฑ์ 69'!E:E,B89)</f>
        <v>1207900</v>
      </c>
      <c r="J89" s="68">
        <f>SUMIFS('ครุภัณฑ์ 69'!F:F,'ครุภัณฑ์ 69'!C:C,"ยานพาหนะและขนส่ง",'ครุภัณฑ์ 69'!E:E,B89)</f>
        <v>1</v>
      </c>
      <c r="K89" s="68">
        <f t="shared" si="11"/>
        <v>1207900</v>
      </c>
      <c r="L89" s="69">
        <f>SUMIFS('รวมครุภัณฑ์ 70'!L:L,'รวมครุภัณฑ์ 70'!C:C,"ครุภัณฑ์ยานพาหนะและขนส่ง",'รวมครุภัณฑ์ 70'!H:H,B89)</f>
        <v>2705900</v>
      </c>
      <c r="M89" s="73">
        <f>SUMIFS('รวมครุภัณฑ์ 70'!Q:Q,'รวมครุภัณฑ์ 70'!C:C,"ครุภัณฑ์ยานพาหนะและขนส่ง",'รวมครุภัณฑ์ 70'!H:H,B89)</f>
        <v>2</v>
      </c>
      <c r="N89" s="73">
        <f>SUMIFS('รวมครุภัณฑ์ 70'!R:R,'รวมครุภัณฑ์ 70'!C:C,"ครุภัณฑ์ยานพาหนะและขนส่ง",'รวมครุภัณฑ์ 70'!H:H,B89)</f>
        <v>0</v>
      </c>
      <c r="O89" s="73">
        <f t="shared" si="12"/>
        <v>2</v>
      </c>
      <c r="P89" s="69">
        <f t="shared" si="13"/>
        <v>2705900</v>
      </c>
      <c r="Q89" s="70"/>
    </row>
    <row r="90" spans="1:17" ht="21">
      <c r="A90" s="71" t="s">
        <v>257</v>
      </c>
      <c r="B90" s="67" t="s">
        <v>259</v>
      </c>
      <c r="C90" s="22">
        <f>SUMIFS('ครุภัณฑ์ 67'!G:G,'ครุภัณฑ์ 67'!C:C,"ยานพาหนะและขนส่ง",'ครุภัณฑ์ 67'!E:E,B90)</f>
        <v>0</v>
      </c>
      <c r="D90" s="75">
        <f>SUMIFS('ครุภัณฑ์ 67'!F:F,'ครุภัณฑ์ 67'!C:C,"ยานพาหนะและขนส่ง",'ครุภัณฑ์ 67'!E:E,B90)</f>
        <v>0</v>
      </c>
      <c r="E90" s="22">
        <f t="shared" si="14"/>
        <v>0</v>
      </c>
      <c r="F90" s="13">
        <f>SUMIFS('ครุภัณฑ์ 68'!G:G,'ครุภัณฑ์ 68'!C:C,"ยานพาหนะและขนส่ง",'ครุภัณฑ์ 68'!E:E,B90)</f>
        <v>1090900</v>
      </c>
      <c r="G90" s="13">
        <f>SUMIFS('ครุภัณฑ์ 68'!F:F,'ครุภัณฑ์ 68'!C:C,"ยานพาหนะและขนส่ง",'ครุภัณฑ์ 68'!E:E,B90)</f>
        <v>1</v>
      </c>
      <c r="H90" s="13">
        <f t="shared" si="10"/>
        <v>1090900</v>
      </c>
      <c r="I90" s="68">
        <f>SUMIFS('ครุภัณฑ์ 69'!G:G,'ครุภัณฑ์ 69'!C:C,"ยานพาหนะและขนส่ง",'ครุภัณฑ์ 69'!E:E,B90)</f>
        <v>0</v>
      </c>
      <c r="J90" s="68">
        <f>SUMIFS('ครุภัณฑ์ 69'!F:F,'ครุภัณฑ์ 69'!C:C,"ยานพาหนะและขนส่ง",'ครุภัณฑ์ 69'!E:E,B90)</f>
        <v>0</v>
      </c>
      <c r="K90" s="68">
        <f t="shared" si="11"/>
        <v>0</v>
      </c>
      <c r="L90" s="69">
        <f>SUMIFS('รวมครุภัณฑ์ 70'!L:L,'รวมครุภัณฑ์ 70'!C:C,"ครุภัณฑ์ยานพาหนะและขนส่ง",'รวมครุภัณฑ์ 70'!H:H,B90)</f>
        <v>2468900</v>
      </c>
      <c r="M90" s="73">
        <f>SUMIFS('รวมครุภัณฑ์ 70'!Q:Q,'รวมครุภัณฑ์ 70'!C:C,"ครุภัณฑ์ยานพาหนะและขนส่ง",'รวมครุภัณฑ์ 70'!H:H,B90)</f>
        <v>2</v>
      </c>
      <c r="N90" s="73">
        <f>SUMIFS('รวมครุภัณฑ์ 70'!R:R,'รวมครุภัณฑ์ 70'!C:C,"ครุภัณฑ์ยานพาหนะและขนส่ง",'รวมครุภัณฑ์ 70'!H:H,B90)</f>
        <v>0</v>
      </c>
      <c r="O90" s="73">
        <f t="shared" si="12"/>
        <v>2</v>
      </c>
      <c r="P90" s="69">
        <f t="shared" si="13"/>
        <v>2468900</v>
      </c>
      <c r="Q90" s="70"/>
    </row>
    <row r="91" spans="1:17" ht="21">
      <c r="A91" s="71" t="s">
        <v>260</v>
      </c>
      <c r="B91" s="67" t="s">
        <v>262</v>
      </c>
      <c r="C91" s="22">
        <f>SUMIFS('ครุภัณฑ์ 67'!G:G,'ครุภัณฑ์ 67'!C:C,"ยานพาหนะและขนส่ง",'ครุภัณฑ์ 67'!E:E,B91)</f>
        <v>0</v>
      </c>
      <c r="D91" s="75">
        <f>SUMIFS('ครุภัณฑ์ 67'!F:F,'ครุภัณฑ์ 67'!C:C,"ยานพาหนะและขนส่ง",'ครุภัณฑ์ 67'!E:E,B91)</f>
        <v>0</v>
      </c>
      <c r="E91" s="22">
        <f t="shared" si="14"/>
        <v>0</v>
      </c>
      <c r="F91" s="13">
        <f>SUMIFS('ครุภัณฑ์ 68'!G:G,'ครุภัณฑ์ 68'!C:C,"ยานพาหนะและขนส่ง",'ครุภัณฑ์ 68'!E:E,B91)</f>
        <v>885900</v>
      </c>
      <c r="G91" s="13">
        <f>SUMIFS('ครุภัณฑ์ 68'!F:F,'ครุภัณฑ์ 68'!C:C,"ยานพาหนะและขนส่ง",'ครุภัณฑ์ 68'!E:E,B91)</f>
        <v>1</v>
      </c>
      <c r="H91" s="13">
        <f t="shared" si="10"/>
        <v>885900</v>
      </c>
      <c r="I91" s="68">
        <f>SUMIFS('ครุภัณฑ์ 69'!G:G,'ครุภัณฑ์ 69'!C:C,"ยานพาหนะและขนส่ง",'ครุภัณฑ์ 69'!E:E,B91)</f>
        <v>0</v>
      </c>
      <c r="J91" s="68">
        <f>SUMIFS('ครุภัณฑ์ 69'!F:F,'ครุภัณฑ์ 69'!C:C,"ยานพาหนะและขนส่ง",'ครุภัณฑ์ 69'!E:E,B91)</f>
        <v>0</v>
      </c>
      <c r="K91" s="68">
        <f t="shared" si="11"/>
        <v>0</v>
      </c>
      <c r="L91" s="69">
        <f>SUMIFS('รวมครุภัณฑ์ 70'!L:L,'รวมครุภัณฑ์ 70'!C:C,"ครุภัณฑ์ยานพาหนะและขนส่ง",'รวมครุภัณฑ์ 70'!H:H,B91)</f>
        <v>1498000</v>
      </c>
      <c r="M91" s="73">
        <f>SUMIFS('รวมครุภัณฑ์ 70'!Q:Q,'รวมครุภัณฑ์ 70'!C:C,"ครุภัณฑ์ยานพาหนะและขนส่ง",'รวมครุภัณฑ์ 70'!H:H,B91)</f>
        <v>1</v>
      </c>
      <c r="N91" s="73">
        <f>SUMIFS('รวมครุภัณฑ์ 70'!R:R,'รวมครุภัณฑ์ 70'!C:C,"ครุภัณฑ์ยานพาหนะและขนส่ง",'รวมครุภัณฑ์ 70'!H:H,B91)</f>
        <v>0</v>
      </c>
      <c r="O91" s="73">
        <f t="shared" si="12"/>
        <v>1</v>
      </c>
      <c r="P91" s="69">
        <f t="shared" si="13"/>
        <v>1498000</v>
      </c>
      <c r="Q91" s="70"/>
    </row>
    <row r="92" spans="1:17" ht="21">
      <c r="A92" s="71" t="s">
        <v>437</v>
      </c>
      <c r="B92" s="67" t="s">
        <v>464</v>
      </c>
      <c r="C92" s="22">
        <f>SUMIFS('ครุภัณฑ์ 67'!G:G,'ครุภัณฑ์ 67'!C:C,"ยานพาหนะและขนส่ง",'ครุภัณฑ์ 67'!E:E,B92)</f>
        <v>0</v>
      </c>
      <c r="D92" s="75">
        <f>SUMIFS('ครุภัณฑ์ 67'!F:F,'ครุภัณฑ์ 67'!C:C,"ยานพาหนะและขนส่ง",'ครุภัณฑ์ 67'!E:E,B92)</f>
        <v>0</v>
      </c>
      <c r="E92" s="22">
        <f t="shared" si="14"/>
        <v>0</v>
      </c>
      <c r="F92" s="13">
        <f>SUMIFS('ครุภัณฑ์ 68'!G:G,'ครุภัณฑ์ 68'!C:C,"ยานพาหนะและขนส่ง",'ครุภัณฑ์ 68'!E:E,B92)</f>
        <v>0</v>
      </c>
      <c r="G92" s="13">
        <f>SUMIFS('ครุภัณฑ์ 68'!F:F,'ครุภัณฑ์ 68'!C:C,"ยานพาหนะและขนส่ง",'ครุภัณฑ์ 68'!E:E,B92)</f>
        <v>0</v>
      </c>
      <c r="H92" s="13">
        <f t="shared" si="10"/>
        <v>0</v>
      </c>
      <c r="I92" s="68">
        <f>SUMIFS('ครุภัณฑ์ 69'!G:G,'ครุภัณฑ์ 69'!C:C,"ยานพาหนะและขนส่ง",'ครุภัณฑ์ 69'!E:E,B92)</f>
        <v>0</v>
      </c>
      <c r="J92" s="68">
        <f>SUMIFS('ครุภัณฑ์ 69'!F:F,'ครุภัณฑ์ 69'!C:C,"ยานพาหนะและขนส่ง",'ครุภัณฑ์ 69'!E:E,B92)</f>
        <v>0</v>
      </c>
      <c r="K92" s="68">
        <f t="shared" si="11"/>
        <v>0</v>
      </c>
      <c r="L92" s="69">
        <f>SUMIFS('รวมครุภัณฑ์ 70'!L:L,'รวมครุภัณฑ์ 70'!C:C,"ครุภัณฑ์ยานพาหนะและขนส่ง",'รวมครุภัณฑ์ 70'!H:H,B92)</f>
        <v>1031000</v>
      </c>
      <c r="M92" s="73">
        <f>SUMIFS('รวมครุภัณฑ์ 70'!Q:Q,'รวมครุภัณฑ์ 70'!C:C,"ครุภัณฑ์ยานพาหนะและขนส่ง",'รวมครุภัณฑ์ 70'!H:H,B92)</f>
        <v>2</v>
      </c>
      <c r="N92" s="73">
        <f>SUMIFS('รวมครุภัณฑ์ 70'!R:R,'รวมครุภัณฑ์ 70'!C:C,"ครุภัณฑ์ยานพาหนะและขนส่ง",'รวมครุภัณฑ์ 70'!H:H,B92)</f>
        <v>0</v>
      </c>
      <c r="O92" s="73">
        <f t="shared" si="12"/>
        <v>2</v>
      </c>
      <c r="P92" s="69">
        <f t="shared" si="13"/>
        <v>1031000</v>
      </c>
      <c r="Q92" s="70"/>
    </row>
    <row r="93" spans="1:17" ht="21">
      <c r="A93" s="71" t="s">
        <v>263</v>
      </c>
      <c r="B93" s="67" t="s">
        <v>265</v>
      </c>
      <c r="C93" s="22">
        <f>SUMIFS('ครุภัณฑ์ 67'!G:G,'ครุภัณฑ์ 67'!C:C,"ยานพาหนะและขนส่ง",'ครุภัณฑ์ 67'!E:E,B93)</f>
        <v>0</v>
      </c>
      <c r="D93" s="75">
        <f>SUMIFS('ครุภัณฑ์ 67'!F:F,'ครุภัณฑ์ 67'!C:C,"ยานพาหนะและขนส่ง",'ครุภัณฑ์ 67'!E:E,B93)</f>
        <v>0</v>
      </c>
      <c r="E93" s="22">
        <f t="shared" si="14"/>
        <v>0</v>
      </c>
      <c r="F93" s="13">
        <f>SUMIFS('ครุภัณฑ์ 68'!G:G,'ครุภัณฑ์ 68'!C:C,"ยานพาหนะและขนส่ง",'ครุภัณฑ์ 68'!E:E,B93)</f>
        <v>1092000</v>
      </c>
      <c r="G93" s="13">
        <f>SUMIFS('ครุภัณฑ์ 68'!F:F,'ครุภัณฑ์ 68'!C:C,"ยานพาหนะและขนส่ง",'ครุภัณฑ์ 68'!E:E,B93)</f>
        <v>1</v>
      </c>
      <c r="H93" s="13">
        <f t="shared" si="10"/>
        <v>1092000</v>
      </c>
      <c r="I93" s="68">
        <f>SUMIFS('ครุภัณฑ์ 69'!G:G,'ครุภัณฑ์ 69'!C:C,"ยานพาหนะและขนส่ง",'ครุภัณฑ์ 69'!E:E,B93)</f>
        <v>0</v>
      </c>
      <c r="J93" s="68">
        <f>SUMIFS('ครุภัณฑ์ 69'!F:F,'ครุภัณฑ์ 69'!C:C,"ยานพาหนะและขนส่ง",'ครุภัณฑ์ 69'!E:E,B93)</f>
        <v>0</v>
      </c>
      <c r="K93" s="68">
        <f t="shared" si="11"/>
        <v>0</v>
      </c>
      <c r="L93" s="69">
        <f>SUMIFS('รวมครุภัณฑ์ 70'!L:L,'รวมครุภัณฑ์ 70'!C:C,"ครุภัณฑ์ยานพาหนะและขนส่ง",'รวมครุภัณฑ์ 70'!H:H,B93)</f>
        <v>1207900</v>
      </c>
      <c r="M93" s="73">
        <f>SUMIFS('รวมครุภัณฑ์ 70'!Q:Q,'รวมครุภัณฑ์ 70'!C:C,"ครุภัณฑ์ยานพาหนะและขนส่ง",'รวมครุภัณฑ์ 70'!H:H,B93)</f>
        <v>1</v>
      </c>
      <c r="N93" s="73">
        <f>SUMIFS('รวมครุภัณฑ์ 70'!R:R,'รวมครุภัณฑ์ 70'!C:C,"ครุภัณฑ์ยานพาหนะและขนส่ง",'รวมครุภัณฑ์ 70'!H:H,B93)</f>
        <v>0</v>
      </c>
      <c r="O93" s="73">
        <f t="shared" si="12"/>
        <v>1</v>
      </c>
      <c r="P93" s="69">
        <f t="shared" si="13"/>
        <v>1207900</v>
      </c>
      <c r="Q93" s="70"/>
    </row>
    <row r="94" spans="1:17" ht="21">
      <c r="A94" s="71" t="s">
        <v>146</v>
      </c>
      <c r="B94" s="67" t="s">
        <v>148</v>
      </c>
      <c r="C94" s="22">
        <f>SUMIFS('ครุภัณฑ์ 67'!G:G,'ครุภัณฑ์ 67'!C:C,"ยานพาหนะและขนส่ง",'ครุภัณฑ์ 67'!E:E,B94)</f>
        <v>0</v>
      </c>
      <c r="D94" s="75">
        <f>SUMIFS('ครุภัณฑ์ 67'!F:F,'ครุภัณฑ์ 67'!C:C,"ยานพาหนะและขนส่ง",'ครุภัณฑ์ 67'!E:E,B94)</f>
        <v>0</v>
      </c>
      <c r="E94" s="22">
        <f t="shared" si="14"/>
        <v>0</v>
      </c>
      <c r="F94" s="13">
        <f>SUMIFS('ครุภัณฑ์ 68'!G:G,'ครุภัณฑ์ 68'!C:C,"ยานพาหนะและขนส่ง",'ครุภัณฑ์ 68'!E:E,B94)</f>
        <v>0</v>
      </c>
      <c r="G94" s="13">
        <f>SUMIFS('ครุภัณฑ์ 68'!F:F,'ครุภัณฑ์ 68'!C:C,"ยานพาหนะและขนส่ง",'ครุภัณฑ์ 68'!E:E,B94)</f>
        <v>0</v>
      </c>
      <c r="H94" s="13">
        <f t="shared" si="10"/>
        <v>0</v>
      </c>
      <c r="I94" s="68">
        <f>SUMIFS('ครุภัณฑ์ 69'!G:G,'ครุภัณฑ์ 69'!C:C,"ยานพาหนะและขนส่ง",'ครุภัณฑ์ 69'!E:E,B94)</f>
        <v>970900</v>
      </c>
      <c r="J94" s="68">
        <f>SUMIFS('ครุภัณฑ์ 69'!F:F,'ครุภัณฑ์ 69'!C:C,"ยานพาหนะและขนส่ง",'ครุภัณฑ์ 69'!E:E,B94)</f>
        <v>1</v>
      </c>
      <c r="K94" s="68">
        <f t="shared" si="11"/>
        <v>970900</v>
      </c>
      <c r="L94" s="69">
        <f>SUMIFS('รวมครุภัณฑ์ 70'!L:L,'รวมครุภัณฑ์ 70'!C:C,"ครุภัณฑ์ยานพาหนะและขนส่ง",'รวมครุภัณฑ์ 70'!H:H,B94)</f>
        <v>0</v>
      </c>
      <c r="M94" s="73">
        <f>SUMIFS('รวมครุภัณฑ์ 70'!Q:Q,'รวมครุภัณฑ์ 70'!C:C,"ครุภัณฑ์ยานพาหนะและขนส่ง",'รวมครุภัณฑ์ 70'!H:H,B94)</f>
        <v>0</v>
      </c>
      <c r="N94" s="73">
        <f>SUMIFS('รวมครุภัณฑ์ 70'!R:R,'รวมครุภัณฑ์ 70'!C:C,"ครุภัณฑ์ยานพาหนะและขนส่ง",'รวมครุภัณฑ์ 70'!H:H,B94)</f>
        <v>0</v>
      </c>
      <c r="O94" s="73">
        <f t="shared" si="12"/>
        <v>0</v>
      </c>
      <c r="P94" s="69">
        <f t="shared" si="13"/>
        <v>0</v>
      </c>
      <c r="Q94" s="70"/>
    </row>
    <row r="95" spans="1:17" ht="21">
      <c r="A95" s="71" t="s">
        <v>436</v>
      </c>
      <c r="B95" s="67" t="s">
        <v>465</v>
      </c>
      <c r="C95" s="22">
        <f>SUMIFS('ครุภัณฑ์ 67'!G:G,'ครุภัณฑ์ 67'!C:C,"ยานพาหนะและขนส่ง",'ครุภัณฑ์ 67'!E:E,B95)</f>
        <v>0</v>
      </c>
      <c r="D95" s="75">
        <f>SUMIFS('ครุภัณฑ์ 67'!F:F,'ครุภัณฑ์ 67'!C:C,"ยานพาหนะและขนส่ง",'ครุภัณฑ์ 67'!E:E,B95)</f>
        <v>0</v>
      </c>
      <c r="E95" s="22">
        <f t="shared" si="14"/>
        <v>0</v>
      </c>
      <c r="F95" s="13">
        <f>SUMIFS('ครุภัณฑ์ 68'!G:G,'ครุภัณฑ์ 68'!C:C,"ยานพาหนะและขนส่ง",'ครุภัณฑ์ 68'!E:E,B95)</f>
        <v>0</v>
      </c>
      <c r="G95" s="13">
        <f>SUMIFS('ครุภัณฑ์ 68'!F:F,'ครุภัณฑ์ 68'!C:C,"ยานพาหนะและขนส่ง",'ครุภัณฑ์ 68'!E:E,B95)</f>
        <v>0</v>
      </c>
      <c r="H95" s="13">
        <f t="shared" si="10"/>
        <v>0</v>
      </c>
      <c r="I95" s="68">
        <f>SUMIFS('ครุภัณฑ์ 69'!G:G,'ครุภัณฑ์ 69'!C:C,"ยานพาหนะและขนส่ง",'ครุภัณฑ์ 69'!E:E,B95)</f>
        <v>0</v>
      </c>
      <c r="J95" s="68">
        <f>SUMIFS('ครุภัณฑ์ 69'!F:F,'ครุภัณฑ์ 69'!C:C,"ยานพาหนะและขนส่ง",'ครุภัณฑ์ 69'!E:E,B95)</f>
        <v>0</v>
      </c>
      <c r="K95" s="68">
        <f t="shared" si="11"/>
        <v>0</v>
      </c>
      <c r="L95" s="69">
        <f>SUMIFS('รวมครุภัณฑ์ 70'!L:L,'รวมครุภัณฑ์ 70'!C:C,"ครุภัณฑ์ยานพาหนะและขนส่ง",'รวมครุภัณฑ์ 70'!H:H,B95)</f>
        <v>1207900</v>
      </c>
      <c r="M95" s="73">
        <f>SUMIFS('รวมครุภัณฑ์ 70'!Q:Q,'รวมครุภัณฑ์ 70'!C:C,"ครุภัณฑ์ยานพาหนะและขนส่ง",'รวมครุภัณฑ์ 70'!H:H,B95)</f>
        <v>1</v>
      </c>
      <c r="N95" s="73">
        <f>SUMIFS('รวมครุภัณฑ์ 70'!R:R,'รวมครุภัณฑ์ 70'!C:C,"ครุภัณฑ์ยานพาหนะและขนส่ง",'รวมครุภัณฑ์ 70'!H:H,B95)</f>
        <v>0</v>
      </c>
      <c r="O95" s="73">
        <f t="shared" si="12"/>
        <v>1</v>
      </c>
      <c r="P95" s="69">
        <f t="shared" si="13"/>
        <v>1207900</v>
      </c>
      <c r="Q95" s="70"/>
    </row>
    <row r="96" spans="1:17" ht="21">
      <c r="A96" s="276" t="s">
        <v>12</v>
      </c>
      <c r="B96" s="276"/>
      <c r="C96" s="276"/>
      <c r="D96" s="276"/>
      <c r="E96" s="276"/>
      <c r="F96" s="276"/>
      <c r="G96" s="276"/>
      <c r="H96" s="276"/>
      <c r="I96" s="276"/>
      <c r="J96" s="276"/>
      <c r="K96" s="276"/>
      <c r="L96" s="276"/>
      <c r="M96" s="276"/>
      <c r="N96" s="276"/>
      <c r="O96" s="276"/>
      <c r="P96" s="276"/>
      <c r="Q96" s="70"/>
    </row>
    <row r="97" spans="1:17" ht="21">
      <c r="A97" s="71" t="s">
        <v>150</v>
      </c>
      <c r="B97" s="67" t="s">
        <v>152</v>
      </c>
      <c r="C97" s="22">
        <f>SUMIFS('ครุภัณฑ์ 67'!G:G,'ครุภัณฑ์ 67'!C:C,"ยานพาหนะและขนส่ง",'ครุภัณฑ์ 67'!E:E,B97)</f>
        <v>0</v>
      </c>
      <c r="D97" s="75">
        <f>SUMIFS('ครุภัณฑ์ 67'!F:F,'ครุภัณฑ์ 67'!C:C,"ยานพาหนะและขนส่ง",'ครุภัณฑ์ 67'!E:E,B97)</f>
        <v>0</v>
      </c>
      <c r="E97" s="22">
        <f>C97</f>
        <v>0</v>
      </c>
      <c r="F97" s="13">
        <f>SUMIFS('ครุภัณฑ์ 68'!G:G,'ครุภัณฑ์ 68'!C:C,"ยานพาหนะและขนส่ง",'ครุภัณฑ์ 68'!E:E,B97)</f>
        <v>0</v>
      </c>
      <c r="G97" s="13">
        <f>SUMIFS('ครุภัณฑ์ 68'!F:F,'ครุภัณฑ์ 68'!C:C,"ยานพาหนะและขนส่ง",'ครุภัณฑ์ 68'!E:E,B97)</f>
        <v>0</v>
      </c>
      <c r="H97" s="13">
        <f>F97</f>
        <v>0</v>
      </c>
      <c r="I97" s="68">
        <f>SUMIFS('ครุภัณฑ์ 69'!G:G,'ครุภัณฑ์ 69'!C:C,"ยานพาหนะและขนส่ง",'ครุภัณฑ์ 69'!E:E,B97)</f>
        <v>1369000</v>
      </c>
      <c r="J97" s="68">
        <f>SUMIFS('ครุภัณฑ์ 69'!F:F,'ครุภัณฑ์ 69'!C:C,"ยานพาหนะและขนส่ง",'ครุภัณฑ์ 69'!E:E,B97)</f>
        <v>1</v>
      </c>
      <c r="K97" s="68">
        <f>I97</f>
        <v>1369000</v>
      </c>
      <c r="L97" s="69">
        <f>SUMIFS('รวมครุภัณฑ์ 70'!L:L,'รวมครุภัณฑ์ 70'!C:C,"ครุภัณฑ์ยานพาหนะและขนส่ง",'รวมครุภัณฑ์ 70'!H:H,B97)</f>
        <v>0</v>
      </c>
      <c r="M97" s="69">
        <f>SUMIFS('รวมครุภัณฑ์ 70'!Q:Q,'รวมครุภัณฑ์ 70'!C:C,"ครุภัณฑ์ยานพาหนะและขนส่ง",'รวมครุภัณฑ์ 70'!H:H,B97)</f>
        <v>0</v>
      </c>
      <c r="N97" s="69">
        <f>SUMIFS('รวมครุภัณฑ์ 70'!R:R,'รวมครุภัณฑ์ 70'!C:C,"ครุภัณฑ์ยานพาหนะและขนส่ง",'รวมครุภัณฑ์ 70'!H:H,B97)</f>
        <v>0</v>
      </c>
      <c r="O97" s="69">
        <f>M97+N97</f>
        <v>0</v>
      </c>
      <c r="P97" s="69">
        <f>L97</f>
        <v>0</v>
      </c>
      <c r="Q97" s="72">
        <f>SUM(L97:L115)</f>
        <v>25186700</v>
      </c>
    </row>
    <row r="98" spans="1:17" ht="21">
      <c r="A98" s="71" t="s">
        <v>221</v>
      </c>
      <c r="B98" s="67" t="s">
        <v>223</v>
      </c>
      <c r="C98" s="22">
        <f>SUMIFS('ครุภัณฑ์ 67'!G:G,'ครุภัณฑ์ 67'!C:C,"ยานพาหนะและขนส่ง",'ครุภัณฑ์ 67'!E:E,B98)</f>
        <v>1090900</v>
      </c>
      <c r="D98" s="75">
        <f>SUMIFS('ครุภัณฑ์ 67'!F:F,'ครุภัณฑ์ 67'!C:C,"ยานพาหนะและขนส่ง",'ครุภัณฑ์ 67'!E:E,B98)</f>
        <v>1</v>
      </c>
      <c r="E98" s="22">
        <f t="shared" ref="E98:E115" si="15">C98</f>
        <v>1090900</v>
      </c>
      <c r="F98" s="13">
        <f>SUMIFS('ครุภัณฑ์ 68'!G:G,'ครุภัณฑ์ 68'!C:C,"ยานพาหนะและขนส่ง",'ครุภัณฑ์ 68'!E:E,B98)</f>
        <v>1090900</v>
      </c>
      <c r="G98" s="13">
        <f>SUMIFS('ครุภัณฑ์ 68'!F:F,'ครุภัณฑ์ 68'!C:C,"ยานพาหนะและขนส่ง",'ครุภัณฑ์ 68'!E:E,B98)</f>
        <v>1</v>
      </c>
      <c r="H98" s="13">
        <f t="shared" ref="H98:H115" si="16">F98</f>
        <v>1090900</v>
      </c>
      <c r="I98" s="68">
        <f>SUMIFS('ครุภัณฑ์ 69'!G:G,'ครุภัณฑ์ 69'!C:C,"ยานพาหนะและขนส่ง",'ครุภัณฑ์ 69'!E:E,B98)</f>
        <v>0</v>
      </c>
      <c r="J98" s="68">
        <f>SUMIFS('ครุภัณฑ์ 69'!F:F,'ครุภัณฑ์ 69'!C:C,"ยานพาหนะและขนส่ง",'ครุภัณฑ์ 69'!E:E,B98)</f>
        <v>0</v>
      </c>
      <c r="K98" s="68">
        <f t="shared" ref="K98:K115" si="17">I98</f>
        <v>0</v>
      </c>
      <c r="L98" s="69">
        <f>SUMIFS('รวมครุภัณฑ์ 70'!L:L,'รวมครุภัณฑ์ 70'!C:C,"ครุภัณฑ์ยานพาหนะและขนส่ง",'รวมครุภัณฑ์ 70'!H:H,B98)</f>
        <v>1498000</v>
      </c>
      <c r="M98" s="69">
        <f>SUMIFS('รวมครุภัณฑ์ 70'!Q:Q,'รวมครุภัณฑ์ 70'!C:C,"ครุภัณฑ์ยานพาหนะและขนส่ง",'รวมครุภัณฑ์ 70'!H:H,B98)</f>
        <v>1</v>
      </c>
      <c r="N98" s="69">
        <f>SUMIFS('รวมครุภัณฑ์ 70'!R:R,'รวมครุภัณฑ์ 70'!C:C,"ครุภัณฑ์ยานพาหนะและขนส่ง",'รวมครุภัณฑ์ 70'!H:H,B98)</f>
        <v>0</v>
      </c>
      <c r="O98" s="69">
        <f t="shared" ref="O98:O115" si="18">M98+N98</f>
        <v>1</v>
      </c>
      <c r="P98" s="69">
        <f t="shared" ref="P98:P115" si="19">L98</f>
        <v>1498000</v>
      </c>
      <c r="Q98" s="70" t="e">
        <f>SUM(#REF!)</f>
        <v>#REF!</v>
      </c>
    </row>
    <row r="99" spans="1:17" ht="21">
      <c r="A99" s="71" t="s">
        <v>383</v>
      </c>
      <c r="B99" s="67" t="s">
        <v>385</v>
      </c>
      <c r="C99" s="22">
        <f>SUMIFS('ครุภัณฑ์ 67'!G:G,'ครุภัณฑ์ 67'!C:C,"ยานพาหนะและขนส่ง",'ครุภัณฑ์ 67'!E:E,B99)</f>
        <v>1090900</v>
      </c>
      <c r="D99" s="75">
        <f>SUMIFS('ครุภัณฑ์ 67'!F:F,'ครุภัณฑ์ 67'!C:C,"ยานพาหนะและขนส่ง",'ครุภัณฑ์ 67'!E:E,B99)</f>
        <v>1</v>
      </c>
      <c r="E99" s="22">
        <f t="shared" si="15"/>
        <v>1090900</v>
      </c>
      <c r="F99" s="13">
        <f>SUMIFS('ครุภัณฑ์ 68'!G:G,'ครุภัณฑ์ 68'!C:C,"ยานพาหนะและขนส่ง",'ครุภัณฑ์ 68'!E:E,B99)</f>
        <v>0</v>
      </c>
      <c r="G99" s="13">
        <f>SUMIFS('ครุภัณฑ์ 68'!F:F,'ครุภัณฑ์ 68'!C:C,"ยานพาหนะและขนส่ง",'ครุภัณฑ์ 68'!E:E,B99)</f>
        <v>0</v>
      </c>
      <c r="H99" s="13">
        <f t="shared" si="16"/>
        <v>0</v>
      </c>
      <c r="I99" s="68">
        <f>SUMIFS('ครุภัณฑ์ 69'!G:G,'ครุภัณฑ์ 69'!C:C,"ยานพาหนะและขนส่ง",'ครุภัณฑ์ 69'!E:E,B99)</f>
        <v>0</v>
      </c>
      <c r="J99" s="68">
        <f>SUMIFS('ครุภัณฑ์ 69'!F:F,'ครุภัณฑ์ 69'!C:C,"ยานพาหนะและขนส่ง",'ครุภัณฑ์ 69'!E:E,B99)</f>
        <v>0</v>
      </c>
      <c r="K99" s="68">
        <f t="shared" si="17"/>
        <v>0</v>
      </c>
      <c r="L99" s="69">
        <f>SUMIFS('รวมครุภัณฑ์ 70'!L:L,'รวมครุภัณฑ์ 70'!C:C,"ครุภัณฑ์ยานพาหนะและขนส่ง",'รวมครุภัณฑ์ 70'!H:H,B99)</f>
        <v>1207900</v>
      </c>
      <c r="M99" s="69">
        <f>SUMIFS('รวมครุภัณฑ์ 70'!Q:Q,'รวมครุภัณฑ์ 70'!C:C,"ครุภัณฑ์ยานพาหนะและขนส่ง",'รวมครุภัณฑ์ 70'!H:H,B99)</f>
        <v>1</v>
      </c>
      <c r="N99" s="69">
        <f>SUMIFS('รวมครุภัณฑ์ 70'!R:R,'รวมครุภัณฑ์ 70'!C:C,"ครุภัณฑ์ยานพาหนะและขนส่ง",'รวมครุภัณฑ์ 70'!H:H,B99)</f>
        <v>0</v>
      </c>
      <c r="O99" s="69">
        <f t="shared" si="18"/>
        <v>1</v>
      </c>
      <c r="P99" s="69">
        <f t="shared" si="19"/>
        <v>1207900</v>
      </c>
      <c r="Q99" s="72" t="e">
        <f>Q97+Q98</f>
        <v>#REF!</v>
      </c>
    </row>
    <row r="100" spans="1:17" ht="21">
      <c r="A100" s="71" t="s">
        <v>387</v>
      </c>
      <c r="B100" s="67" t="s">
        <v>389</v>
      </c>
      <c r="C100" s="22">
        <f>SUMIFS('ครุภัณฑ์ 67'!G:G,'ครุภัณฑ์ 67'!C:C,"ยานพาหนะและขนส่ง",'ครุภัณฑ์ 67'!E:E,B100)</f>
        <v>1090900</v>
      </c>
      <c r="D100" s="75">
        <f>SUMIFS('ครุภัณฑ์ 67'!F:F,'ครุภัณฑ์ 67'!C:C,"ยานพาหนะและขนส่ง",'ครุภัณฑ์ 67'!E:E,B100)</f>
        <v>1</v>
      </c>
      <c r="E100" s="22">
        <f t="shared" si="15"/>
        <v>1090900</v>
      </c>
      <c r="F100" s="13">
        <f>SUMIFS('ครุภัณฑ์ 68'!G:G,'ครุภัณฑ์ 68'!C:C,"ยานพาหนะและขนส่ง",'ครุภัณฑ์ 68'!E:E,B100)</f>
        <v>0</v>
      </c>
      <c r="G100" s="13">
        <f>SUMIFS('ครุภัณฑ์ 68'!F:F,'ครุภัณฑ์ 68'!C:C,"ยานพาหนะและขนส่ง",'ครุภัณฑ์ 68'!E:E,B100)</f>
        <v>0</v>
      </c>
      <c r="H100" s="13">
        <f t="shared" si="16"/>
        <v>0</v>
      </c>
      <c r="I100" s="68">
        <f>SUMIFS('ครุภัณฑ์ 69'!G:G,'ครุภัณฑ์ 69'!C:C,"ยานพาหนะและขนส่ง",'ครุภัณฑ์ 69'!E:E,B100)</f>
        <v>0</v>
      </c>
      <c r="J100" s="68">
        <f>SUMIFS('ครุภัณฑ์ 69'!F:F,'ครุภัณฑ์ 69'!C:C,"ยานพาหนะและขนส่ง",'ครุภัณฑ์ 69'!E:E,B100)</f>
        <v>0</v>
      </c>
      <c r="K100" s="68">
        <f t="shared" si="17"/>
        <v>0</v>
      </c>
      <c r="L100" s="69">
        <f>SUMIFS('รวมครุภัณฑ์ 70'!L:L,'รวมครุภัณฑ์ 70'!C:C,"ครุภัณฑ์ยานพาหนะและขนส่ง",'รวมครุภัณฑ์ 70'!H:H,B100)</f>
        <v>60100</v>
      </c>
      <c r="M100" s="69">
        <f>SUMIFS('รวมครุภัณฑ์ 70'!Q:Q,'รวมครุภัณฑ์ 70'!C:C,"ครุภัณฑ์ยานพาหนะและขนส่ง",'รวมครุภัณฑ์ 70'!H:H,B100)</f>
        <v>1</v>
      </c>
      <c r="N100" s="69">
        <f>SUMIFS('รวมครุภัณฑ์ 70'!R:R,'รวมครุภัณฑ์ 70'!C:C,"ครุภัณฑ์ยานพาหนะและขนส่ง",'รวมครุภัณฑ์ 70'!H:H,B100)</f>
        <v>0</v>
      </c>
      <c r="O100" s="69">
        <f t="shared" si="18"/>
        <v>1</v>
      </c>
      <c r="P100" s="69">
        <f t="shared" si="19"/>
        <v>60100</v>
      </c>
      <c r="Q100" s="70"/>
    </row>
    <row r="101" spans="1:17" ht="21">
      <c r="A101" s="71" t="s">
        <v>154</v>
      </c>
      <c r="B101" s="67" t="s">
        <v>156</v>
      </c>
      <c r="C101" s="22">
        <f>SUMIFS('ครุภัณฑ์ 67'!G:G,'ครุภัณฑ์ 67'!C:C,"ยานพาหนะและขนส่ง",'ครุภัณฑ์ 67'!E:E,B101)</f>
        <v>0</v>
      </c>
      <c r="D101" s="75">
        <f>SUMIFS('ครุภัณฑ์ 67'!F:F,'ครุภัณฑ์ 67'!C:C,"ยานพาหนะและขนส่ง",'ครุภัณฑ์ 67'!E:E,B101)</f>
        <v>0</v>
      </c>
      <c r="E101" s="22">
        <f t="shared" si="15"/>
        <v>0</v>
      </c>
      <c r="F101" s="13">
        <f>SUMIFS('ครุภัณฑ์ 68'!G:G,'ครุภัณฑ์ 68'!C:C,"ยานพาหนะและขนส่ง",'ครุภัณฑ์ 68'!E:E,B101)</f>
        <v>885900</v>
      </c>
      <c r="G101" s="13">
        <f>SUMIFS('ครุภัณฑ์ 68'!F:F,'ครุภัณฑ์ 68'!C:C,"ยานพาหนะและขนส่ง",'ครุภัณฑ์ 68'!E:E,B101)</f>
        <v>1</v>
      </c>
      <c r="H101" s="13">
        <f t="shared" si="16"/>
        <v>885900</v>
      </c>
      <c r="I101" s="68">
        <f>SUMIFS('ครุภัณฑ์ 69'!G:G,'ครุภัณฑ์ 69'!C:C,"ยานพาหนะและขนส่ง",'ครุภัณฑ์ 69'!E:E,B101)</f>
        <v>1207900</v>
      </c>
      <c r="J101" s="68">
        <f>SUMIFS('ครุภัณฑ์ 69'!F:F,'ครุภัณฑ์ 69'!C:C,"ยานพาหนะและขนส่ง",'ครุภัณฑ์ 69'!E:E,B101)</f>
        <v>1</v>
      </c>
      <c r="K101" s="68">
        <f t="shared" si="17"/>
        <v>1207900</v>
      </c>
      <c r="L101" s="69">
        <f>SUMIFS('รวมครุภัณฑ์ 70'!L:L,'รวมครุภัณฑ์ 70'!C:C,"ครุภัณฑ์ยานพาหนะและขนส่ง",'รวมครุภัณฑ์ 70'!H:H,B101)</f>
        <v>2468900</v>
      </c>
      <c r="M101" s="69">
        <f>SUMIFS('รวมครุภัณฑ์ 70'!Q:Q,'รวมครุภัณฑ์ 70'!C:C,"ครุภัณฑ์ยานพาหนะและขนส่ง",'รวมครุภัณฑ์ 70'!H:H,B101)</f>
        <v>2</v>
      </c>
      <c r="N101" s="69">
        <f>SUMIFS('รวมครุภัณฑ์ 70'!R:R,'รวมครุภัณฑ์ 70'!C:C,"ครุภัณฑ์ยานพาหนะและขนส่ง",'รวมครุภัณฑ์ 70'!H:H,B101)</f>
        <v>0</v>
      </c>
      <c r="O101" s="69">
        <f t="shared" si="18"/>
        <v>2</v>
      </c>
      <c r="P101" s="69">
        <f t="shared" si="19"/>
        <v>2468900</v>
      </c>
      <c r="Q101" s="70"/>
    </row>
    <row r="102" spans="1:17" ht="21">
      <c r="A102" s="71" t="s">
        <v>390</v>
      </c>
      <c r="B102" s="67" t="s">
        <v>392</v>
      </c>
      <c r="C102" s="22">
        <f>SUMIFS('ครุภัณฑ์ 67'!G:G,'ครุภัณฑ์ 67'!C:C,"ยานพาหนะและขนส่ง",'ครุภัณฑ์ 67'!E:E,B102)</f>
        <v>1090900</v>
      </c>
      <c r="D102" s="75">
        <f>SUMIFS('ครุภัณฑ์ 67'!F:F,'ครุภัณฑ์ 67'!C:C,"ยานพาหนะและขนส่ง",'ครุภัณฑ์ 67'!E:E,B102)</f>
        <v>1</v>
      </c>
      <c r="E102" s="22">
        <f t="shared" si="15"/>
        <v>1090900</v>
      </c>
      <c r="F102" s="13">
        <f>SUMIFS('ครุภัณฑ์ 68'!G:G,'ครุภัณฑ์ 68'!C:C,"ยานพาหนะและขนส่ง",'ครุภัณฑ์ 68'!E:E,B102)</f>
        <v>0</v>
      </c>
      <c r="G102" s="13">
        <f>SUMIFS('ครุภัณฑ์ 68'!F:F,'ครุภัณฑ์ 68'!C:C,"ยานพาหนะและขนส่ง",'ครุภัณฑ์ 68'!E:E,B102)</f>
        <v>0</v>
      </c>
      <c r="H102" s="13">
        <f t="shared" si="16"/>
        <v>0</v>
      </c>
      <c r="I102" s="68">
        <f>SUMIFS('ครุภัณฑ์ 69'!G:G,'ครุภัณฑ์ 69'!C:C,"ยานพาหนะและขนส่ง",'ครุภัณฑ์ 69'!E:E,B102)</f>
        <v>0</v>
      </c>
      <c r="J102" s="68">
        <f>SUMIFS('ครุภัณฑ์ 69'!F:F,'ครุภัณฑ์ 69'!C:C,"ยานพาหนะและขนส่ง",'ครุภัณฑ์ 69'!E:E,B102)</f>
        <v>0</v>
      </c>
      <c r="K102" s="68">
        <f t="shared" si="17"/>
        <v>0</v>
      </c>
      <c r="L102" s="69">
        <f>SUMIFS('รวมครุภัณฑ์ 70'!L:L,'รวมครุภัณฑ์ 70'!C:C,"ครุภัณฑ์ยานพาหนะและขนส่ง",'รวมครุภัณฑ์ 70'!H:H,B102)</f>
        <v>1498000</v>
      </c>
      <c r="M102" s="69">
        <f>SUMIFS('รวมครุภัณฑ์ 70'!Q:Q,'รวมครุภัณฑ์ 70'!C:C,"ครุภัณฑ์ยานพาหนะและขนส่ง",'รวมครุภัณฑ์ 70'!H:H,B102)</f>
        <v>1</v>
      </c>
      <c r="N102" s="69">
        <f>SUMIFS('รวมครุภัณฑ์ 70'!R:R,'รวมครุภัณฑ์ 70'!C:C,"ครุภัณฑ์ยานพาหนะและขนส่ง",'รวมครุภัณฑ์ 70'!H:H,B102)</f>
        <v>0</v>
      </c>
      <c r="O102" s="69">
        <f t="shared" si="18"/>
        <v>1</v>
      </c>
      <c r="P102" s="69">
        <f t="shared" si="19"/>
        <v>1498000</v>
      </c>
      <c r="Q102" s="70"/>
    </row>
    <row r="103" spans="1:17" ht="21">
      <c r="A103" s="71" t="s">
        <v>394</v>
      </c>
      <c r="B103" s="67" t="s">
        <v>396</v>
      </c>
      <c r="C103" s="22">
        <f>SUMIFS('ครุภัณฑ์ 67'!G:G,'ครุภัณฑ์ 67'!C:C,"ยานพาหนะและขนส่ง",'ครุภัณฑ์ 67'!E:E,B103)</f>
        <v>1358000</v>
      </c>
      <c r="D103" s="75">
        <f>SUMIFS('ครุภัณฑ์ 67'!F:F,'ครุภัณฑ์ 67'!C:C,"ยานพาหนะและขนส่ง",'ครุภัณฑ์ 67'!E:E,B103)</f>
        <v>1</v>
      </c>
      <c r="E103" s="22">
        <f t="shared" si="15"/>
        <v>1358000</v>
      </c>
      <c r="F103" s="13">
        <f>SUMIFS('ครุภัณฑ์ 68'!G:G,'ครุภัณฑ์ 68'!C:C,"ยานพาหนะและขนส่ง",'ครุภัณฑ์ 68'!E:E,B103)</f>
        <v>0</v>
      </c>
      <c r="G103" s="13">
        <f>SUMIFS('ครุภัณฑ์ 68'!F:F,'ครุภัณฑ์ 68'!C:C,"ยานพาหนะและขนส่ง",'ครุภัณฑ์ 68'!E:E,B103)</f>
        <v>0</v>
      </c>
      <c r="H103" s="13">
        <f t="shared" si="16"/>
        <v>0</v>
      </c>
      <c r="I103" s="68">
        <f>SUMIFS('ครุภัณฑ์ 69'!G:G,'ครุภัณฑ์ 69'!C:C,"ยานพาหนะและขนส่ง",'ครุภัณฑ์ 69'!E:E,B103)</f>
        <v>0</v>
      </c>
      <c r="J103" s="68">
        <f>SUMIFS('ครุภัณฑ์ 69'!F:F,'ครุภัณฑ์ 69'!C:C,"ยานพาหนะและขนส่ง",'ครุภัณฑ์ 69'!E:E,B103)</f>
        <v>0</v>
      </c>
      <c r="K103" s="68">
        <f t="shared" si="17"/>
        <v>0</v>
      </c>
      <c r="L103" s="69">
        <f>SUMIFS('รวมครุภัณฑ์ 70'!L:L,'รวมครุภัณฑ์ 70'!C:C,"ครุภัณฑ์ยานพาหนะและขนส่ง",'รวมครุภัณฑ์ 70'!H:H,B103)</f>
        <v>1207900</v>
      </c>
      <c r="M103" s="69">
        <f>SUMIFS('รวมครุภัณฑ์ 70'!Q:Q,'รวมครุภัณฑ์ 70'!C:C,"ครุภัณฑ์ยานพาหนะและขนส่ง",'รวมครุภัณฑ์ 70'!H:H,B103)</f>
        <v>1</v>
      </c>
      <c r="N103" s="69">
        <f>SUMIFS('รวมครุภัณฑ์ 70'!R:R,'รวมครุภัณฑ์ 70'!C:C,"ครุภัณฑ์ยานพาหนะและขนส่ง",'รวมครุภัณฑ์ 70'!H:H,B103)</f>
        <v>0</v>
      </c>
      <c r="O103" s="69">
        <f t="shared" si="18"/>
        <v>1</v>
      </c>
      <c r="P103" s="69">
        <f t="shared" si="19"/>
        <v>1207900</v>
      </c>
      <c r="Q103" s="70"/>
    </row>
    <row r="104" spans="1:17" ht="21">
      <c r="A104" s="71" t="s">
        <v>397</v>
      </c>
      <c r="B104" s="67" t="s">
        <v>399</v>
      </c>
      <c r="C104" s="22">
        <f>SUMIFS('ครุภัณฑ์ 67'!G:G,'ครุภัณฑ์ 67'!C:C,"ยานพาหนะและขนส่ง",'ครุภัณฑ์ 67'!E:E,B104)</f>
        <v>1358000</v>
      </c>
      <c r="D104" s="75">
        <f>SUMIFS('ครุภัณฑ์ 67'!F:F,'ครุภัณฑ์ 67'!C:C,"ยานพาหนะและขนส่ง",'ครุภัณฑ์ 67'!E:E,B104)</f>
        <v>1</v>
      </c>
      <c r="E104" s="22">
        <f t="shared" si="15"/>
        <v>1358000</v>
      </c>
      <c r="F104" s="13">
        <f>SUMIFS('ครุภัณฑ์ 68'!G:G,'ครุภัณฑ์ 68'!C:C,"ยานพาหนะและขนส่ง",'ครุภัณฑ์ 68'!E:E,B104)</f>
        <v>0</v>
      </c>
      <c r="G104" s="13">
        <f>SUMIFS('ครุภัณฑ์ 68'!F:F,'ครุภัณฑ์ 68'!C:C,"ยานพาหนะและขนส่ง",'ครุภัณฑ์ 68'!E:E,B104)</f>
        <v>0</v>
      </c>
      <c r="H104" s="13">
        <f t="shared" si="16"/>
        <v>0</v>
      </c>
      <c r="I104" s="68">
        <f>SUMIFS('ครุภัณฑ์ 69'!G:G,'ครุภัณฑ์ 69'!C:C,"ยานพาหนะและขนส่ง",'ครุภัณฑ์ 69'!E:E,B104)</f>
        <v>0</v>
      </c>
      <c r="J104" s="68">
        <f>SUMIFS('ครุภัณฑ์ 69'!F:F,'ครุภัณฑ์ 69'!C:C,"ยานพาหนะและขนส่ง",'ครุภัณฑ์ 69'!E:E,B104)</f>
        <v>0</v>
      </c>
      <c r="K104" s="68">
        <f t="shared" si="17"/>
        <v>0</v>
      </c>
      <c r="L104" s="69">
        <f>SUMIFS('รวมครุภัณฑ์ 70'!L:L,'รวมครุภัณฑ์ 70'!C:C,"ครุภัณฑ์ยานพาหนะและขนส่ง",'รวมครุภัณฑ์ 70'!H:H,B104)</f>
        <v>2705900</v>
      </c>
      <c r="M104" s="69">
        <f>SUMIFS('รวมครุภัณฑ์ 70'!Q:Q,'รวมครุภัณฑ์ 70'!C:C,"ครุภัณฑ์ยานพาหนะและขนส่ง",'รวมครุภัณฑ์ 70'!H:H,B104)</f>
        <v>2</v>
      </c>
      <c r="N104" s="69">
        <f>SUMIFS('รวมครุภัณฑ์ 70'!R:R,'รวมครุภัณฑ์ 70'!C:C,"ครุภัณฑ์ยานพาหนะและขนส่ง",'รวมครุภัณฑ์ 70'!H:H,B104)</f>
        <v>0</v>
      </c>
      <c r="O104" s="69">
        <f t="shared" si="18"/>
        <v>2</v>
      </c>
      <c r="P104" s="69">
        <f t="shared" si="19"/>
        <v>2705900</v>
      </c>
      <c r="Q104" s="70"/>
    </row>
    <row r="105" spans="1:17" ht="21">
      <c r="A105" s="71" t="s">
        <v>157</v>
      </c>
      <c r="B105" s="67" t="s">
        <v>159</v>
      </c>
      <c r="C105" s="22">
        <f>SUMIFS('ครุภัณฑ์ 67'!G:G,'ครุภัณฑ์ 67'!C:C,"ยานพาหนะและขนส่ง",'ครุภัณฑ์ 67'!E:E,B105)</f>
        <v>0</v>
      </c>
      <c r="D105" s="75">
        <f>SUMIFS('ครุภัณฑ์ 67'!F:F,'ครุภัณฑ์ 67'!C:C,"ยานพาหนะและขนส่ง",'ครุภัณฑ์ 67'!E:E,B105)</f>
        <v>0</v>
      </c>
      <c r="E105" s="22">
        <f t="shared" si="15"/>
        <v>0</v>
      </c>
      <c r="F105" s="13">
        <f>SUMIFS('ครุภัณฑ์ 68'!G:G,'ครุภัณฑ์ 68'!C:C,"ยานพาหนะและขนส่ง",'ครุภัณฑ์ 68'!E:E,B105)</f>
        <v>0</v>
      </c>
      <c r="G105" s="13">
        <f>SUMIFS('ครุภัณฑ์ 68'!F:F,'ครุภัณฑ์ 68'!C:C,"ยานพาหนะและขนส่ง",'ครุภัณฑ์ 68'!E:E,B105)</f>
        <v>0</v>
      </c>
      <c r="H105" s="13">
        <f t="shared" si="16"/>
        <v>0</v>
      </c>
      <c r="I105" s="68">
        <f>SUMIFS('ครุภัณฑ์ 69'!G:G,'ครุภัณฑ์ 69'!C:C,"ยานพาหนะและขนส่ง",'ครุภัณฑ์ 69'!E:E,B105)</f>
        <v>1207900</v>
      </c>
      <c r="J105" s="68">
        <f>SUMIFS('ครุภัณฑ์ 69'!F:F,'ครุภัณฑ์ 69'!C:C,"ยานพาหนะและขนส่ง",'ครุภัณฑ์ 69'!E:E,B105)</f>
        <v>1</v>
      </c>
      <c r="K105" s="68">
        <f t="shared" si="17"/>
        <v>1207900</v>
      </c>
      <c r="L105" s="69">
        <f>SUMIFS('รวมครุภัณฑ์ 70'!L:L,'รวมครุภัณฑ์ 70'!C:C,"ครุภัณฑ์ยานพาหนะและขนส่ง",'รวมครุภัณฑ์ 70'!H:H,B105)</f>
        <v>0</v>
      </c>
      <c r="M105" s="69">
        <f>SUMIFS('รวมครุภัณฑ์ 70'!Q:Q,'รวมครุภัณฑ์ 70'!C:C,"ครุภัณฑ์ยานพาหนะและขนส่ง",'รวมครุภัณฑ์ 70'!H:H,B105)</f>
        <v>0</v>
      </c>
      <c r="N105" s="69">
        <f>SUMIFS('รวมครุภัณฑ์ 70'!R:R,'รวมครุภัณฑ์ 70'!C:C,"ครุภัณฑ์ยานพาหนะและขนส่ง",'รวมครุภัณฑ์ 70'!H:H,B105)</f>
        <v>0</v>
      </c>
      <c r="O105" s="69">
        <f t="shared" si="18"/>
        <v>0</v>
      </c>
      <c r="P105" s="69">
        <f t="shared" si="19"/>
        <v>0</v>
      </c>
      <c r="Q105" s="70"/>
    </row>
    <row r="106" spans="1:17" ht="21">
      <c r="A106" s="71" t="s">
        <v>298</v>
      </c>
      <c r="B106" s="67" t="s">
        <v>300</v>
      </c>
      <c r="C106" s="22">
        <f>SUMIFS('ครุภัณฑ์ 67'!G:G,'ครุภัณฑ์ 67'!C:C,"ยานพาหนะและขนส่ง",'ครุภัณฑ์ 67'!E:E,B106)</f>
        <v>1090900</v>
      </c>
      <c r="D106" s="75">
        <f>SUMIFS('ครุภัณฑ์ 67'!F:F,'ครุภัณฑ์ 67'!C:C,"ยานพาหนะและขนส่ง",'ครุภัณฑ์ 67'!E:E,B106)</f>
        <v>1</v>
      </c>
      <c r="E106" s="22">
        <f t="shared" si="15"/>
        <v>1090900</v>
      </c>
      <c r="F106" s="13">
        <f>SUMIFS('ครุภัณฑ์ 68'!G:G,'ครุภัณฑ์ 68'!C:C,"ยานพาหนะและขนส่ง",'ครุภัณฑ์ 68'!E:E,B106)</f>
        <v>0</v>
      </c>
      <c r="G106" s="13">
        <f>SUMIFS('ครุภัณฑ์ 68'!F:F,'ครุภัณฑ์ 68'!C:C,"ยานพาหนะและขนส่ง",'ครุภัณฑ์ 68'!E:E,B106)</f>
        <v>0</v>
      </c>
      <c r="H106" s="13">
        <f t="shared" si="16"/>
        <v>0</v>
      </c>
      <c r="I106" s="68">
        <f>SUMIFS('ครุภัณฑ์ 69'!G:G,'ครุภัณฑ์ 69'!C:C,"ยานพาหนะและขนส่ง",'ครุภัณฑ์ 69'!E:E,B106)</f>
        <v>0</v>
      </c>
      <c r="J106" s="68">
        <f>SUMIFS('ครุภัณฑ์ 69'!F:F,'ครุภัณฑ์ 69'!C:C,"ยานพาหนะและขนส่ง",'ครุภัณฑ์ 69'!E:E,B106)</f>
        <v>0</v>
      </c>
      <c r="K106" s="68">
        <f t="shared" si="17"/>
        <v>0</v>
      </c>
      <c r="L106" s="69">
        <f>SUMIFS('รวมครุภัณฑ์ 70'!L:L,'รวมครุภัณฑ์ 70'!C:C,"ครุภัณฑ์ยานพาหนะและขนส่ง",'รวมครุภัณฑ์ 70'!H:H,B106)</f>
        <v>2178800</v>
      </c>
      <c r="M106" s="69">
        <f>SUMIFS('รวมครุภัณฑ์ 70'!Q:Q,'รวมครุภัณฑ์ 70'!C:C,"ครุภัณฑ์ยานพาหนะและขนส่ง",'รวมครุภัณฑ์ 70'!H:H,B106)</f>
        <v>1</v>
      </c>
      <c r="N106" s="69">
        <f>SUMIFS('รวมครุภัณฑ์ 70'!R:R,'รวมครุภัณฑ์ 70'!C:C,"ครุภัณฑ์ยานพาหนะและขนส่ง",'รวมครุภัณฑ์ 70'!H:H,B106)</f>
        <v>1</v>
      </c>
      <c r="O106" s="69">
        <f t="shared" si="18"/>
        <v>2</v>
      </c>
      <c r="P106" s="69">
        <f t="shared" si="19"/>
        <v>2178800</v>
      </c>
      <c r="Q106" s="70"/>
    </row>
    <row r="107" spans="1:17" ht="21">
      <c r="A107" s="71" t="s">
        <v>160</v>
      </c>
      <c r="B107" s="67" t="s">
        <v>164</v>
      </c>
      <c r="C107" s="22">
        <f>SUMIFS('ครุภัณฑ์ 67'!G:G,'ครุภัณฑ์ 67'!C:C,"ยานพาหนะและขนส่ง",'ครุภัณฑ์ 67'!E:E,B107)</f>
        <v>0</v>
      </c>
      <c r="D107" s="75">
        <f>SUMIFS('ครุภัณฑ์ 67'!F:F,'ครุภัณฑ์ 67'!C:C,"ยานพาหนะและขนส่ง",'ครุภัณฑ์ 67'!E:E,B107)</f>
        <v>0</v>
      </c>
      <c r="E107" s="22">
        <f t="shared" si="15"/>
        <v>0</v>
      </c>
      <c r="F107" s="13">
        <f>SUMIFS('ครุภัณฑ์ 68'!G:G,'ครุภัณฑ์ 68'!C:C,"ยานพาหนะและขนส่ง",'ครุภัณฑ์ 68'!E:E,B107)</f>
        <v>0</v>
      </c>
      <c r="G107" s="13">
        <f>SUMIFS('ครุภัณฑ์ 68'!F:F,'ครุภัณฑ์ 68'!C:C,"ยานพาหนะและขนส่ง",'ครุภัณฑ์ 68'!E:E,B107)</f>
        <v>0</v>
      </c>
      <c r="H107" s="13">
        <f t="shared" si="16"/>
        <v>0</v>
      </c>
      <c r="I107" s="68">
        <f>SUMIFS('ครุภัณฑ์ 69'!G:G,'ครุภัณฑ์ 69'!C:C,"ยานพาหนะและขนส่ง",'ครุภัณฑ์ 69'!E:E,B107)</f>
        <v>0</v>
      </c>
      <c r="J107" s="68">
        <f>SUMIFS('ครุภัณฑ์ 69'!F:F,'ครุภัณฑ์ 69'!C:C,"ยานพาหนะและขนส่ง",'ครุภัณฑ์ 69'!E:E,B107)</f>
        <v>0</v>
      </c>
      <c r="K107" s="68">
        <f t="shared" si="17"/>
        <v>0</v>
      </c>
      <c r="L107" s="69">
        <f>SUMIFS('รวมครุภัณฑ์ 70'!L:L,'รวมครุภัณฑ์ 70'!C:C,"ครุภัณฑ์ยานพาหนะและขนส่ง",'รวมครุภัณฑ์ 70'!H:H,B107)</f>
        <v>0</v>
      </c>
      <c r="M107" s="69">
        <f>SUMIFS('รวมครุภัณฑ์ 70'!Q:Q,'รวมครุภัณฑ์ 70'!C:C,"ครุภัณฑ์ยานพาหนะและขนส่ง",'รวมครุภัณฑ์ 70'!H:H,B107)</f>
        <v>0</v>
      </c>
      <c r="N107" s="69">
        <f>SUMIFS('รวมครุภัณฑ์ 70'!R:R,'รวมครุภัณฑ์ 70'!C:C,"ครุภัณฑ์ยานพาหนะและขนส่ง",'รวมครุภัณฑ์ 70'!H:H,B107)</f>
        <v>0</v>
      </c>
      <c r="O107" s="69">
        <f t="shared" si="18"/>
        <v>0</v>
      </c>
      <c r="P107" s="69">
        <f t="shared" si="19"/>
        <v>0</v>
      </c>
      <c r="Q107" s="70"/>
    </row>
    <row r="108" spans="1:17" ht="21">
      <c r="A108" s="71" t="s">
        <v>160</v>
      </c>
      <c r="B108" s="67" t="s">
        <v>162</v>
      </c>
      <c r="C108" s="22">
        <f>SUMIFS('ครุภัณฑ์ 67'!G:G,'ครุภัณฑ์ 67'!C:C,"ยานพาหนะและขนส่ง",'ครุภัณฑ์ 67'!E:E,B108)</f>
        <v>0</v>
      </c>
      <c r="D108" s="75">
        <f>SUMIFS('ครุภัณฑ์ 67'!F:F,'ครุภัณฑ์ 67'!C:C,"ยานพาหนะและขนส่ง",'ครุภัณฑ์ 67'!E:E,B108)</f>
        <v>0</v>
      </c>
      <c r="E108" s="22">
        <f t="shared" si="15"/>
        <v>0</v>
      </c>
      <c r="F108" s="13">
        <f>SUMIFS('ครุภัณฑ์ 68'!G:G,'ครุภัณฑ์ 68'!C:C,"ยานพาหนะและขนส่ง",'ครุภัณฑ์ 68'!E:E,B108)</f>
        <v>0</v>
      </c>
      <c r="G108" s="13">
        <f>SUMIFS('ครุภัณฑ์ 68'!F:F,'ครุภัณฑ์ 68'!C:C,"ยานพาหนะและขนส่ง",'ครุภัณฑ์ 68'!E:E,B108)</f>
        <v>0</v>
      </c>
      <c r="H108" s="13">
        <f t="shared" si="16"/>
        <v>0</v>
      </c>
      <c r="I108" s="68">
        <f>SUMIFS('ครุภัณฑ์ 69'!G:G,'ครุภัณฑ์ 69'!C:C,"ยานพาหนะและขนส่ง",'ครุภัณฑ์ 69'!E:E,B108)</f>
        <v>0</v>
      </c>
      <c r="J108" s="68">
        <f>SUMIFS('ครุภัณฑ์ 69'!F:F,'ครุภัณฑ์ 69'!C:C,"ยานพาหนะและขนส่ง",'ครุภัณฑ์ 69'!E:E,B108)</f>
        <v>0</v>
      </c>
      <c r="K108" s="68">
        <f t="shared" si="17"/>
        <v>0</v>
      </c>
      <c r="L108" s="69">
        <f>SUMIFS('รวมครุภัณฑ์ 70'!L:L,'รวมครุภัณฑ์ 70'!C:C,"ครุภัณฑ์ยานพาหนะและขนส่ง",'รวมครุภัณฑ์ 70'!H:H,B108)</f>
        <v>1450000</v>
      </c>
      <c r="M108" s="69">
        <f>SUMIFS('รวมครุภัณฑ์ 70'!Q:Q,'รวมครุภัณฑ์ 70'!C:C,"ครุภัณฑ์ยานพาหนะและขนส่ง",'รวมครุภัณฑ์ 70'!H:H,B108)</f>
        <v>1</v>
      </c>
      <c r="N108" s="69">
        <f>SUMIFS('รวมครุภัณฑ์ 70'!R:R,'รวมครุภัณฑ์ 70'!C:C,"ครุภัณฑ์ยานพาหนะและขนส่ง",'รวมครุภัณฑ์ 70'!H:H,B108)</f>
        <v>0</v>
      </c>
      <c r="O108" s="69">
        <f t="shared" si="18"/>
        <v>1</v>
      </c>
      <c r="P108" s="69">
        <f t="shared" si="19"/>
        <v>1450000</v>
      </c>
      <c r="Q108" s="70"/>
    </row>
    <row r="109" spans="1:17" ht="21">
      <c r="A109" s="71" t="s">
        <v>166</v>
      </c>
      <c r="B109" s="67" t="s">
        <v>168</v>
      </c>
      <c r="C109" s="22">
        <f>SUMIFS('ครุภัณฑ์ 67'!G:G,'ครุภัณฑ์ 67'!C:C,"ยานพาหนะและขนส่ง",'ครุภัณฑ์ 67'!E:E,B109)</f>
        <v>1090900</v>
      </c>
      <c r="D109" s="75">
        <f>SUMIFS('ครุภัณฑ์ 67'!F:F,'ครุภัณฑ์ 67'!C:C,"ยานพาหนะและขนส่ง",'ครุภัณฑ์ 67'!E:E,B109)</f>
        <v>1</v>
      </c>
      <c r="E109" s="22">
        <f t="shared" si="15"/>
        <v>1090900</v>
      </c>
      <c r="F109" s="13">
        <f>SUMIFS('ครุภัณฑ์ 68'!G:G,'ครุภัณฑ์ 68'!C:C,"ยานพาหนะและขนส่ง",'ครุภัณฑ์ 68'!E:E,B109)</f>
        <v>0</v>
      </c>
      <c r="G109" s="13">
        <f>SUMIFS('ครุภัณฑ์ 68'!F:F,'ครุภัณฑ์ 68'!C:C,"ยานพาหนะและขนส่ง",'ครุภัณฑ์ 68'!E:E,B109)</f>
        <v>0</v>
      </c>
      <c r="H109" s="13">
        <f t="shared" si="16"/>
        <v>0</v>
      </c>
      <c r="I109" s="68">
        <f>SUMIFS('ครุภัณฑ์ 69'!G:G,'ครุภัณฑ์ 69'!C:C,"ยานพาหนะและขนส่ง",'ครุภัณฑ์ 69'!E:E,B109)</f>
        <v>0</v>
      </c>
      <c r="J109" s="68">
        <f>SUMIFS('ครุภัณฑ์ 69'!F:F,'ครุภัณฑ์ 69'!C:C,"ยานพาหนะและขนส่ง",'ครุภัณฑ์ 69'!E:E,B109)</f>
        <v>0</v>
      </c>
      <c r="K109" s="68">
        <f t="shared" si="17"/>
        <v>0</v>
      </c>
      <c r="L109" s="69">
        <f>SUMIFS('รวมครุภัณฑ์ 70'!L:L,'รวมครุภัณฑ์ 70'!C:C,"ครุภัณฑ์ยานพาหนะและขนส่ง",'รวมครุภัณฑ์ 70'!H:H,B109)</f>
        <v>0</v>
      </c>
      <c r="M109" s="69">
        <f>SUMIFS('รวมครุภัณฑ์ 70'!Q:Q,'รวมครุภัณฑ์ 70'!C:C,"ครุภัณฑ์ยานพาหนะและขนส่ง",'รวมครุภัณฑ์ 70'!H:H,B109)</f>
        <v>0</v>
      </c>
      <c r="N109" s="69">
        <f>SUMIFS('รวมครุภัณฑ์ 70'!R:R,'รวมครุภัณฑ์ 70'!C:C,"ครุภัณฑ์ยานพาหนะและขนส่ง",'รวมครุภัณฑ์ 70'!H:H,B109)</f>
        <v>0</v>
      </c>
      <c r="O109" s="69">
        <f t="shared" si="18"/>
        <v>0</v>
      </c>
      <c r="P109" s="69">
        <f t="shared" si="19"/>
        <v>0</v>
      </c>
      <c r="Q109" s="70"/>
    </row>
    <row r="110" spans="1:17" ht="21">
      <c r="A110" s="71" t="s">
        <v>166</v>
      </c>
      <c r="B110" s="67" t="s">
        <v>408</v>
      </c>
      <c r="C110" s="22">
        <f>SUMIFS('ครุภัณฑ์ 67'!G:G,'ครุภัณฑ์ 67'!C:C,"ยานพาหนะและขนส่ง",'ครุภัณฑ์ 67'!E:E,B110)</f>
        <v>0</v>
      </c>
      <c r="D110" s="75">
        <f>SUMIFS('ครุภัณฑ์ 67'!F:F,'ครุภัณฑ์ 67'!C:C,"ยานพาหนะและขนส่ง",'ครุภัณฑ์ 67'!E:E,B110)</f>
        <v>0</v>
      </c>
      <c r="E110" s="22">
        <f t="shared" si="15"/>
        <v>0</v>
      </c>
      <c r="F110" s="13">
        <f>SUMIFS('ครุภัณฑ์ 68'!G:G,'ครุภัณฑ์ 68'!C:C,"ยานพาหนะและขนส่ง",'ครุภัณฑ์ 68'!E:E,B110)</f>
        <v>0</v>
      </c>
      <c r="G110" s="13">
        <f>SUMIFS('ครุภัณฑ์ 68'!F:F,'ครุภัณฑ์ 68'!C:C,"ยานพาหนะและขนส่ง",'ครุภัณฑ์ 68'!E:E,B110)</f>
        <v>0</v>
      </c>
      <c r="H110" s="13">
        <f t="shared" si="16"/>
        <v>0</v>
      </c>
      <c r="I110" s="68">
        <f>SUMIFS('ครุภัณฑ์ 69'!G:G,'ครุภัณฑ์ 69'!C:C,"ยานพาหนะและขนส่ง",'ครุภัณฑ์ 69'!E:E,B110)</f>
        <v>0</v>
      </c>
      <c r="J110" s="68">
        <f>SUMIFS('ครุภัณฑ์ 69'!F:F,'ครุภัณฑ์ 69'!C:C,"ยานพาหนะและขนส่ง",'ครุภัณฑ์ 69'!E:E,B110)</f>
        <v>0</v>
      </c>
      <c r="K110" s="68">
        <f t="shared" si="17"/>
        <v>0</v>
      </c>
      <c r="L110" s="69">
        <f>SUMIFS('รวมครุภัณฑ์ 70'!L:L,'รวมครุภัณฑ์ 70'!C:C,"ครุภัณฑ์ยานพาหนะและขนส่ง",'รวมครุภัณฑ์ 70'!H:H,B110)</f>
        <v>1172000</v>
      </c>
      <c r="M110" s="69">
        <f>SUMIFS('รวมครุภัณฑ์ 70'!Q:Q,'รวมครุภัณฑ์ 70'!C:C,"ครุภัณฑ์ยานพาหนะและขนส่ง",'รวมครุภัณฑ์ 70'!H:H,B110)</f>
        <v>1</v>
      </c>
      <c r="N110" s="69">
        <f>SUMIFS('รวมครุภัณฑ์ 70'!R:R,'รวมครุภัณฑ์ 70'!C:C,"ครุภัณฑ์ยานพาหนะและขนส่ง",'รวมครุภัณฑ์ 70'!H:H,B110)</f>
        <v>0</v>
      </c>
      <c r="O110" s="69">
        <f t="shared" si="18"/>
        <v>1</v>
      </c>
      <c r="P110" s="69">
        <f t="shared" si="19"/>
        <v>1172000</v>
      </c>
      <c r="Q110" s="70"/>
    </row>
    <row r="111" spans="1:17" ht="21">
      <c r="A111" s="71" t="s">
        <v>166</v>
      </c>
      <c r="B111" s="67" t="s">
        <v>466</v>
      </c>
      <c r="C111" s="22">
        <f>SUMIFS('ครุภัณฑ์ 67'!G:G,'ครุภัณฑ์ 67'!C:C,"ยานพาหนะและขนส่ง",'ครุภัณฑ์ 67'!E:E,B111)</f>
        <v>0</v>
      </c>
      <c r="D111" s="75">
        <f>SUMIFS('ครุภัณฑ์ 67'!F:F,'ครุภัณฑ์ 67'!C:C,"ยานพาหนะและขนส่ง",'ครุภัณฑ์ 67'!E:E,B111)</f>
        <v>0</v>
      </c>
      <c r="E111" s="22">
        <f t="shared" si="15"/>
        <v>0</v>
      </c>
      <c r="F111" s="13">
        <f>SUMIFS('ครุภัณฑ์ 68'!G:G,'ครุภัณฑ์ 68'!C:C,"ยานพาหนะและขนส่ง",'ครุภัณฑ์ 68'!E:E,B111)</f>
        <v>0</v>
      </c>
      <c r="G111" s="13">
        <f>SUMIFS('ครุภัณฑ์ 68'!F:F,'ครุภัณฑ์ 68'!C:C,"ยานพาหนะและขนส่ง",'ครุภัณฑ์ 68'!E:E,B111)</f>
        <v>0</v>
      </c>
      <c r="H111" s="13">
        <f t="shared" si="16"/>
        <v>0</v>
      </c>
      <c r="I111" s="68">
        <f>SUMIFS('ครุภัณฑ์ 69'!G:G,'ครุภัณฑ์ 69'!C:C,"ยานพาหนะและขนส่ง",'ครุภัณฑ์ 69'!E:E,B111)</f>
        <v>0</v>
      </c>
      <c r="J111" s="68">
        <f>SUMIFS('ครุภัณฑ์ 69'!F:F,'ครุภัณฑ์ 69'!C:C,"ยานพาหนะและขนส่ง",'ครุภัณฑ์ 69'!E:E,B111)</f>
        <v>0</v>
      </c>
      <c r="K111" s="68">
        <f t="shared" si="17"/>
        <v>0</v>
      </c>
      <c r="L111" s="69">
        <f>SUMIFS('รวมครุภัณฑ์ 70'!L:L,'รวมครุภัณฑ์ 70'!C:C,"ครุภัณฑ์ยานพาหนะและขนส่ง",'รวมครุภัณฑ์ 70'!H:H,B111)</f>
        <v>1498000</v>
      </c>
      <c r="M111" s="69">
        <f>SUMIFS('รวมครุภัณฑ์ 70'!Q:Q,'รวมครุภัณฑ์ 70'!C:C,"ครุภัณฑ์ยานพาหนะและขนส่ง",'รวมครุภัณฑ์ 70'!H:H,B111)</f>
        <v>1</v>
      </c>
      <c r="N111" s="69">
        <f>SUMIFS('รวมครุภัณฑ์ 70'!R:R,'รวมครุภัณฑ์ 70'!C:C,"ครุภัณฑ์ยานพาหนะและขนส่ง",'รวมครุภัณฑ์ 70'!H:H,B111)</f>
        <v>0</v>
      </c>
      <c r="O111" s="69">
        <f t="shared" si="18"/>
        <v>1</v>
      </c>
      <c r="P111" s="69">
        <f t="shared" si="19"/>
        <v>1498000</v>
      </c>
      <c r="Q111" s="70"/>
    </row>
    <row r="112" spans="1:17" ht="21">
      <c r="A112" s="71" t="s">
        <v>169</v>
      </c>
      <c r="B112" s="67" t="s">
        <v>171</v>
      </c>
      <c r="C112" s="22">
        <f>SUMIFS('ครุภัณฑ์ 67'!G:G,'ครุภัณฑ์ 67'!C:C,"ยานพาหนะและขนส่ง",'ครุภัณฑ์ 67'!E:E,B112)</f>
        <v>0</v>
      </c>
      <c r="D112" s="75">
        <f>SUMIFS('ครุภัณฑ์ 67'!F:F,'ครุภัณฑ์ 67'!C:C,"ยานพาหนะและขนส่ง",'ครุภัณฑ์ 67'!E:E,B112)</f>
        <v>0</v>
      </c>
      <c r="E112" s="22">
        <f t="shared" si="15"/>
        <v>0</v>
      </c>
      <c r="F112" s="13">
        <f>SUMIFS('ครุภัณฑ์ 68'!G:G,'ครุภัณฑ์ 68'!C:C,"ยานพาหนะและขนส่ง",'ครุภัณฑ์ 68'!E:E,B112)</f>
        <v>1055000</v>
      </c>
      <c r="G112" s="13">
        <f>SUMIFS('ครุภัณฑ์ 68'!F:F,'ครุภัณฑ์ 68'!C:C,"ยานพาหนะและขนส่ง",'ครุภัณฑ์ 68'!E:E,B112)</f>
        <v>1</v>
      </c>
      <c r="H112" s="13">
        <f t="shared" si="16"/>
        <v>1055000</v>
      </c>
      <c r="I112" s="68">
        <f>SUMIFS('ครุภัณฑ์ 69'!G:G,'ครุภัณฑ์ 69'!C:C,"ยานพาหนะและขนส่ง",'ครุภัณฑ์ 69'!E:E,B112)</f>
        <v>1369000</v>
      </c>
      <c r="J112" s="68">
        <f>SUMIFS('ครุภัณฑ์ 69'!F:F,'ครุภัณฑ์ 69'!C:C,"ยานพาหนะและขนส่ง",'ครุภัณฑ์ 69'!E:E,B112)</f>
        <v>1</v>
      </c>
      <c r="K112" s="68">
        <f t="shared" si="17"/>
        <v>1369000</v>
      </c>
      <c r="L112" s="69">
        <f>SUMIFS('รวมครุภัณฑ์ 70'!L:L,'รวมครุภัณฑ์ 70'!C:C,"ครุภัณฑ์ยานพาหนะและขนส่ง",'รวมครุภัณฑ์ 70'!H:H,B112)</f>
        <v>7270300</v>
      </c>
      <c r="M112" s="69">
        <f>SUMIFS('รวมครุภัณฑ์ 70'!Q:Q,'รวมครุภัณฑ์ 70'!C:C,"ครุภัณฑ์ยานพาหนะและขนส่ง",'รวมครุภัณฑ์ 70'!H:H,B112)</f>
        <v>7</v>
      </c>
      <c r="N112" s="69">
        <f>SUMIFS('รวมครุภัณฑ์ 70'!R:R,'รวมครุภัณฑ์ 70'!C:C,"ครุภัณฑ์ยานพาหนะและขนส่ง",'รวมครุภัณฑ์ 70'!H:H,B112)</f>
        <v>0</v>
      </c>
      <c r="O112" s="69">
        <f t="shared" si="18"/>
        <v>7</v>
      </c>
      <c r="P112" s="69">
        <f t="shared" si="19"/>
        <v>7270300</v>
      </c>
      <c r="Q112" s="70"/>
    </row>
    <row r="113" spans="1:17" ht="21">
      <c r="A113" s="71" t="s">
        <v>172</v>
      </c>
      <c r="B113" s="67" t="s">
        <v>270</v>
      </c>
      <c r="C113" s="22">
        <f>SUMIFS('ครุภัณฑ์ 67'!G:G,'ครุภัณฑ์ 67'!C:C,"ยานพาหนะและขนส่ง",'ครุภัณฑ์ 67'!E:E,B113)</f>
        <v>0</v>
      </c>
      <c r="D113" s="75">
        <f>SUMIFS('ครุภัณฑ์ 67'!F:F,'ครุภัณฑ์ 67'!C:C,"ยานพาหนะและขนส่ง",'ครุภัณฑ์ 67'!E:E,B113)</f>
        <v>0</v>
      </c>
      <c r="E113" s="22">
        <f t="shared" si="15"/>
        <v>0</v>
      </c>
      <c r="F113" s="13">
        <f>SUMIFS('ครุภัณฑ์ 68'!G:G,'ครุภัณฑ์ 68'!C:C,"ยานพาหนะและขนส่ง",'ครุภัณฑ์ 68'!E:E,B113)</f>
        <v>0</v>
      </c>
      <c r="G113" s="13">
        <f>SUMIFS('ครุภัณฑ์ 68'!F:F,'ครุภัณฑ์ 68'!C:C,"ยานพาหนะและขนส่ง",'ครุภัณฑ์ 68'!E:E,B113)</f>
        <v>0</v>
      </c>
      <c r="H113" s="13">
        <f t="shared" si="16"/>
        <v>0</v>
      </c>
      <c r="I113" s="68">
        <f>SUMIFS('ครุภัณฑ์ 69'!G:G,'ครุภัณฑ์ 69'!C:C,"ยานพาหนะและขนส่ง",'ครุภัณฑ์ 69'!E:E,B113)</f>
        <v>0</v>
      </c>
      <c r="J113" s="68">
        <f>SUMIFS('ครุภัณฑ์ 69'!F:F,'ครุภัณฑ์ 69'!C:C,"ยานพาหนะและขนส่ง",'ครุภัณฑ์ 69'!E:E,B113)</f>
        <v>0</v>
      </c>
      <c r="K113" s="68">
        <f t="shared" si="17"/>
        <v>0</v>
      </c>
      <c r="L113" s="69">
        <f>SUMIFS('รวมครุภัณฑ์ 70'!L:L,'รวมครุภัณฑ์ 70'!C:C,"ครุภัณฑ์ยานพาหนะและขนส่ง",'รวมครุภัณฑ์ 70'!H:H,B113)</f>
        <v>0</v>
      </c>
      <c r="M113" s="69">
        <f>SUMIFS('รวมครุภัณฑ์ 70'!Q:Q,'รวมครุภัณฑ์ 70'!C:C,"ครุภัณฑ์ยานพาหนะและขนส่ง",'รวมครุภัณฑ์ 70'!H:H,B113)</f>
        <v>0</v>
      </c>
      <c r="N113" s="69">
        <f>SUMIFS('รวมครุภัณฑ์ 70'!R:R,'รวมครุภัณฑ์ 70'!C:C,"ครุภัณฑ์ยานพาหนะและขนส่ง",'รวมครุภัณฑ์ 70'!H:H,B113)</f>
        <v>0</v>
      </c>
      <c r="O113" s="69">
        <f t="shared" si="18"/>
        <v>0</v>
      </c>
      <c r="P113" s="69">
        <f t="shared" si="19"/>
        <v>0</v>
      </c>
      <c r="Q113" s="70"/>
    </row>
    <row r="114" spans="1:17" ht="21">
      <c r="A114" s="71" t="s">
        <v>172</v>
      </c>
      <c r="B114" s="67" t="s">
        <v>405</v>
      </c>
      <c r="C114" s="22">
        <f>SUMIFS('ครุภัณฑ์ 67'!G:G,'ครุภัณฑ์ 67'!C:C,"ยานพาหนะและขนส่ง",'ครุภัณฑ์ 67'!E:E,B114)</f>
        <v>0</v>
      </c>
      <c r="D114" s="75">
        <f>SUMIFS('ครุภัณฑ์ 67'!F:F,'ครุภัณฑ์ 67'!C:C,"ยานพาหนะและขนส่ง",'ครุภัณฑ์ 67'!E:E,B114)</f>
        <v>0</v>
      </c>
      <c r="E114" s="22">
        <f t="shared" si="15"/>
        <v>0</v>
      </c>
      <c r="F114" s="13">
        <f>SUMIFS('ครุภัณฑ์ 68'!G:G,'ครุภัณฑ์ 68'!C:C,"ยานพาหนะและขนส่ง",'ครุภัณฑ์ 68'!E:E,B114)</f>
        <v>0</v>
      </c>
      <c r="G114" s="13">
        <f>SUMIFS('ครุภัณฑ์ 68'!F:F,'ครุภัณฑ์ 68'!C:C,"ยานพาหนะและขนส่ง",'ครุภัณฑ์ 68'!E:E,B114)</f>
        <v>0</v>
      </c>
      <c r="H114" s="13">
        <f t="shared" si="16"/>
        <v>0</v>
      </c>
      <c r="I114" s="68">
        <f>SUMIFS('ครุภัณฑ์ 69'!G:G,'ครุภัณฑ์ 69'!C:C,"ยานพาหนะและขนส่ง",'ครุภัณฑ์ 69'!E:E,B114)</f>
        <v>0</v>
      </c>
      <c r="J114" s="68">
        <f>SUMIFS('ครุภัณฑ์ 69'!F:F,'ครุภัณฑ์ 69'!C:C,"ยานพาหนะและขนส่ง",'ครุภัณฑ์ 69'!E:E,B114)</f>
        <v>0</v>
      </c>
      <c r="K114" s="68">
        <f t="shared" si="17"/>
        <v>0</v>
      </c>
      <c r="L114" s="69">
        <f>SUMIFS('รวมครุภัณฑ์ 70'!L:L,'รวมครุภัณฑ์ 70'!C:C,"ครุภัณฑ์ยานพาหนะและขนส่ง",'รวมครุภัณฑ์ 70'!H:H,B114)</f>
        <v>0</v>
      </c>
      <c r="M114" s="69">
        <f>SUMIFS('รวมครุภัณฑ์ 70'!Q:Q,'รวมครุภัณฑ์ 70'!C:C,"ครุภัณฑ์ยานพาหนะและขนส่ง",'รวมครุภัณฑ์ 70'!H:H,B114)</f>
        <v>0</v>
      </c>
      <c r="N114" s="69">
        <f>SUMIFS('รวมครุภัณฑ์ 70'!R:R,'รวมครุภัณฑ์ 70'!C:C,"ครุภัณฑ์ยานพาหนะและขนส่ง",'รวมครุภัณฑ์ 70'!H:H,B114)</f>
        <v>0</v>
      </c>
      <c r="O114" s="69">
        <f t="shared" si="18"/>
        <v>0</v>
      </c>
      <c r="P114" s="69">
        <f t="shared" si="19"/>
        <v>0</v>
      </c>
      <c r="Q114" s="70"/>
    </row>
    <row r="115" spans="1:17" ht="21">
      <c r="A115" s="71" t="s">
        <v>172</v>
      </c>
      <c r="B115" s="67" t="s">
        <v>174</v>
      </c>
      <c r="C115" s="22">
        <f>SUMIFS('ครุภัณฑ์ 67'!G:G,'ครุภัณฑ์ 67'!C:C,"ยานพาหนะและขนส่ง",'ครุภัณฑ์ 67'!E:E,B115)</f>
        <v>1055000</v>
      </c>
      <c r="D115" s="75">
        <f>SUMIFS('ครุภัณฑ์ 67'!F:F,'ครุภัณฑ์ 67'!C:C,"ยานพาหนะและขนส่ง",'ครุภัณฑ์ 67'!E:E,B115)</f>
        <v>1</v>
      </c>
      <c r="E115" s="22">
        <f t="shared" si="15"/>
        <v>1055000</v>
      </c>
      <c r="F115" s="13">
        <f>SUMIFS('ครุภัณฑ์ 68'!G:G,'ครุภัณฑ์ 68'!C:C,"ยานพาหนะและขนส่ง",'ครุภัณฑ์ 68'!E:E,B115)</f>
        <v>0</v>
      </c>
      <c r="G115" s="13">
        <f>SUMIFS('ครุภัณฑ์ 68'!F:F,'ครุภัณฑ์ 68'!C:C,"ยานพาหนะและขนส่ง",'ครุภัณฑ์ 68'!E:E,B115)</f>
        <v>0</v>
      </c>
      <c r="H115" s="13">
        <f t="shared" si="16"/>
        <v>0</v>
      </c>
      <c r="I115" s="68">
        <f>SUMIFS('ครุภัณฑ์ 69'!G:G,'ครุภัณฑ์ 69'!C:C,"ยานพาหนะและขนส่ง",'ครุภัณฑ์ 69'!E:E,B115)</f>
        <v>0</v>
      </c>
      <c r="J115" s="68">
        <f>SUMIFS('ครุภัณฑ์ 69'!F:F,'ครุภัณฑ์ 69'!C:C,"ยานพาหนะและขนส่ง",'ครุภัณฑ์ 69'!E:E,B115)</f>
        <v>0</v>
      </c>
      <c r="K115" s="68">
        <f t="shared" si="17"/>
        <v>0</v>
      </c>
      <c r="L115" s="69">
        <f>SUMIFS('รวมครุภัณฑ์ 70'!L:L,'รวมครุภัณฑ์ 70'!C:C,"ครุภัณฑ์ยานพาหนะและขนส่ง",'รวมครุภัณฑ์ 70'!H:H,B115)</f>
        <v>970900</v>
      </c>
      <c r="M115" s="69">
        <f>SUMIFS('รวมครุภัณฑ์ 70'!Q:Q,'รวมครุภัณฑ์ 70'!C:C,"ครุภัณฑ์ยานพาหนะและขนส่ง",'รวมครุภัณฑ์ 70'!H:H,B115)</f>
        <v>1</v>
      </c>
      <c r="N115" s="69">
        <f>SUMIFS('รวมครุภัณฑ์ 70'!R:R,'รวมครุภัณฑ์ 70'!C:C,"ครุภัณฑ์ยานพาหนะและขนส่ง",'รวมครุภัณฑ์ 70'!H:H,B115)</f>
        <v>0</v>
      </c>
      <c r="O115" s="69">
        <f t="shared" si="18"/>
        <v>1</v>
      </c>
      <c r="P115" s="69">
        <f t="shared" si="19"/>
        <v>970900</v>
      </c>
      <c r="Q115" s="70"/>
    </row>
    <row r="116" spans="1:17" ht="21">
      <c r="A116" s="65"/>
      <c r="B116" s="65"/>
      <c r="C116" s="65"/>
      <c r="D116" s="3"/>
      <c r="E116" s="65"/>
      <c r="F116" s="65"/>
      <c r="G116" s="65"/>
      <c r="H116" s="65"/>
      <c r="I116" s="65"/>
      <c r="J116" s="65"/>
      <c r="K116" s="65"/>
    </row>
    <row r="117" spans="1:17" ht="21">
      <c r="A117" s="65"/>
      <c r="B117" s="65"/>
      <c r="C117" s="64"/>
      <c r="D117" s="64">
        <f>SUM(D6:D17)+SUM(D19:D42)+SUM(D44:D95)+SUM(D97:D115)</f>
        <v>56</v>
      </c>
      <c r="E117" s="64">
        <f t="shared" ref="E117:L117" si="20">SUM(E6:E17)+SUM(E19:E42)+SUM(E44:E95)+SUM(E97:E115)</f>
        <v>69869700</v>
      </c>
      <c r="F117" s="64"/>
      <c r="G117" s="64">
        <f>SUM(G6:G17)+SUM(G19:G42)+SUM(G44:G95)+SUM(G97:G115)</f>
        <v>28</v>
      </c>
      <c r="H117" s="64">
        <f>SUM(H6:H17)+SUM(H19:H42)+SUM(H44:H95)+SUM(H97:H115)</f>
        <v>35737900</v>
      </c>
      <c r="I117" s="64"/>
      <c r="J117" s="64">
        <f>SUM(J6:J17)+SUM(J19:J42)+SUM(J44:J95)+SUM(J97:J115)</f>
        <v>23</v>
      </c>
      <c r="K117" s="64">
        <f>SUM(K6:K17)+SUM(K19:K42)+SUM(K44:K95)+SUM(K97:K115)</f>
        <v>25309800</v>
      </c>
      <c r="L117" s="64">
        <f t="shared" si="20"/>
        <v>110295600</v>
      </c>
      <c r="M117" s="64">
        <f>SUM(M6:M17)+SUM(M19:M42)+SUM(M44:M95)+SUM(M97:M115)</f>
        <v>82</v>
      </c>
      <c r="N117" s="64">
        <f>SUM(N6:N17)+SUM(N19:N42)+SUM(N44:N95)+SUM(N97:N115)</f>
        <v>6</v>
      </c>
      <c r="O117" s="64">
        <f>SUM(O6:O17)+SUM(O19:O42)+SUM(O44:O95)+SUM(O97:O115)</f>
        <v>88</v>
      </c>
      <c r="P117" s="64">
        <f>SUM(P6:P17)+SUM(P19:P42)+SUM(P44:P95)+SUM(P97:P115)</f>
        <v>110295600</v>
      </c>
      <c r="Q117" s="62"/>
    </row>
    <row r="122" spans="1:17" ht="21">
      <c r="L122" s="64"/>
      <c r="M122" s="64"/>
      <c r="N122" s="64"/>
      <c r="O122" s="64"/>
      <c r="P122" s="64"/>
    </row>
  </sheetData>
  <autoFilter ref="A4:Q115" xr:uid="{46B535DB-BB32-480E-B831-30386BF6358F}"/>
  <mergeCells count="11">
    <mergeCell ref="A5:P5"/>
    <mergeCell ref="A18:P18"/>
    <mergeCell ref="A43:P43"/>
    <mergeCell ref="A96:P96"/>
    <mergeCell ref="A1:P1"/>
    <mergeCell ref="A3:A4"/>
    <mergeCell ref="B3:B4"/>
    <mergeCell ref="C3:E3"/>
    <mergeCell ref="F3:H3"/>
    <mergeCell ref="I3:K3"/>
    <mergeCell ref="L3:P3"/>
  </mergeCells>
  <pageMargins left="0.7" right="0.7" top="0.75" bottom="0.75" header="0.3" footer="0.3"/>
  <pageSetup paperSize="9" orientation="portrait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E66D-AD5C-4AC5-9F23-641EC7300A57}">
  <sheetPr>
    <tabColor theme="0"/>
  </sheetPr>
  <dimension ref="A1:Q122"/>
  <sheetViews>
    <sheetView topLeftCell="B1" zoomScale="66" zoomScaleNormal="66" workbookViewId="0">
      <pane ySplit="4" topLeftCell="A5" activePane="bottomLeft" state="frozen"/>
      <selection activeCell="B1" sqref="B1"/>
      <selection pane="bottomLeft" activeCell="E10" sqref="E10"/>
    </sheetView>
  </sheetViews>
  <sheetFormatPr defaultRowHeight="15"/>
  <cols>
    <col min="1" max="1" width="20.5703125" customWidth="1"/>
    <col min="2" max="2" width="25.7109375" customWidth="1"/>
    <col min="3" max="3" width="19.7109375" customWidth="1"/>
    <col min="4" max="4" width="17.28515625" customWidth="1"/>
    <col min="5" max="5" width="17.140625" customWidth="1"/>
    <col min="6" max="6" width="19.140625" customWidth="1"/>
    <col min="7" max="7" width="19.28515625" customWidth="1"/>
    <col min="8" max="8" width="18.5703125" customWidth="1"/>
    <col min="9" max="9" width="18.140625" customWidth="1"/>
    <col min="10" max="10" width="19.85546875" customWidth="1"/>
    <col min="11" max="11" width="19.140625" customWidth="1"/>
    <col min="12" max="14" width="18.140625" customWidth="1"/>
    <col min="15" max="15" width="19" customWidth="1"/>
    <col min="17" max="17" width="13.7109375" bestFit="1" customWidth="1"/>
  </cols>
  <sheetData>
    <row r="1" spans="1:15" ht="30" customHeight="1">
      <c r="A1" s="269" t="s">
        <v>467</v>
      </c>
      <c r="B1" s="269"/>
      <c r="C1" s="269"/>
      <c r="D1" s="269"/>
      <c r="E1" s="269"/>
      <c r="F1" s="269"/>
      <c r="G1" s="269"/>
      <c r="H1" s="269"/>
      <c r="I1" s="269"/>
      <c r="J1" s="269"/>
      <c r="K1" s="269"/>
      <c r="L1" s="269"/>
      <c r="M1" s="269"/>
      <c r="N1" s="269"/>
    </row>
    <row r="3" spans="1:15" ht="29.25" customHeight="1">
      <c r="A3" s="277" t="s">
        <v>2</v>
      </c>
      <c r="B3" s="277" t="s">
        <v>5</v>
      </c>
      <c r="C3" s="277" t="s">
        <v>452</v>
      </c>
      <c r="D3" s="277"/>
      <c r="E3" s="277"/>
      <c r="F3" s="277" t="s">
        <v>453</v>
      </c>
      <c r="G3" s="277"/>
      <c r="H3" s="277"/>
      <c r="I3" s="277" t="s">
        <v>454</v>
      </c>
      <c r="J3" s="277"/>
      <c r="K3" s="277"/>
      <c r="L3" s="277" t="s">
        <v>449</v>
      </c>
      <c r="M3" s="277"/>
      <c r="N3" s="277"/>
    </row>
    <row r="4" spans="1:15" ht="25.5" customHeight="1">
      <c r="A4" s="277"/>
      <c r="B4" s="277"/>
      <c r="C4" s="57" t="s">
        <v>447</v>
      </c>
      <c r="D4" s="57" t="s">
        <v>446</v>
      </c>
      <c r="E4" s="57" t="s">
        <v>15</v>
      </c>
      <c r="F4" s="57" t="s">
        <v>447</v>
      </c>
      <c r="G4" s="57" t="s">
        <v>446</v>
      </c>
      <c r="H4" s="57" t="s">
        <v>15</v>
      </c>
      <c r="I4" s="57" t="s">
        <v>447</v>
      </c>
      <c r="J4" s="57" t="s">
        <v>446</v>
      </c>
      <c r="K4" s="57" t="s">
        <v>15</v>
      </c>
      <c r="L4" s="57" t="s">
        <v>447</v>
      </c>
      <c r="M4" s="57" t="s">
        <v>446</v>
      </c>
      <c r="N4" s="57" t="s">
        <v>15</v>
      </c>
    </row>
    <row r="5" spans="1:15" ht="21">
      <c r="A5" s="279" t="s">
        <v>9</v>
      </c>
      <c r="B5" s="280"/>
      <c r="C5" s="280"/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</row>
    <row r="6" spans="1:15" ht="21">
      <c r="A6" s="61" t="s">
        <v>14</v>
      </c>
      <c r="B6" s="56" t="s">
        <v>18</v>
      </c>
      <c r="C6" s="58"/>
      <c r="D6" s="58"/>
      <c r="E6" s="58">
        <f t="shared" ref="E6:E17" si="0">C6+D6</f>
        <v>0</v>
      </c>
      <c r="F6" s="59"/>
      <c r="G6" s="59"/>
      <c r="H6" s="59">
        <f>F6+G6</f>
        <v>0</v>
      </c>
      <c r="I6" s="60">
        <v>81800</v>
      </c>
      <c r="J6" s="60"/>
      <c r="K6" s="60">
        <f t="shared" ref="K6:K17" si="1">I6+J6</f>
        <v>81800</v>
      </c>
      <c r="L6" s="63">
        <v>1431800</v>
      </c>
      <c r="M6" s="63">
        <v>0</v>
      </c>
      <c r="N6" s="63">
        <f t="shared" ref="N6:N17" si="2">L6+M6</f>
        <v>1431800</v>
      </c>
      <c r="O6" s="62">
        <f>SUM(L6:L17)</f>
        <v>17096500</v>
      </c>
    </row>
    <row r="7" spans="1:15" ht="21">
      <c r="A7" s="61" t="s">
        <v>14</v>
      </c>
      <c r="B7" s="56" t="s">
        <v>21</v>
      </c>
      <c r="C7" s="58"/>
      <c r="D7" s="58"/>
      <c r="E7" s="58">
        <f t="shared" si="0"/>
        <v>0</v>
      </c>
      <c r="F7" s="59"/>
      <c r="G7" s="59"/>
      <c r="H7" s="59"/>
      <c r="I7" s="60">
        <v>37000</v>
      </c>
      <c r="J7" s="60"/>
      <c r="K7" s="60">
        <f t="shared" si="1"/>
        <v>37000</v>
      </c>
      <c r="L7" s="63">
        <v>2946900</v>
      </c>
      <c r="M7" s="63">
        <v>225800</v>
      </c>
      <c r="N7" s="63">
        <f t="shared" si="2"/>
        <v>3172700</v>
      </c>
      <c r="O7" s="62">
        <f>SUM(M6:M17)</f>
        <v>6857800</v>
      </c>
    </row>
    <row r="8" spans="1:15" ht="21">
      <c r="A8" s="61" t="s">
        <v>22</v>
      </c>
      <c r="B8" s="56" t="s">
        <v>26</v>
      </c>
      <c r="C8" s="58">
        <v>2448900</v>
      </c>
      <c r="D8" s="58"/>
      <c r="E8" s="58">
        <f t="shared" si="0"/>
        <v>2448900</v>
      </c>
      <c r="F8" s="59"/>
      <c r="G8" s="59"/>
      <c r="H8" s="59">
        <f t="shared" ref="H8:H17" si="3">F8+G8</f>
        <v>0</v>
      </c>
      <c r="I8" s="60">
        <v>96600</v>
      </c>
      <c r="J8" s="60"/>
      <c r="K8" s="60">
        <f t="shared" si="1"/>
        <v>96600</v>
      </c>
      <c r="L8" s="63">
        <v>1125300</v>
      </c>
      <c r="M8" s="63">
        <v>0</v>
      </c>
      <c r="N8" s="63">
        <f t="shared" si="2"/>
        <v>1125300</v>
      </c>
      <c r="O8" s="62">
        <f>SUM(N6:N17)</f>
        <v>23954300</v>
      </c>
    </row>
    <row r="9" spans="1:15" ht="21">
      <c r="A9" s="61" t="s">
        <v>22</v>
      </c>
      <c r="B9" s="56" t="s">
        <v>226</v>
      </c>
      <c r="C9" s="58"/>
      <c r="D9" s="58"/>
      <c r="E9" s="58">
        <f t="shared" si="0"/>
        <v>0</v>
      </c>
      <c r="F9" s="59">
        <v>1358000</v>
      </c>
      <c r="G9" s="59"/>
      <c r="H9" s="59">
        <f t="shared" si="3"/>
        <v>1358000</v>
      </c>
      <c r="I9" s="60">
        <v>67000</v>
      </c>
      <c r="J9" s="60"/>
      <c r="K9" s="60">
        <f t="shared" si="1"/>
        <v>67000</v>
      </c>
      <c r="L9" s="63">
        <v>1501200</v>
      </c>
      <c r="M9" s="63">
        <v>0</v>
      </c>
      <c r="N9" s="63">
        <f t="shared" si="2"/>
        <v>1501200</v>
      </c>
    </row>
    <row r="10" spans="1:15" ht="21">
      <c r="A10" s="61" t="s">
        <v>27</v>
      </c>
      <c r="B10" s="56" t="s">
        <v>29</v>
      </c>
      <c r="C10" s="58">
        <v>1538000</v>
      </c>
      <c r="D10" s="58"/>
      <c r="E10" s="58">
        <f t="shared" si="0"/>
        <v>1538000</v>
      </c>
      <c r="F10" s="59"/>
      <c r="G10" s="59"/>
      <c r="H10" s="59">
        <f t="shared" si="3"/>
        <v>0</v>
      </c>
      <c r="I10" s="60">
        <v>67000</v>
      </c>
      <c r="J10" s="60"/>
      <c r="K10" s="60">
        <f t="shared" si="1"/>
        <v>67000</v>
      </c>
      <c r="L10" s="63">
        <v>1223600</v>
      </c>
      <c r="M10" s="63">
        <v>0</v>
      </c>
      <c r="N10" s="63">
        <f t="shared" si="2"/>
        <v>1223600</v>
      </c>
    </row>
    <row r="11" spans="1:15" ht="21">
      <c r="A11" s="61" t="s">
        <v>445</v>
      </c>
      <c r="B11" s="56" t="s">
        <v>450</v>
      </c>
      <c r="C11" s="58"/>
      <c r="D11" s="58"/>
      <c r="E11" s="58">
        <f t="shared" si="0"/>
        <v>0</v>
      </c>
      <c r="F11" s="59"/>
      <c r="G11" s="59"/>
      <c r="H11" s="59">
        <f t="shared" si="3"/>
        <v>0</v>
      </c>
      <c r="I11" s="60"/>
      <c r="J11" s="60"/>
      <c r="K11" s="60">
        <f t="shared" si="1"/>
        <v>0</v>
      </c>
      <c r="L11" s="63">
        <v>319700</v>
      </c>
      <c r="M11" s="63">
        <v>0</v>
      </c>
      <c r="N11" s="63">
        <f t="shared" si="2"/>
        <v>319700</v>
      </c>
    </row>
    <row r="12" spans="1:15" ht="21">
      <c r="A12" s="61" t="s">
        <v>176</v>
      </c>
      <c r="B12" s="56" t="s">
        <v>179</v>
      </c>
      <c r="C12" s="58">
        <v>200000</v>
      </c>
      <c r="D12" s="58"/>
      <c r="E12" s="58">
        <f t="shared" si="0"/>
        <v>200000</v>
      </c>
      <c r="F12" s="59">
        <v>885900</v>
      </c>
      <c r="G12" s="59"/>
      <c r="H12" s="59">
        <f t="shared" si="3"/>
        <v>885900</v>
      </c>
      <c r="I12" s="60"/>
      <c r="J12" s="60">
        <v>150000</v>
      </c>
      <c r="K12" s="60">
        <f t="shared" si="1"/>
        <v>150000</v>
      </c>
      <c r="L12" s="63">
        <v>0</v>
      </c>
      <c r="M12" s="63">
        <v>0</v>
      </c>
      <c r="N12" s="63">
        <f t="shared" si="2"/>
        <v>0</v>
      </c>
    </row>
    <row r="13" spans="1:15" ht="21">
      <c r="A13" s="61" t="s">
        <v>30</v>
      </c>
      <c r="B13" s="56" t="s">
        <v>33</v>
      </c>
      <c r="C13" s="58"/>
      <c r="D13" s="58"/>
      <c r="E13" s="58">
        <f t="shared" si="0"/>
        <v>0</v>
      </c>
      <c r="F13" s="59">
        <v>1090900</v>
      </c>
      <c r="G13" s="59"/>
      <c r="H13" s="59">
        <f t="shared" si="3"/>
        <v>1090900</v>
      </c>
      <c r="I13" s="60">
        <v>1369000</v>
      </c>
      <c r="J13" s="60">
        <v>929000</v>
      </c>
      <c r="K13" s="60">
        <f t="shared" si="1"/>
        <v>2298000</v>
      </c>
      <c r="L13" s="63">
        <v>1268000</v>
      </c>
      <c r="M13" s="63">
        <v>6632000</v>
      </c>
      <c r="N13" s="63">
        <f t="shared" si="2"/>
        <v>7900000</v>
      </c>
    </row>
    <row r="14" spans="1:15" ht="21">
      <c r="A14" s="61" t="s">
        <v>230</v>
      </c>
      <c r="B14" s="56" t="s">
        <v>232</v>
      </c>
      <c r="C14" s="58"/>
      <c r="D14" s="58"/>
      <c r="E14" s="58">
        <f t="shared" si="0"/>
        <v>0</v>
      </c>
      <c r="F14" s="59">
        <v>1358000</v>
      </c>
      <c r="G14" s="59"/>
      <c r="H14" s="59">
        <f t="shared" si="3"/>
        <v>1358000</v>
      </c>
      <c r="I14" s="60"/>
      <c r="J14" s="60"/>
      <c r="K14" s="60">
        <f t="shared" si="1"/>
        <v>0</v>
      </c>
      <c r="L14" s="63">
        <v>1103900</v>
      </c>
      <c r="M14" s="63">
        <v>0</v>
      </c>
      <c r="N14" s="63">
        <f t="shared" si="2"/>
        <v>1103900</v>
      </c>
    </row>
    <row r="15" spans="1:15" ht="21">
      <c r="A15" s="61" t="s">
        <v>444</v>
      </c>
      <c r="B15" s="56" t="s">
        <v>451</v>
      </c>
      <c r="C15" s="58"/>
      <c r="D15" s="58"/>
      <c r="E15" s="58">
        <f t="shared" si="0"/>
        <v>0</v>
      </c>
      <c r="F15" s="59"/>
      <c r="G15" s="59"/>
      <c r="H15" s="59">
        <f t="shared" si="3"/>
        <v>0</v>
      </c>
      <c r="I15" s="60"/>
      <c r="J15" s="60"/>
      <c r="K15" s="60">
        <f t="shared" si="1"/>
        <v>0</v>
      </c>
      <c r="L15" s="63">
        <v>2991300</v>
      </c>
      <c r="M15" s="63">
        <v>0</v>
      </c>
      <c r="N15" s="63">
        <f t="shared" si="2"/>
        <v>2991300</v>
      </c>
    </row>
    <row r="16" spans="1:15" ht="21">
      <c r="A16" s="61" t="s">
        <v>34</v>
      </c>
      <c r="B16" s="56" t="s">
        <v>36</v>
      </c>
      <c r="C16" s="58">
        <v>885900</v>
      </c>
      <c r="D16" s="58">
        <v>499000</v>
      </c>
      <c r="E16" s="58">
        <f t="shared" si="0"/>
        <v>1384900</v>
      </c>
      <c r="F16" s="59"/>
      <c r="G16" s="59">
        <v>499000</v>
      </c>
      <c r="H16" s="59">
        <f t="shared" si="3"/>
        <v>499000</v>
      </c>
      <c r="I16" s="60">
        <v>1290900</v>
      </c>
      <c r="J16" s="60"/>
      <c r="K16" s="60">
        <f t="shared" si="1"/>
        <v>1290900</v>
      </c>
      <c r="L16" s="63">
        <v>308800</v>
      </c>
      <c r="M16" s="63">
        <v>0</v>
      </c>
      <c r="N16" s="63">
        <f t="shared" si="2"/>
        <v>308800</v>
      </c>
    </row>
    <row r="17" spans="1:15" ht="21">
      <c r="A17" s="61" t="s">
        <v>34</v>
      </c>
      <c r="B17" s="56" t="s">
        <v>39</v>
      </c>
      <c r="C17" s="58"/>
      <c r="D17" s="58"/>
      <c r="E17" s="58">
        <f t="shared" si="0"/>
        <v>0</v>
      </c>
      <c r="F17" s="59">
        <v>1090900</v>
      </c>
      <c r="G17" s="59"/>
      <c r="H17" s="59">
        <f t="shared" si="3"/>
        <v>1090900</v>
      </c>
      <c r="I17" s="60">
        <v>321600</v>
      </c>
      <c r="J17" s="60"/>
      <c r="K17" s="60">
        <f t="shared" si="1"/>
        <v>321600</v>
      </c>
      <c r="L17" s="63">
        <v>2876000</v>
      </c>
      <c r="M17" s="63">
        <v>0</v>
      </c>
      <c r="N17" s="63">
        <f t="shared" si="2"/>
        <v>2876000</v>
      </c>
    </row>
    <row r="18" spans="1:15" ht="21">
      <c r="A18" s="281" t="s">
        <v>10</v>
      </c>
      <c r="B18" s="281"/>
      <c r="C18" s="281"/>
      <c r="D18" s="281"/>
      <c r="E18" s="281"/>
      <c r="F18" s="281"/>
      <c r="G18" s="281"/>
      <c r="H18" s="281"/>
      <c r="I18" s="281"/>
      <c r="J18" s="281"/>
      <c r="K18" s="281"/>
      <c r="L18" s="281"/>
      <c r="M18" s="281"/>
      <c r="N18" s="281"/>
    </row>
    <row r="19" spans="1:15" ht="21">
      <c r="A19" s="61" t="s">
        <v>41</v>
      </c>
      <c r="B19" s="56" t="s">
        <v>45</v>
      </c>
      <c r="C19" s="58">
        <v>1976800</v>
      </c>
      <c r="D19" s="58">
        <v>1443700</v>
      </c>
      <c r="E19" s="58">
        <f t="shared" ref="E19:E42" si="4">C19+D19</f>
        <v>3420500</v>
      </c>
      <c r="F19" s="59"/>
      <c r="G19" s="59"/>
      <c r="H19" s="59">
        <f>F19+G19</f>
        <v>0</v>
      </c>
      <c r="I19" s="60">
        <v>970900</v>
      </c>
      <c r="J19" s="60"/>
      <c r="K19" s="60">
        <f t="shared" ref="K19:K42" si="5">I19+J19</f>
        <v>970900</v>
      </c>
      <c r="L19" s="63">
        <v>2516700</v>
      </c>
      <c r="M19" s="63">
        <v>0</v>
      </c>
      <c r="N19" s="63">
        <f t="shared" ref="N19:N42" si="6">L19+M19</f>
        <v>2516700</v>
      </c>
      <c r="O19" s="62">
        <f>SUM(L19:L42)</f>
        <v>21864100</v>
      </c>
    </row>
    <row r="20" spans="1:15" ht="21">
      <c r="A20" s="61" t="s">
        <v>41</v>
      </c>
      <c r="B20" s="56" t="s">
        <v>43</v>
      </c>
      <c r="C20" s="58"/>
      <c r="D20" s="58"/>
      <c r="E20" s="58">
        <f t="shared" si="4"/>
        <v>0</v>
      </c>
      <c r="F20" s="59"/>
      <c r="G20" s="59"/>
      <c r="H20" s="59"/>
      <c r="I20" s="60">
        <v>1369000</v>
      </c>
      <c r="J20" s="60">
        <v>276800</v>
      </c>
      <c r="K20" s="60">
        <f t="shared" si="5"/>
        <v>1645800</v>
      </c>
      <c r="L20" s="63">
        <v>457600</v>
      </c>
      <c r="M20" s="63">
        <v>8143800</v>
      </c>
      <c r="N20" s="63">
        <f t="shared" si="6"/>
        <v>8601400</v>
      </c>
      <c r="O20" s="62">
        <f>SUM(M19:M42)</f>
        <v>24855900</v>
      </c>
    </row>
    <row r="21" spans="1:15" ht="21">
      <c r="A21" s="61" t="s">
        <v>317</v>
      </c>
      <c r="B21" s="56" t="s">
        <v>319</v>
      </c>
      <c r="C21" s="58">
        <v>200000</v>
      </c>
      <c r="D21" s="58"/>
      <c r="E21" s="58">
        <f t="shared" si="4"/>
        <v>200000</v>
      </c>
      <c r="F21" s="59"/>
      <c r="G21" s="59"/>
      <c r="H21" s="59">
        <f t="shared" ref="H21:H26" si="7">F21+G21</f>
        <v>0</v>
      </c>
      <c r="I21" s="60"/>
      <c r="J21" s="60"/>
      <c r="K21" s="60">
        <f t="shared" si="5"/>
        <v>0</v>
      </c>
      <c r="L21" s="63">
        <v>0</v>
      </c>
      <c r="M21" s="63">
        <v>0</v>
      </c>
      <c r="N21" s="63">
        <f t="shared" si="6"/>
        <v>0</v>
      </c>
      <c r="O21" s="62">
        <f>SUM(N19:N42)</f>
        <v>46720000</v>
      </c>
    </row>
    <row r="22" spans="1:15" ht="21">
      <c r="A22" s="61" t="s">
        <v>317</v>
      </c>
      <c r="B22" s="56" t="s">
        <v>411</v>
      </c>
      <c r="C22" s="58">
        <v>1358000</v>
      </c>
      <c r="D22" s="58">
        <v>330000</v>
      </c>
      <c r="E22" s="58">
        <f t="shared" si="4"/>
        <v>1688000</v>
      </c>
      <c r="F22" s="59"/>
      <c r="G22" s="59"/>
      <c r="H22" s="59">
        <f t="shared" si="7"/>
        <v>0</v>
      </c>
      <c r="I22" s="60"/>
      <c r="J22" s="60"/>
      <c r="K22" s="60">
        <f t="shared" si="5"/>
        <v>0</v>
      </c>
      <c r="L22" s="63">
        <v>190400</v>
      </c>
      <c r="M22" s="63">
        <v>0</v>
      </c>
      <c r="N22" s="63">
        <f t="shared" si="6"/>
        <v>190400</v>
      </c>
    </row>
    <row r="23" spans="1:15" ht="21">
      <c r="A23" s="61" t="s">
        <v>320</v>
      </c>
      <c r="B23" s="56" t="s">
        <v>322</v>
      </c>
      <c r="C23" s="58">
        <v>1090900</v>
      </c>
      <c r="D23" s="58"/>
      <c r="E23" s="58">
        <f t="shared" si="4"/>
        <v>1090900</v>
      </c>
      <c r="F23" s="59"/>
      <c r="G23" s="59"/>
      <c r="H23" s="59">
        <f t="shared" si="7"/>
        <v>0</v>
      </c>
      <c r="I23" s="60"/>
      <c r="J23" s="60"/>
      <c r="K23" s="60">
        <f t="shared" si="5"/>
        <v>0</v>
      </c>
      <c r="L23" s="63">
        <v>2453500</v>
      </c>
      <c r="M23" s="63">
        <v>2138800</v>
      </c>
      <c r="N23" s="63">
        <f t="shared" si="6"/>
        <v>4592300</v>
      </c>
    </row>
    <row r="24" spans="1:15" ht="21">
      <c r="A24" s="61" t="s">
        <v>182</v>
      </c>
      <c r="B24" s="56" t="s">
        <v>185</v>
      </c>
      <c r="C24" s="58">
        <v>1358000</v>
      </c>
      <c r="D24" s="58"/>
      <c r="E24" s="58">
        <f t="shared" si="4"/>
        <v>1358000</v>
      </c>
      <c r="F24" s="59"/>
      <c r="G24" s="59"/>
      <c r="H24" s="59">
        <f t="shared" si="7"/>
        <v>0</v>
      </c>
      <c r="I24" s="60"/>
      <c r="J24" s="60">
        <v>4535000</v>
      </c>
      <c r="K24" s="60">
        <f t="shared" si="5"/>
        <v>4535000</v>
      </c>
      <c r="L24" s="63">
        <v>0</v>
      </c>
      <c r="M24" s="63">
        <v>13000000</v>
      </c>
      <c r="N24" s="63">
        <f t="shared" si="6"/>
        <v>13000000</v>
      </c>
    </row>
    <row r="25" spans="1:15" ht="21">
      <c r="A25" s="61" t="s">
        <v>46</v>
      </c>
      <c r="B25" s="56" t="s">
        <v>50</v>
      </c>
      <c r="C25" s="58">
        <v>1101500</v>
      </c>
      <c r="D25" s="58">
        <v>9500000</v>
      </c>
      <c r="E25" s="58">
        <f t="shared" si="4"/>
        <v>10601500</v>
      </c>
      <c r="F25" s="59"/>
      <c r="G25" s="59"/>
      <c r="H25" s="59">
        <f t="shared" si="7"/>
        <v>0</v>
      </c>
      <c r="I25" s="60">
        <v>92700</v>
      </c>
      <c r="J25" s="60"/>
      <c r="K25" s="60">
        <f t="shared" si="5"/>
        <v>92700</v>
      </c>
      <c r="L25" s="63">
        <v>3592500</v>
      </c>
      <c r="M25" s="63">
        <v>0</v>
      </c>
      <c r="N25" s="63">
        <f t="shared" si="6"/>
        <v>3592500</v>
      </c>
    </row>
    <row r="26" spans="1:15" ht="21">
      <c r="A26" s="61" t="s">
        <v>46</v>
      </c>
      <c r="B26" s="56" t="s">
        <v>275</v>
      </c>
      <c r="C26" s="58"/>
      <c r="D26" s="58"/>
      <c r="E26" s="58">
        <f t="shared" si="4"/>
        <v>0</v>
      </c>
      <c r="F26" s="59"/>
      <c r="G26" s="59">
        <v>2390000</v>
      </c>
      <c r="H26" s="59">
        <f t="shared" si="7"/>
        <v>2390000</v>
      </c>
      <c r="I26" s="60"/>
      <c r="J26" s="60"/>
      <c r="K26" s="60">
        <f t="shared" si="5"/>
        <v>0</v>
      </c>
      <c r="L26" s="63">
        <v>308000</v>
      </c>
      <c r="M26" s="63">
        <v>1360000</v>
      </c>
      <c r="N26" s="63">
        <f t="shared" si="6"/>
        <v>1668000</v>
      </c>
    </row>
    <row r="27" spans="1:15" ht="21">
      <c r="A27" s="61" t="s">
        <v>46</v>
      </c>
      <c r="B27" s="56" t="s">
        <v>48</v>
      </c>
      <c r="C27" s="58"/>
      <c r="D27" s="58"/>
      <c r="E27" s="58">
        <f t="shared" si="4"/>
        <v>0</v>
      </c>
      <c r="F27" s="59"/>
      <c r="G27" s="59"/>
      <c r="H27" s="59"/>
      <c r="I27" s="60">
        <v>1941800</v>
      </c>
      <c r="J27" s="60"/>
      <c r="K27" s="60">
        <f t="shared" si="5"/>
        <v>1941800</v>
      </c>
      <c r="L27" s="63">
        <v>142100</v>
      </c>
      <c r="M27" s="63">
        <v>0</v>
      </c>
      <c r="N27" s="63">
        <f t="shared" si="6"/>
        <v>142100</v>
      </c>
    </row>
    <row r="28" spans="1:15" ht="21">
      <c r="A28" s="61" t="s">
        <v>443</v>
      </c>
      <c r="B28" s="56" t="s">
        <v>455</v>
      </c>
      <c r="C28" s="58"/>
      <c r="D28" s="58"/>
      <c r="E28" s="58">
        <f t="shared" si="4"/>
        <v>0</v>
      </c>
      <c r="F28" s="59"/>
      <c r="G28" s="59"/>
      <c r="H28" s="59">
        <f t="shared" ref="H28:H42" si="8">F28+G28</f>
        <v>0</v>
      </c>
      <c r="I28" s="60"/>
      <c r="J28" s="60"/>
      <c r="K28" s="60">
        <f t="shared" si="5"/>
        <v>0</v>
      </c>
      <c r="L28" s="63">
        <v>1207900</v>
      </c>
      <c r="M28" s="63">
        <v>0</v>
      </c>
      <c r="N28" s="63">
        <f t="shared" si="6"/>
        <v>1207900</v>
      </c>
    </row>
    <row r="29" spans="1:15" ht="21">
      <c r="A29" s="61" t="s">
        <v>326</v>
      </c>
      <c r="B29" s="56" t="s">
        <v>329</v>
      </c>
      <c r="C29" s="58">
        <v>3539800</v>
      </c>
      <c r="D29" s="58"/>
      <c r="E29" s="58">
        <f t="shared" si="4"/>
        <v>3539800</v>
      </c>
      <c r="F29" s="59"/>
      <c r="G29" s="59"/>
      <c r="H29" s="59">
        <f t="shared" si="8"/>
        <v>0</v>
      </c>
      <c r="I29" s="60"/>
      <c r="J29" s="60"/>
      <c r="K29" s="60">
        <f t="shared" si="5"/>
        <v>0</v>
      </c>
      <c r="L29" s="63">
        <v>0</v>
      </c>
      <c r="M29" s="63">
        <v>0</v>
      </c>
      <c r="N29" s="63">
        <f t="shared" si="6"/>
        <v>0</v>
      </c>
    </row>
    <row r="30" spans="1:15" ht="21">
      <c r="A30" s="61" t="s">
        <v>442</v>
      </c>
      <c r="B30" s="56" t="s">
        <v>456</v>
      </c>
      <c r="C30" s="58"/>
      <c r="D30" s="58"/>
      <c r="E30" s="58">
        <f t="shared" si="4"/>
        <v>0</v>
      </c>
      <c r="F30" s="59"/>
      <c r="G30" s="59"/>
      <c r="H30" s="59">
        <f t="shared" si="8"/>
        <v>0</v>
      </c>
      <c r="I30" s="60"/>
      <c r="J30" s="60"/>
      <c r="K30" s="60">
        <f t="shared" si="5"/>
        <v>0</v>
      </c>
      <c r="L30" s="63">
        <v>171100</v>
      </c>
      <c r="M30" s="63">
        <v>0</v>
      </c>
      <c r="N30" s="63">
        <f t="shared" si="6"/>
        <v>171100</v>
      </c>
    </row>
    <row r="31" spans="1:15" ht="21">
      <c r="A31" s="61" t="s">
        <v>424</v>
      </c>
      <c r="B31" s="56" t="s">
        <v>426</v>
      </c>
      <c r="C31" s="58"/>
      <c r="D31" s="58">
        <v>4220000</v>
      </c>
      <c r="E31" s="58">
        <f t="shared" si="4"/>
        <v>4220000</v>
      </c>
      <c r="F31" s="59"/>
      <c r="G31" s="59"/>
      <c r="H31" s="59">
        <f t="shared" si="8"/>
        <v>0</v>
      </c>
      <c r="I31" s="60"/>
      <c r="J31" s="60"/>
      <c r="K31" s="60">
        <f t="shared" si="5"/>
        <v>0</v>
      </c>
      <c r="L31" s="63">
        <v>297000</v>
      </c>
      <c r="M31" s="63">
        <v>0</v>
      </c>
      <c r="N31" s="63">
        <f t="shared" si="6"/>
        <v>297000</v>
      </c>
    </row>
    <row r="32" spans="1:15" ht="21">
      <c r="A32" s="61" t="s">
        <v>51</v>
      </c>
      <c r="B32" s="56" t="s">
        <v>53</v>
      </c>
      <c r="C32" s="58"/>
      <c r="D32" s="58"/>
      <c r="E32" s="58">
        <f t="shared" si="4"/>
        <v>0</v>
      </c>
      <c r="F32" s="59"/>
      <c r="G32" s="59"/>
      <c r="H32" s="59">
        <f t="shared" si="8"/>
        <v>0</v>
      </c>
      <c r="I32" s="60">
        <v>970900</v>
      </c>
      <c r="J32" s="60">
        <v>12239600</v>
      </c>
      <c r="K32" s="60">
        <f t="shared" si="5"/>
        <v>13210500</v>
      </c>
      <c r="L32" s="63">
        <v>576100</v>
      </c>
      <c r="M32" s="63">
        <v>0</v>
      </c>
      <c r="N32" s="63">
        <f t="shared" si="6"/>
        <v>576100</v>
      </c>
    </row>
    <row r="33" spans="1:17" ht="21">
      <c r="A33" s="61" t="s">
        <v>188</v>
      </c>
      <c r="B33" s="56" t="s">
        <v>190</v>
      </c>
      <c r="C33" s="58">
        <v>1090900</v>
      </c>
      <c r="D33" s="58">
        <v>1890000</v>
      </c>
      <c r="E33" s="58">
        <f t="shared" si="4"/>
        <v>2980900</v>
      </c>
      <c r="F33" s="59">
        <v>1358000</v>
      </c>
      <c r="G33" s="59">
        <v>8474000</v>
      </c>
      <c r="H33" s="59">
        <f t="shared" si="8"/>
        <v>9832000</v>
      </c>
      <c r="I33" s="60"/>
      <c r="J33" s="60">
        <v>636000</v>
      </c>
      <c r="K33" s="60">
        <f t="shared" si="5"/>
        <v>636000</v>
      </c>
      <c r="L33" s="63">
        <v>0</v>
      </c>
      <c r="M33" s="63">
        <v>0</v>
      </c>
      <c r="N33" s="63">
        <f t="shared" si="6"/>
        <v>0</v>
      </c>
    </row>
    <row r="34" spans="1:17" ht="21">
      <c r="A34" s="61" t="s">
        <v>54</v>
      </c>
      <c r="B34" s="56" t="s">
        <v>56</v>
      </c>
      <c r="C34" s="58"/>
      <c r="D34" s="58"/>
      <c r="E34" s="58">
        <f t="shared" si="4"/>
        <v>0</v>
      </c>
      <c r="F34" s="59"/>
      <c r="G34" s="59">
        <v>300000</v>
      </c>
      <c r="H34" s="59">
        <f t="shared" si="8"/>
        <v>300000</v>
      </c>
      <c r="I34" s="60">
        <v>268000</v>
      </c>
      <c r="J34" s="60">
        <v>600000</v>
      </c>
      <c r="K34" s="60">
        <f t="shared" si="5"/>
        <v>868000</v>
      </c>
      <c r="L34" s="63">
        <v>61000</v>
      </c>
      <c r="M34" s="63">
        <v>0</v>
      </c>
      <c r="N34" s="63">
        <f t="shared" si="6"/>
        <v>61000</v>
      </c>
    </row>
    <row r="35" spans="1:17" ht="21">
      <c r="A35" s="61" t="s">
        <v>193</v>
      </c>
      <c r="B35" s="56" t="s">
        <v>195</v>
      </c>
      <c r="C35" s="58">
        <v>1090900</v>
      </c>
      <c r="D35" s="58"/>
      <c r="E35" s="58">
        <f t="shared" si="4"/>
        <v>1090900</v>
      </c>
      <c r="F35" s="59">
        <v>1358000</v>
      </c>
      <c r="G35" s="59"/>
      <c r="H35" s="59">
        <f t="shared" si="8"/>
        <v>1358000</v>
      </c>
      <c r="I35" s="60"/>
      <c r="J35" s="60">
        <v>142500</v>
      </c>
      <c r="K35" s="60">
        <f t="shared" si="5"/>
        <v>142500</v>
      </c>
      <c r="L35" s="63">
        <v>254400</v>
      </c>
      <c r="M35" s="63">
        <v>213300</v>
      </c>
      <c r="N35" s="63">
        <f t="shared" si="6"/>
        <v>467700</v>
      </c>
    </row>
    <row r="36" spans="1:17" ht="21">
      <c r="A36" s="61" t="s">
        <v>278</v>
      </c>
      <c r="B36" s="56" t="s">
        <v>280</v>
      </c>
      <c r="C36" s="58"/>
      <c r="D36" s="58">
        <v>945000</v>
      </c>
      <c r="E36" s="58">
        <f t="shared" si="4"/>
        <v>945000</v>
      </c>
      <c r="F36" s="59"/>
      <c r="G36" s="59">
        <v>944000</v>
      </c>
      <c r="H36" s="59">
        <f t="shared" si="8"/>
        <v>944000</v>
      </c>
      <c r="I36" s="60"/>
      <c r="J36" s="60"/>
      <c r="K36" s="60">
        <f t="shared" si="5"/>
        <v>0</v>
      </c>
      <c r="L36" s="63">
        <v>2964300</v>
      </c>
      <c r="M36" s="63">
        <v>0</v>
      </c>
      <c r="N36" s="63">
        <f t="shared" si="6"/>
        <v>2964300</v>
      </c>
    </row>
    <row r="37" spans="1:17" ht="21">
      <c r="A37" s="61" t="s">
        <v>441</v>
      </c>
      <c r="B37" s="56" t="s">
        <v>457</v>
      </c>
      <c r="C37" s="58"/>
      <c r="D37" s="58"/>
      <c r="E37" s="58">
        <f t="shared" si="4"/>
        <v>0</v>
      </c>
      <c r="F37" s="59"/>
      <c r="G37" s="59"/>
      <c r="H37" s="59">
        <f t="shared" si="8"/>
        <v>0</v>
      </c>
      <c r="I37" s="60"/>
      <c r="J37" s="60"/>
      <c r="K37" s="60">
        <f t="shared" si="5"/>
        <v>0</v>
      </c>
      <c r="L37" s="63">
        <v>1537200</v>
      </c>
      <c r="M37" s="63">
        <v>0</v>
      </c>
      <c r="N37" s="63">
        <f t="shared" si="6"/>
        <v>1537200</v>
      </c>
    </row>
    <row r="38" spans="1:17" ht="21">
      <c r="A38" s="61" t="s">
        <v>237</v>
      </c>
      <c r="B38" s="56" t="s">
        <v>239</v>
      </c>
      <c r="C38" s="58"/>
      <c r="D38" s="58"/>
      <c r="E38" s="58">
        <f t="shared" si="4"/>
        <v>0</v>
      </c>
      <c r="F38" s="59">
        <v>1940900</v>
      </c>
      <c r="G38" s="59"/>
      <c r="H38" s="59">
        <f t="shared" si="8"/>
        <v>1940900</v>
      </c>
      <c r="I38" s="60"/>
      <c r="J38" s="60"/>
      <c r="K38" s="60">
        <f t="shared" si="5"/>
        <v>0</v>
      </c>
      <c r="L38" s="63">
        <v>0</v>
      </c>
      <c r="M38" s="63">
        <v>0</v>
      </c>
      <c r="N38" s="63">
        <f t="shared" si="6"/>
        <v>0</v>
      </c>
    </row>
    <row r="39" spans="1:17" ht="21">
      <c r="A39" s="61" t="s">
        <v>241</v>
      </c>
      <c r="B39" s="56" t="s">
        <v>243</v>
      </c>
      <c r="C39" s="58"/>
      <c r="D39" s="58"/>
      <c r="E39" s="58">
        <f t="shared" si="4"/>
        <v>0</v>
      </c>
      <c r="F39" s="59">
        <v>885900</v>
      </c>
      <c r="G39" s="59"/>
      <c r="H39" s="59">
        <f t="shared" si="8"/>
        <v>885900</v>
      </c>
      <c r="I39" s="60"/>
      <c r="J39" s="60"/>
      <c r="K39" s="60">
        <f t="shared" si="5"/>
        <v>0</v>
      </c>
      <c r="L39" s="63">
        <v>1889000</v>
      </c>
      <c r="M39" s="63">
        <v>0</v>
      </c>
      <c r="N39" s="63">
        <f t="shared" si="6"/>
        <v>1889000</v>
      </c>
    </row>
    <row r="40" spans="1:17" ht="21">
      <c r="A40" s="61" t="s">
        <v>57</v>
      </c>
      <c r="B40" s="56" t="s">
        <v>59</v>
      </c>
      <c r="C40" s="58">
        <v>180000</v>
      </c>
      <c r="D40" s="58"/>
      <c r="E40" s="58">
        <f t="shared" si="4"/>
        <v>180000</v>
      </c>
      <c r="F40" s="59"/>
      <c r="G40" s="59"/>
      <c r="H40" s="59">
        <f t="shared" si="8"/>
        <v>0</v>
      </c>
      <c r="I40" s="60">
        <v>970900</v>
      </c>
      <c r="J40" s="60"/>
      <c r="K40" s="60">
        <f t="shared" si="5"/>
        <v>970900</v>
      </c>
      <c r="L40" s="63">
        <v>131400</v>
      </c>
      <c r="M40" s="63">
        <v>0</v>
      </c>
      <c r="N40" s="63">
        <f t="shared" si="6"/>
        <v>131400</v>
      </c>
    </row>
    <row r="41" spans="1:17" ht="21">
      <c r="A41" s="61" t="s">
        <v>440</v>
      </c>
      <c r="B41" s="56" t="s">
        <v>458</v>
      </c>
      <c r="C41" s="58"/>
      <c r="D41" s="58"/>
      <c r="E41" s="58">
        <f t="shared" si="4"/>
        <v>0</v>
      </c>
      <c r="F41" s="59"/>
      <c r="G41" s="59"/>
      <c r="H41" s="59">
        <f t="shared" si="8"/>
        <v>0</v>
      </c>
      <c r="I41" s="60"/>
      <c r="J41" s="60"/>
      <c r="K41" s="60">
        <f t="shared" si="5"/>
        <v>0</v>
      </c>
      <c r="L41" s="63">
        <v>1106200</v>
      </c>
      <c r="M41" s="63">
        <v>0</v>
      </c>
      <c r="N41" s="63">
        <f t="shared" si="6"/>
        <v>1106200</v>
      </c>
    </row>
    <row r="42" spans="1:17" ht="21">
      <c r="A42" s="61" t="s">
        <v>60</v>
      </c>
      <c r="B42" s="56" t="s">
        <v>62</v>
      </c>
      <c r="C42" s="58"/>
      <c r="D42" s="58"/>
      <c r="E42" s="58">
        <f t="shared" si="4"/>
        <v>0</v>
      </c>
      <c r="F42" s="59"/>
      <c r="G42" s="59"/>
      <c r="H42" s="59">
        <f t="shared" si="8"/>
        <v>0</v>
      </c>
      <c r="I42" s="60">
        <v>204500</v>
      </c>
      <c r="J42" s="60"/>
      <c r="K42" s="60">
        <f t="shared" si="5"/>
        <v>204500</v>
      </c>
      <c r="L42" s="63">
        <v>2007700</v>
      </c>
      <c r="M42" s="63">
        <v>0</v>
      </c>
      <c r="N42" s="63">
        <f t="shared" si="6"/>
        <v>2007700</v>
      </c>
    </row>
    <row r="43" spans="1:17" ht="21">
      <c r="A43" s="281" t="s">
        <v>11</v>
      </c>
      <c r="B43" s="281"/>
      <c r="C43" s="281"/>
      <c r="D43" s="281"/>
      <c r="E43" s="281"/>
      <c r="F43" s="281"/>
      <c r="G43" s="281"/>
      <c r="H43" s="281"/>
      <c r="I43" s="281"/>
      <c r="J43" s="281"/>
      <c r="K43" s="281"/>
      <c r="L43" s="281"/>
      <c r="M43" s="281"/>
      <c r="N43" s="281"/>
    </row>
    <row r="44" spans="1:17" ht="21">
      <c r="A44" s="61" t="s">
        <v>64</v>
      </c>
      <c r="B44" s="56" t="s">
        <v>66</v>
      </c>
      <c r="C44" s="58">
        <v>2749000</v>
      </c>
      <c r="D44" s="58"/>
      <c r="E44" s="58">
        <f>C44+D44</f>
        <v>2749000</v>
      </c>
      <c r="F44" s="59"/>
      <c r="G44" s="59">
        <v>7318500</v>
      </c>
      <c r="H44" s="59">
        <f>F44+G44</f>
        <v>7318500</v>
      </c>
      <c r="I44" s="60">
        <v>3375900</v>
      </c>
      <c r="J44" s="60"/>
      <c r="K44" s="60">
        <f>I44+J44</f>
        <v>3375900</v>
      </c>
      <c r="L44" s="66">
        <v>9694000</v>
      </c>
      <c r="M44" s="66">
        <v>0</v>
      </c>
      <c r="N44" s="66">
        <f t="shared" ref="N44:N75" si="9">L44+M44</f>
        <v>9694000</v>
      </c>
      <c r="O44" s="62">
        <f>SUM(L44:L95)</f>
        <v>503404200</v>
      </c>
      <c r="Q44" s="62"/>
    </row>
    <row r="45" spans="1:17" ht="21">
      <c r="A45" s="61" t="s">
        <v>64</v>
      </c>
      <c r="B45" s="56" t="s">
        <v>70</v>
      </c>
      <c r="C45" s="58">
        <v>2531800</v>
      </c>
      <c r="D45" s="58"/>
      <c r="E45" s="58">
        <f>C45+D45</f>
        <v>2531800</v>
      </c>
      <c r="F45" s="59">
        <v>499900</v>
      </c>
      <c r="G45" s="59"/>
      <c r="H45" s="59">
        <f>F45+G45</f>
        <v>499900</v>
      </c>
      <c r="I45" s="60">
        <v>3418000</v>
      </c>
      <c r="J45" s="60"/>
      <c r="K45" s="60">
        <f>I45+J45</f>
        <v>3418000</v>
      </c>
      <c r="L45" s="63">
        <v>12024900</v>
      </c>
      <c r="M45" s="63">
        <v>0</v>
      </c>
      <c r="N45" s="63">
        <f t="shared" si="9"/>
        <v>12024900</v>
      </c>
      <c r="O45" s="62">
        <f>SUM(M44:M95)</f>
        <v>113680900</v>
      </c>
    </row>
    <row r="46" spans="1:17" ht="21">
      <c r="A46" s="61" t="s">
        <v>64</v>
      </c>
      <c r="B46" s="56" t="s">
        <v>448</v>
      </c>
      <c r="C46" s="58">
        <v>21326000</v>
      </c>
      <c r="D46" s="58"/>
      <c r="E46" s="58">
        <f>C46+D46</f>
        <v>21326000</v>
      </c>
      <c r="F46" s="59"/>
      <c r="G46" s="59"/>
      <c r="H46" s="59"/>
      <c r="I46" s="60"/>
      <c r="J46" s="60"/>
      <c r="K46" s="60"/>
      <c r="L46" s="63">
        <v>11578900</v>
      </c>
      <c r="M46" s="63">
        <v>0</v>
      </c>
      <c r="N46" s="63">
        <f t="shared" si="9"/>
        <v>11578900</v>
      </c>
      <c r="O46" s="62">
        <f>O44+O45</f>
        <v>617085100</v>
      </c>
    </row>
    <row r="47" spans="1:17" ht="21">
      <c r="A47" s="61" t="s">
        <v>64</v>
      </c>
      <c r="B47" s="56" t="s">
        <v>245</v>
      </c>
      <c r="C47" s="58"/>
      <c r="D47" s="58"/>
      <c r="E47" s="58">
        <f>C47+D47</f>
        <v>0</v>
      </c>
      <c r="F47" s="59">
        <v>1358000</v>
      </c>
      <c r="G47" s="59"/>
      <c r="H47" s="59">
        <f>F47+G47</f>
        <v>1358000</v>
      </c>
      <c r="I47" s="60"/>
      <c r="J47" s="60"/>
      <c r="K47" s="60">
        <f>I47+J47</f>
        <v>0</v>
      </c>
      <c r="L47" s="63"/>
      <c r="M47" s="63">
        <v>0</v>
      </c>
      <c r="N47" s="63">
        <f t="shared" si="9"/>
        <v>0</v>
      </c>
    </row>
    <row r="48" spans="1:17" ht="21">
      <c r="A48" s="61" t="s">
        <v>64</v>
      </c>
      <c r="B48" s="56" t="s">
        <v>69</v>
      </c>
      <c r="C48" s="58"/>
      <c r="D48" s="58"/>
      <c r="E48" s="58">
        <f>C48+D48</f>
        <v>0</v>
      </c>
      <c r="F48" s="59"/>
      <c r="G48" s="59"/>
      <c r="H48" s="59"/>
      <c r="I48" s="60">
        <v>15981000</v>
      </c>
      <c r="J48" s="60"/>
      <c r="K48" s="60">
        <f>I48+J48</f>
        <v>15981000</v>
      </c>
      <c r="L48" s="63">
        <v>272089100</v>
      </c>
      <c r="M48" s="63">
        <v>0</v>
      </c>
      <c r="N48" s="63">
        <f t="shared" si="9"/>
        <v>272089100</v>
      </c>
    </row>
    <row r="49" spans="1:14" ht="21">
      <c r="A49" s="61" t="s">
        <v>64</v>
      </c>
      <c r="B49" s="56" t="s">
        <v>460</v>
      </c>
      <c r="C49" s="58"/>
      <c r="D49" s="58"/>
      <c r="E49" s="58"/>
      <c r="F49" s="59"/>
      <c r="G49" s="59"/>
      <c r="H49" s="59"/>
      <c r="I49" s="60"/>
      <c r="J49" s="60"/>
      <c r="K49" s="60"/>
      <c r="L49" s="63">
        <v>1498000</v>
      </c>
      <c r="M49" s="63">
        <v>0</v>
      </c>
      <c r="N49" s="63">
        <f t="shared" si="9"/>
        <v>1498000</v>
      </c>
    </row>
    <row r="50" spans="1:14" ht="21">
      <c r="A50" s="61" t="s">
        <v>64</v>
      </c>
      <c r="B50" s="56" t="s">
        <v>198</v>
      </c>
      <c r="C50" s="58"/>
      <c r="D50" s="58"/>
      <c r="E50" s="58">
        <f t="shared" ref="E50:E65" si="10">C50+D50</f>
        <v>0</v>
      </c>
      <c r="F50" s="59"/>
      <c r="G50" s="59"/>
      <c r="H50" s="59"/>
      <c r="I50" s="60"/>
      <c r="J50" s="60">
        <v>382100</v>
      </c>
      <c r="K50" s="60">
        <f t="shared" ref="K50:K65" si="11">I50+J50</f>
        <v>382100</v>
      </c>
      <c r="L50" s="63">
        <v>3047400</v>
      </c>
      <c r="M50" s="63">
        <v>0</v>
      </c>
      <c r="N50" s="63">
        <f t="shared" si="9"/>
        <v>3047400</v>
      </c>
    </row>
    <row r="51" spans="1:14" ht="21">
      <c r="A51" s="61" t="s">
        <v>64</v>
      </c>
      <c r="B51" s="56" t="s">
        <v>250</v>
      </c>
      <c r="C51" s="58">
        <v>1090900</v>
      </c>
      <c r="D51" s="58"/>
      <c r="E51" s="58">
        <f t="shared" si="10"/>
        <v>1090900</v>
      </c>
      <c r="F51" s="59">
        <v>6463000</v>
      </c>
      <c r="G51" s="59"/>
      <c r="H51" s="59">
        <f t="shared" ref="H51:H65" si="12">F51+G51</f>
        <v>6463000</v>
      </c>
      <c r="I51" s="60"/>
      <c r="J51" s="60"/>
      <c r="K51" s="60">
        <f t="shared" si="11"/>
        <v>0</v>
      </c>
      <c r="L51" s="63"/>
      <c r="M51" s="63">
        <v>0</v>
      </c>
      <c r="N51" s="63">
        <f t="shared" si="9"/>
        <v>0</v>
      </c>
    </row>
    <row r="52" spans="1:14" ht="21">
      <c r="A52" s="61" t="s">
        <v>64</v>
      </c>
      <c r="B52" s="56" t="s">
        <v>247</v>
      </c>
      <c r="C52" s="58"/>
      <c r="D52" s="58"/>
      <c r="E52" s="58">
        <f t="shared" si="10"/>
        <v>0</v>
      </c>
      <c r="F52" s="59">
        <v>13312000</v>
      </c>
      <c r="G52" s="59">
        <v>6980000</v>
      </c>
      <c r="H52" s="59">
        <f t="shared" si="12"/>
        <v>20292000</v>
      </c>
      <c r="I52" s="60"/>
      <c r="J52" s="60"/>
      <c r="K52" s="60">
        <f t="shared" si="11"/>
        <v>0</v>
      </c>
      <c r="L52" s="63"/>
      <c r="M52" s="63">
        <v>0</v>
      </c>
      <c r="N52" s="63">
        <f t="shared" si="9"/>
        <v>0</v>
      </c>
    </row>
    <row r="53" spans="1:14" ht="21">
      <c r="A53" s="61" t="s">
        <v>64</v>
      </c>
      <c r="B53" s="56" t="s">
        <v>68</v>
      </c>
      <c r="C53" s="58"/>
      <c r="D53" s="58"/>
      <c r="E53" s="58">
        <f t="shared" si="10"/>
        <v>0</v>
      </c>
      <c r="F53" s="59">
        <v>1664000</v>
      </c>
      <c r="G53" s="59"/>
      <c r="H53" s="59">
        <f t="shared" si="12"/>
        <v>1664000</v>
      </c>
      <c r="I53" s="60">
        <v>825000</v>
      </c>
      <c r="J53" s="60">
        <v>2291100</v>
      </c>
      <c r="K53" s="60">
        <f t="shared" si="11"/>
        <v>3116100</v>
      </c>
      <c r="L53" s="63"/>
      <c r="M53" s="63">
        <v>0</v>
      </c>
      <c r="N53" s="63">
        <f t="shared" si="9"/>
        <v>0</v>
      </c>
    </row>
    <row r="54" spans="1:14" ht="21">
      <c r="A54" s="61" t="s">
        <v>64</v>
      </c>
      <c r="B54" s="56" t="s">
        <v>77</v>
      </c>
      <c r="C54" s="58">
        <v>39033400</v>
      </c>
      <c r="D54" s="58"/>
      <c r="E54" s="58">
        <f t="shared" si="10"/>
        <v>39033400</v>
      </c>
      <c r="F54" s="59">
        <v>7638400</v>
      </c>
      <c r="G54" s="59"/>
      <c r="H54" s="59">
        <f t="shared" si="12"/>
        <v>7638400</v>
      </c>
      <c r="I54" s="60">
        <v>165243000</v>
      </c>
      <c r="J54" s="60"/>
      <c r="K54" s="60">
        <f t="shared" si="11"/>
        <v>165243000</v>
      </c>
      <c r="L54" s="63">
        <v>155178800</v>
      </c>
      <c r="M54" s="63">
        <v>0</v>
      </c>
      <c r="N54" s="63">
        <f t="shared" si="9"/>
        <v>155178800</v>
      </c>
    </row>
    <row r="55" spans="1:14" ht="21">
      <c r="A55" s="61" t="s">
        <v>340</v>
      </c>
      <c r="B55" s="56" t="s">
        <v>343</v>
      </c>
      <c r="C55" s="58">
        <v>1976800</v>
      </c>
      <c r="D55" s="58"/>
      <c r="E55" s="58">
        <f t="shared" si="10"/>
        <v>1976800</v>
      </c>
      <c r="F55" s="59"/>
      <c r="G55" s="59"/>
      <c r="H55" s="59">
        <f t="shared" si="12"/>
        <v>0</v>
      </c>
      <c r="I55" s="60"/>
      <c r="J55" s="60"/>
      <c r="K55" s="60">
        <f t="shared" si="11"/>
        <v>0</v>
      </c>
      <c r="L55" s="63">
        <v>279200</v>
      </c>
      <c r="M55" s="63">
        <v>0</v>
      </c>
      <c r="N55" s="63">
        <f t="shared" si="9"/>
        <v>279200</v>
      </c>
    </row>
    <row r="56" spans="1:14" ht="21">
      <c r="A56" s="61" t="s">
        <v>344</v>
      </c>
      <c r="B56" s="56" t="s">
        <v>346</v>
      </c>
      <c r="C56" s="58">
        <v>10600</v>
      </c>
      <c r="D56" s="58"/>
      <c r="E56" s="58">
        <f t="shared" si="10"/>
        <v>10600</v>
      </c>
      <c r="F56" s="59"/>
      <c r="G56" s="59"/>
      <c r="H56" s="59">
        <f t="shared" si="12"/>
        <v>0</v>
      </c>
      <c r="I56" s="60"/>
      <c r="J56" s="60"/>
      <c r="K56" s="60">
        <f t="shared" si="11"/>
        <v>0</v>
      </c>
      <c r="L56" s="63">
        <v>0</v>
      </c>
      <c r="M56" s="63">
        <v>80300</v>
      </c>
      <c r="N56" s="63">
        <f t="shared" si="9"/>
        <v>80300</v>
      </c>
    </row>
    <row r="57" spans="1:14" ht="21">
      <c r="A57" s="61" t="s">
        <v>199</v>
      </c>
      <c r="B57" s="56" t="s">
        <v>201</v>
      </c>
      <c r="C57" s="58">
        <v>180000</v>
      </c>
      <c r="D57" s="58">
        <v>5054400</v>
      </c>
      <c r="E57" s="58">
        <f t="shared" si="10"/>
        <v>5234400</v>
      </c>
      <c r="F57" s="59"/>
      <c r="G57" s="59">
        <v>23026000</v>
      </c>
      <c r="H57" s="59">
        <f t="shared" si="12"/>
        <v>23026000</v>
      </c>
      <c r="I57" s="60"/>
      <c r="J57" s="60">
        <v>5439600</v>
      </c>
      <c r="K57" s="60">
        <f t="shared" si="11"/>
        <v>5439600</v>
      </c>
      <c r="L57" s="63">
        <v>2792000</v>
      </c>
      <c r="M57" s="63">
        <v>0</v>
      </c>
      <c r="N57" s="63">
        <f t="shared" si="9"/>
        <v>2792000</v>
      </c>
    </row>
    <row r="58" spans="1:14" ht="21">
      <c r="A58" s="61" t="s">
        <v>285</v>
      </c>
      <c r="B58" s="56" t="s">
        <v>287</v>
      </c>
      <c r="C58" s="58">
        <v>885900</v>
      </c>
      <c r="D58" s="58"/>
      <c r="E58" s="58">
        <f t="shared" si="10"/>
        <v>885900</v>
      </c>
      <c r="F58" s="59"/>
      <c r="G58" s="59">
        <v>870000</v>
      </c>
      <c r="H58" s="59">
        <f t="shared" si="12"/>
        <v>870000</v>
      </c>
      <c r="I58" s="60"/>
      <c r="J58" s="60"/>
      <c r="K58" s="60">
        <f t="shared" si="11"/>
        <v>0</v>
      </c>
      <c r="L58" s="63">
        <v>0</v>
      </c>
      <c r="M58" s="63">
        <v>0</v>
      </c>
      <c r="N58" s="63">
        <f t="shared" si="9"/>
        <v>0</v>
      </c>
    </row>
    <row r="59" spans="1:14" ht="21">
      <c r="A59" s="61" t="s">
        <v>103</v>
      </c>
      <c r="B59" s="56" t="s">
        <v>350</v>
      </c>
      <c r="C59" s="58">
        <v>896500</v>
      </c>
      <c r="D59" s="58"/>
      <c r="E59" s="58">
        <f t="shared" si="10"/>
        <v>896500</v>
      </c>
      <c r="F59" s="59"/>
      <c r="G59" s="59"/>
      <c r="H59" s="59">
        <f t="shared" si="12"/>
        <v>0</v>
      </c>
      <c r="I59" s="60"/>
      <c r="J59" s="60"/>
      <c r="K59" s="60">
        <f t="shared" si="11"/>
        <v>0</v>
      </c>
      <c r="L59" s="63">
        <v>1592600</v>
      </c>
      <c r="M59" s="63">
        <v>0</v>
      </c>
      <c r="N59" s="63">
        <f t="shared" si="9"/>
        <v>1592600</v>
      </c>
    </row>
    <row r="60" spans="1:14" ht="21">
      <c r="A60" s="61" t="s">
        <v>103</v>
      </c>
      <c r="B60" s="56" t="s">
        <v>106</v>
      </c>
      <c r="C60" s="58"/>
      <c r="D60" s="58"/>
      <c r="E60" s="58">
        <f t="shared" si="10"/>
        <v>0</v>
      </c>
      <c r="F60" s="59"/>
      <c r="G60" s="59">
        <v>239000</v>
      </c>
      <c r="H60" s="59">
        <f t="shared" si="12"/>
        <v>239000</v>
      </c>
      <c r="I60" s="60">
        <v>730400</v>
      </c>
      <c r="J60" s="60"/>
      <c r="K60" s="60">
        <f t="shared" si="11"/>
        <v>730400</v>
      </c>
      <c r="L60" s="63">
        <v>232500</v>
      </c>
      <c r="M60" s="63">
        <v>0</v>
      </c>
      <c r="N60" s="63">
        <f t="shared" si="9"/>
        <v>232500</v>
      </c>
    </row>
    <row r="61" spans="1:14" ht="21">
      <c r="A61" s="61" t="s">
        <v>352</v>
      </c>
      <c r="B61" s="56" t="s">
        <v>354</v>
      </c>
      <c r="C61" s="58">
        <v>885900</v>
      </c>
      <c r="D61" s="58"/>
      <c r="E61" s="58">
        <f t="shared" si="10"/>
        <v>885900</v>
      </c>
      <c r="F61" s="59"/>
      <c r="G61" s="59"/>
      <c r="H61" s="59">
        <f t="shared" si="12"/>
        <v>0</v>
      </c>
      <c r="I61" s="60"/>
      <c r="J61" s="60"/>
      <c r="K61" s="60">
        <f t="shared" si="11"/>
        <v>0</v>
      </c>
      <c r="L61" s="63">
        <v>1498000</v>
      </c>
      <c r="M61" s="63">
        <v>0</v>
      </c>
      <c r="N61" s="63">
        <f t="shared" si="9"/>
        <v>1498000</v>
      </c>
    </row>
    <row r="62" spans="1:14" ht="21">
      <c r="A62" s="61" t="s">
        <v>253</v>
      </c>
      <c r="B62" s="56" t="s">
        <v>255</v>
      </c>
      <c r="C62" s="58"/>
      <c r="D62" s="58"/>
      <c r="E62" s="58">
        <f t="shared" si="10"/>
        <v>0</v>
      </c>
      <c r="F62" s="59">
        <v>1090900</v>
      </c>
      <c r="G62" s="59"/>
      <c r="H62" s="59">
        <f t="shared" si="12"/>
        <v>1090900</v>
      </c>
      <c r="I62" s="60"/>
      <c r="J62" s="60"/>
      <c r="K62" s="60">
        <f t="shared" si="11"/>
        <v>0</v>
      </c>
      <c r="L62" s="63">
        <v>187900</v>
      </c>
      <c r="M62" s="63">
        <v>0</v>
      </c>
      <c r="N62" s="63">
        <f t="shared" si="9"/>
        <v>187900</v>
      </c>
    </row>
    <row r="63" spans="1:14" ht="21">
      <c r="A63" s="61" t="s">
        <v>357</v>
      </c>
      <c r="B63" s="56" t="s">
        <v>356</v>
      </c>
      <c r="C63" s="58">
        <v>10600</v>
      </c>
      <c r="D63" s="58"/>
      <c r="E63" s="58">
        <f t="shared" si="10"/>
        <v>10600</v>
      </c>
      <c r="F63" s="59"/>
      <c r="G63" s="59"/>
      <c r="H63" s="59">
        <f t="shared" si="12"/>
        <v>0</v>
      </c>
      <c r="I63" s="60"/>
      <c r="J63" s="60"/>
      <c r="K63" s="60">
        <f t="shared" si="11"/>
        <v>0</v>
      </c>
      <c r="L63" s="63">
        <v>201700</v>
      </c>
      <c r="M63" s="63">
        <v>0</v>
      </c>
      <c r="N63" s="63">
        <f t="shared" si="9"/>
        <v>201700</v>
      </c>
    </row>
    <row r="64" spans="1:14" ht="21">
      <c r="A64" s="61" t="s">
        <v>107</v>
      </c>
      <c r="B64" s="56" t="s">
        <v>109</v>
      </c>
      <c r="C64" s="58">
        <v>1090900</v>
      </c>
      <c r="D64" s="58"/>
      <c r="E64" s="58">
        <f t="shared" si="10"/>
        <v>1090900</v>
      </c>
      <c r="F64" s="59"/>
      <c r="G64" s="59"/>
      <c r="H64" s="59">
        <f t="shared" si="12"/>
        <v>0</v>
      </c>
      <c r="I64" s="60">
        <v>67000</v>
      </c>
      <c r="J64" s="60"/>
      <c r="K64" s="60">
        <f t="shared" si="11"/>
        <v>67000</v>
      </c>
      <c r="L64" s="63">
        <v>84300</v>
      </c>
      <c r="M64" s="63">
        <v>10978000</v>
      </c>
      <c r="N64" s="63">
        <f t="shared" si="9"/>
        <v>11062300</v>
      </c>
    </row>
    <row r="65" spans="1:17" ht="21">
      <c r="A65" s="61" t="s">
        <v>439</v>
      </c>
      <c r="B65" s="56" t="s">
        <v>461</v>
      </c>
      <c r="C65" s="58"/>
      <c r="D65" s="58"/>
      <c r="E65" s="58">
        <f t="shared" si="10"/>
        <v>0</v>
      </c>
      <c r="F65" s="59"/>
      <c r="G65" s="59"/>
      <c r="H65" s="59">
        <f t="shared" si="12"/>
        <v>0</v>
      </c>
      <c r="I65" s="60"/>
      <c r="J65" s="60"/>
      <c r="K65" s="60">
        <f t="shared" si="11"/>
        <v>0</v>
      </c>
      <c r="L65" s="63">
        <v>15400</v>
      </c>
      <c r="M65" s="63">
        <v>0</v>
      </c>
      <c r="N65" s="63">
        <f t="shared" si="9"/>
        <v>15400</v>
      </c>
    </row>
    <row r="66" spans="1:17" ht="21">
      <c r="A66" s="61" t="s">
        <v>439</v>
      </c>
      <c r="B66" s="56" t="s">
        <v>462</v>
      </c>
      <c r="C66" s="58"/>
      <c r="D66" s="58"/>
      <c r="E66" s="58"/>
      <c r="F66" s="59"/>
      <c r="G66" s="59"/>
      <c r="H66" s="59"/>
      <c r="I66" s="60"/>
      <c r="J66" s="60"/>
      <c r="K66" s="60"/>
      <c r="L66" s="63">
        <v>1565000</v>
      </c>
      <c r="M66" s="63">
        <v>0</v>
      </c>
      <c r="N66" s="63">
        <f t="shared" si="9"/>
        <v>1565000</v>
      </c>
    </row>
    <row r="67" spans="1:17" ht="21">
      <c r="A67" s="61" t="s">
        <v>202</v>
      </c>
      <c r="B67" s="56" t="s">
        <v>204</v>
      </c>
      <c r="C67" s="58">
        <v>1976800</v>
      </c>
      <c r="D67" s="58"/>
      <c r="E67" s="58">
        <f t="shared" ref="E67:E84" si="13">C67+D67</f>
        <v>1976800</v>
      </c>
      <c r="F67" s="59"/>
      <c r="G67" s="59"/>
      <c r="H67" s="59">
        <f t="shared" ref="H67:H72" si="14">F67+G67</f>
        <v>0</v>
      </c>
      <c r="I67" s="60"/>
      <c r="J67" s="60">
        <v>5158000</v>
      </c>
      <c r="K67" s="60">
        <f t="shared" ref="K67:K84" si="15">I67+J67</f>
        <v>5158000</v>
      </c>
      <c r="L67" s="63">
        <v>308400</v>
      </c>
      <c r="M67" s="63">
        <v>0</v>
      </c>
      <c r="N67" s="63">
        <f t="shared" si="9"/>
        <v>308400</v>
      </c>
    </row>
    <row r="68" spans="1:17" ht="21">
      <c r="A68" s="61" t="s">
        <v>205</v>
      </c>
      <c r="B68" s="56" t="s">
        <v>363</v>
      </c>
      <c r="C68" s="58">
        <v>1538000</v>
      </c>
      <c r="D68" s="58"/>
      <c r="E68" s="58">
        <f t="shared" si="13"/>
        <v>1538000</v>
      </c>
      <c r="F68" s="59"/>
      <c r="G68" s="59"/>
      <c r="H68" s="59">
        <f t="shared" si="14"/>
        <v>0</v>
      </c>
      <c r="I68" s="60"/>
      <c r="J68" s="60"/>
      <c r="K68" s="60">
        <f t="shared" si="15"/>
        <v>0</v>
      </c>
      <c r="L68" s="63">
        <v>353400</v>
      </c>
      <c r="M68" s="63">
        <v>0</v>
      </c>
      <c r="N68" s="63">
        <f t="shared" si="9"/>
        <v>353400</v>
      </c>
    </row>
    <row r="69" spans="1:17" ht="21">
      <c r="A69" s="61" t="s">
        <v>205</v>
      </c>
      <c r="B69" s="56" t="s">
        <v>291</v>
      </c>
      <c r="C69" s="58"/>
      <c r="D69" s="58"/>
      <c r="E69" s="58">
        <f t="shared" si="13"/>
        <v>0</v>
      </c>
      <c r="F69" s="59"/>
      <c r="G69" s="59">
        <v>6160000</v>
      </c>
      <c r="H69" s="59">
        <f t="shared" si="14"/>
        <v>6160000</v>
      </c>
      <c r="I69" s="60"/>
      <c r="J69" s="60">
        <v>6880000</v>
      </c>
      <c r="K69" s="60">
        <f t="shared" si="15"/>
        <v>6880000</v>
      </c>
      <c r="L69" s="63">
        <v>614500</v>
      </c>
      <c r="M69" s="63">
        <v>15333000</v>
      </c>
      <c r="N69" s="63">
        <f t="shared" si="9"/>
        <v>15947500</v>
      </c>
    </row>
    <row r="70" spans="1:17" ht="21">
      <c r="A70" s="61" t="s">
        <v>110</v>
      </c>
      <c r="B70" s="56" t="s">
        <v>365</v>
      </c>
      <c r="C70" s="58">
        <v>1085900</v>
      </c>
      <c r="D70" s="58"/>
      <c r="E70" s="58">
        <f t="shared" si="13"/>
        <v>1085900</v>
      </c>
      <c r="F70" s="59"/>
      <c r="G70" s="59"/>
      <c r="H70" s="59">
        <f t="shared" si="14"/>
        <v>0</v>
      </c>
      <c r="I70" s="60"/>
      <c r="J70" s="60"/>
      <c r="K70" s="60">
        <f t="shared" si="15"/>
        <v>0</v>
      </c>
      <c r="L70" s="63">
        <v>1538600</v>
      </c>
      <c r="M70" s="63">
        <v>1546000</v>
      </c>
      <c r="N70" s="63">
        <f t="shared" si="9"/>
        <v>3084600</v>
      </c>
      <c r="Q70" s="62"/>
    </row>
    <row r="71" spans="1:17" ht="21">
      <c r="A71" s="61" t="s">
        <v>110</v>
      </c>
      <c r="B71" s="56" t="s">
        <v>114</v>
      </c>
      <c r="C71" s="58">
        <v>23300</v>
      </c>
      <c r="D71" s="58"/>
      <c r="E71" s="58">
        <f t="shared" si="13"/>
        <v>23300</v>
      </c>
      <c r="F71" s="59"/>
      <c r="G71" s="59"/>
      <c r="H71" s="59">
        <f t="shared" si="14"/>
        <v>0</v>
      </c>
      <c r="I71" s="60">
        <v>516300</v>
      </c>
      <c r="J71" s="60"/>
      <c r="K71" s="60">
        <f t="shared" si="15"/>
        <v>516300</v>
      </c>
      <c r="L71" s="63">
        <v>1906400</v>
      </c>
      <c r="M71" s="63">
        <v>0</v>
      </c>
      <c r="N71" s="63">
        <f t="shared" si="9"/>
        <v>1906400</v>
      </c>
    </row>
    <row r="72" spans="1:17" ht="21">
      <c r="A72" s="61" t="s">
        <v>110</v>
      </c>
      <c r="B72" s="56" t="s">
        <v>117</v>
      </c>
      <c r="C72" s="58"/>
      <c r="D72" s="58"/>
      <c r="E72" s="58">
        <f t="shared" si="13"/>
        <v>0</v>
      </c>
      <c r="F72" s="59"/>
      <c r="G72" s="59">
        <v>30560000</v>
      </c>
      <c r="H72" s="59">
        <f t="shared" si="14"/>
        <v>30560000</v>
      </c>
      <c r="I72" s="60">
        <v>407400</v>
      </c>
      <c r="J72" s="60">
        <v>16412500</v>
      </c>
      <c r="K72" s="60">
        <f t="shared" si="15"/>
        <v>16819900</v>
      </c>
      <c r="L72" s="63">
        <v>4540500</v>
      </c>
      <c r="M72" s="63">
        <v>61536900</v>
      </c>
      <c r="N72" s="63">
        <f t="shared" si="9"/>
        <v>66077400</v>
      </c>
    </row>
    <row r="73" spans="1:17" ht="21">
      <c r="A73" s="61" t="s">
        <v>110</v>
      </c>
      <c r="B73" s="56" t="s">
        <v>112</v>
      </c>
      <c r="C73" s="58"/>
      <c r="D73" s="58"/>
      <c r="E73" s="58">
        <f t="shared" si="13"/>
        <v>0</v>
      </c>
      <c r="F73" s="59"/>
      <c r="G73" s="59"/>
      <c r="H73" s="59"/>
      <c r="I73" s="60">
        <v>1369000</v>
      </c>
      <c r="J73" s="60">
        <v>800000</v>
      </c>
      <c r="K73" s="60">
        <f t="shared" si="15"/>
        <v>2169000</v>
      </c>
      <c r="L73" s="63">
        <v>206600</v>
      </c>
      <c r="M73" s="63">
        <v>0</v>
      </c>
      <c r="N73" s="63">
        <f t="shared" si="9"/>
        <v>206600</v>
      </c>
    </row>
    <row r="74" spans="1:17" ht="21">
      <c r="A74" s="61" t="s">
        <v>438</v>
      </c>
      <c r="B74" s="56" t="s">
        <v>463</v>
      </c>
      <c r="C74" s="58"/>
      <c r="D74" s="58"/>
      <c r="E74" s="58">
        <f t="shared" si="13"/>
        <v>0</v>
      </c>
      <c r="F74" s="59"/>
      <c r="G74" s="59"/>
      <c r="H74" s="59">
        <f t="shared" ref="H74:H84" si="16">F74+G74</f>
        <v>0</v>
      </c>
      <c r="I74" s="60"/>
      <c r="J74" s="60"/>
      <c r="K74" s="60">
        <f t="shared" si="15"/>
        <v>0</v>
      </c>
      <c r="L74" s="63">
        <v>218200</v>
      </c>
      <c r="M74" s="63">
        <v>0</v>
      </c>
      <c r="N74" s="63">
        <f t="shared" si="9"/>
        <v>218200</v>
      </c>
    </row>
    <row r="75" spans="1:17" ht="21">
      <c r="A75" s="61" t="s">
        <v>119</v>
      </c>
      <c r="B75" s="56" t="s">
        <v>121</v>
      </c>
      <c r="C75" s="58">
        <v>213800</v>
      </c>
      <c r="D75" s="58"/>
      <c r="E75" s="58">
        <f t="shared" si="13"/>
        <v>213800</v>
      </c>
      <c r="F75" s="59"/>
      <c r="G75" s="59"/>
      <c r="H75" s="59">
        <f t="shared" si="16"/>
        <v>0</v>
      </c>
      <c r="I75" s="60">
        <v>970900</v>
      </c>
      <c r="J75" s="60"/>
      <c r="K75" s="60">
        <f t="shared" si="15"/>
        <v>970900</v>
      </c>
      <c r="L75" s="63">
        <v>1643800</v>
      </c>
      <c r="M75" s="63">
        <v>0</v>
      </c>
      <c r="N75" s="63">
        <f t="shared" si="9"/>
        <v>1643800</v>
      </c>
    </row>
    <row r="76" spans="1:17" ht="21">
      <c r="A76" s="61" t="s">
        <v>122</v>
      </c>
      <c r="B76" s="56" t="s">
        <v>124</v>
      </c>
      <c r="C76" s="58">
        <v>885900</v>
      </c>
      <c r="D76" s="58"/>
      <c r="E76" s="58">
        <f t="shared" si="13"/>
        <v>885900</v>
      </c>
      <c r="F76" s="59"/>
      <c r="G76" s="59"/>
      <c r="H76" s="59">
        <f t="shared" si="16"/>
        <v>0</v>
      </c>
      <c r="I76" s="60">
        <v>276200</v>
      </c>
      <c r="J76" s="60"/>
      <c r="K76" s="60">
        <f t="shared" si="15"/>
        <v>276200</v>
      </c>
      <c r="L76" s="63">
        <v>1302900</v>
      </c>
      <c r="M76" s="63">
        <v>0</v>
      </c>
      <c r="N76" s="63">
        <f t="shared" ref="N76:N95" si="17">L76+M76</f>
        <v>1302900</v>
      </c>
    </row>
    <row r="77" spans="1:17" ht="21">
      <c r="A77" s="61" t="s">
        <v>126</v>
      </c>
      <c r="B77" s="56" t="s">
        <v>128</v>
      </c>
      <c r="C77" s="58">
        <v>1358000</v>
      </c>
      <c r="D77" s="58">
        <v>1080500</v>
      </c>
      <c r="E77" s="58">
        <f t="shared" si="13"/>
        <v>2438500</v>
      </c>
      <c r="F77" s="59">
        <v>885900</v>
      </c>
      <c r="G77" s="59">
        <v>640700</v>
      </c>
      <c r="H77" s="59">
        <f t="shared" si="16"/>
        <v>1526600</v>
      </c>
      <c r="I77" s="60">
        <v>383400</v>
      </c>
      <c r="J77" s="60"/>
      <c r="K77" s="60">
        <f t="shared" si="15"/>
        <v>383400</v>
      </c>
      <c r="L77" s="63">
        <v>0</v>
      </c>
      <c r="M77" s="63">
        <v>0</v>
      </c>
      <c r="N77" s="63">
        <f t="shared" si="17"/>
        <v>0</v>
      </c>
    </row>
    <row r="78" spans="1:17" ht="21">
      <c r="A78" s="61" t="s">
        <v>130</v>
      </c>
      <c r="B78" s="56" t="s">
        <v>132</v>
      </c>
      <c r="C78" s="58">
        <v>2448900</v>
      </c>
      <c r="D78" s="58"/>
      <c r="E78" s="58">
        <f t="shared" si="13"/>
        <v>2448900</v>
      </c>
      <c r="F78" s="59"/>
      <c r="G78" s="59"/>
      <c r="H78" s="59">
        <f t="shared" si="16"/>
        <v>0</v>
      </c>
      <c r="I78" s="60">
        <v>292500</v>
      </c>
      <c r="J78" s="60"/>
      <c r="K78" s="60">
        <f t="shared" si="15"/>
        <v>292500</v>
      </c>
      <c r="L78" s="63">
        <v>1207900</v>
      </c>
      <c r="M78" s="63">
        <v>0</v>
      </c>
      <c r="N78" s="63">
        <f t="shared" si="17"/>
        <v>1207900</v>
      </c>
    </row>
    <row r="79" spans="1:17" ht="21">
      <c r="A79" s="61" t="s">
        <v>130</v>
      </c>
      <c r="B79" s="56" t="s">
        <v>213</v>
      </c>
      <c r="C79" s="58">
        <v>22000</v>
      </c>
      <c r="D79" s="58">
        <v>210000</v>
      </c>
      <c r="E79" s="58">
        <f t="shared" si="13"/>
        <v>232000</v>
      </c>
      <c r="F79" s="59"/>
      <c r="G79" s="59">
        <v>1300000</v>
      </c>
      <c r="H79" s="59">
        <f t="shared" si="16"/>
        <v>1300000</v>
      </c>
      <c r="I79" s="60"/>
      <c r="J79" s="60">
        <v>1750000</v>
      </c>
      <c r="K79" s="60">
        <f t="shared" si="15"/>
        <v>1750000</v>
      </c>
      <c r="L79" s="63">
        <v>98300</v>
      </c>
      <c r="M79" s="63">
        <v>6910000</v>
      </c>
      <c r="N79" s="63">
        <f t="shared" si="17"/>
        <v>7008300</v>
      </c>
    </row>
    <row r="80" spans="1:17" ht="21">
      <c r="A80" s="61" t="s">
        <v>133</v>
      </c>
      <c r="B80" s="56" t="s">
        <v>135</v>
      </c>
      <c r="C80" s="58"/>
      <c r="D80" s="58"/>
      <c r="E80" s="58">
        <f t="shared" si="13"/>
        <v>0</v>
      </c>
      <c r="F80" s="59"/>
      <c r="G80" s="59">
        <v>141500</v>
      </c>
      <c r="H80" s="59">
        <f t="shared" si="16"/>
        <v>141500</v>
      </c>
      <c r="I80" s="60">
        <v>58500</v>
      </c>
      <c r="J80" s="60"/>
      <c r="K80" s="60">
        <f t="shared" si="15"/>
        <v>58500</v>
      </c>
      <c r="L80" s="63">
        <v>141500</v>
      </c>
      <c r="M80" s="63">
        <v>0</v>
      </c>
      <c r="N80" s="63">
        <f t="shared" si="17"/>
        <v>141500</v>
      </c>
    </row>
    <row r="81" spans="1:14" ht="21">
      <c r="A81" s="61" t="s">
        <v>136</v>
      </c>
      <c r="B81" s="56" t="s">
        <v>138</v>
      </c>
      <c r="C81" s="58"/>
      <c r="D81" s="58"/>
      <c r="E81" s="58">
        <f t="shared" si="13"/>
        <v>0</v>
      </c>
      <c r="F81" s="59"/>
      <c r="G81" s="59"/>
      <c r="H81" s="59">
        <f t="shared" si="16"/>
        <v>0</v>
      </c>
      <c r="I81" s="60">
        <v>1369000</v>
      </c>
      <c r="J81" s="60"/>
      <c r="K81" s="60">
        <f t="shared" si="15"/>
        <v>1369000</v>
      </c>
      <c r="L81" s="63">
        <v>0</v>
      </c>
      <c r="M81" s="63">
        <v>0</v>
      </c>
      <c r="N81" s="63">
        <f t="shared" si="17"/>
        <v>0</v>
      </c>
    </row>
    <row r="82" spans="1:14" ht="21">
      <c r="A82" s="61" t="s">
        <v>375</v>
      </c>
      <c r="B82" s="56" t="s">
        <v>377</v>
      </c>
      <c r="C82" s="58">
        <v>1358000</v>
      </c>
      <c r="D82" s="58"/>
      <c r="E82" s="58">
        <f t="shared" si="13"/>
        <v>1358000</v>
      </c>
      <c r="F82" s="59"/>
      <c r="G82" s="59"/>
      <c r="H82" s="59">
        <f t="shared" si="16"/>
        <v>0</v>
      </c>
      <c r="I82" s="60"/>
      <c r="J82" s="60"/>
      <c r="K82" s="60">
        <f t="shared" si="15"/>
        <v>0</v>
      </c>
      <c r="L82" s="63">
        <v>14900</v>
      </c>
      <c r="M82" s="63">
        <v>0</v>
      </c>
      <c r="N82" s="63">
        <f t="shared" si="17"/>
        <v>14900</v>
      </c>
    </row>
    <row r="83" spans="1:14" ht="21">
      <c r="A83" s="61" t="s">
        <v>214</v>
      </c>
      <c r="B83" s="56" t="s">
        <v>216</v>
      </c>
      <c r="C83" s="58">
        <v>885900</v>
      </c>
      <c r="D83" s="58"/>
      <c r="E83" s="58">
        <f t="shared" si="13"/>
        <v>885900</v>
      </c>
      <c r="F83" s="59"/>
      <c r="G83" s="59"/>
      <c r="H83" s="59">
        <f t="shared" si="16"/>
        <v>0</v>
      </c>
      <c r="I83" s="60"/>
      <c r="J83" s="60">
        <v>334000</v>
      </c>
      <c r="K83" s="60">
        <f t="shared" si="15"/>
        <v>334000</v>
      </c>
      <c r="L83" s="63">
        <v>235400</v>
      </c>
      <c r="M83" s="63">
        <v>0</v>
      </c>
      <c r="N83" s="63">
        <f t="shared" si="17"/>
        <v>235400</v>
      </c>
    </row>
    <row r="84" spans="1:14" ht="21">
      <c r="A84" s="61" t="s">
        <v>379</v>
      </c>
      <c r="B84" s="56" t="s">
        <v>381</v>
      </c>
      <c r="C84" s="58">
        <v>1090900</v>
      </c>
      <c r="D84" s="58"/>
      <c r="E84" s="58">
        <f t="shared" si="13"/>
        <v>1090900</v>
      </c>
      <c r="F84" s="59"/>
      <c r="G84" s="59"/>
      <c r="H84" s="59">
        <f t="shared" si="16"/>
        <v>0</v>
      </c>
      <c r="I84" s="60"/>
      <c r="J84" s="60"/>
      <c r="K84" s="60">
        <f t="shared" si="15"/>
        <v>0</v>
      </c>
      <c r="L84" s="63">
        <v>1224500</v>
      </c>
      <c r="M84" s="63">
        <v>0</v>
      </c>
      <c r="N84" s="63">
        <f t="shared" si="17"/>
        <v>1224500</v>
      </c>
    </row>
    <row r="85" spans="1:14" ht="21">
      <c r="A85" s="61" t="s">
        <v>379</v>
      </c>
      <c r="B85" s="56" t="s">
        <v>459</v>
      </c>
      <c r="C85" s="58"/>
      <c r="D85" s="58"/>
      <c r="E85" s="58"/>
      <c r="F85" s="59"/>
      <c r="G85" s="59"/>
      <c r="H85" s="59"/>
      <c r="I85" s="60"/>
      <c r="J85" s="60"/>
      <c r="K85" s="60"/>
      <c r="L85" s="63">
        <v>412200</v>
      </c>
      <c r="M85" s="63">
        <v>3446700</v>
      </c>
      <c r="N85" s="63">
        <f t="shared" si="17"/>
        <v>3858900</v>
      </c>
    </row>
    <row r="86" spans="1:14" ht="21">
      <c r="A86" s="61" t="s">
        <v>139</v>
      </c>
      <c r="B86" s="56" t="s">
        <v>141</v>
      </c>
      <c r="C86" s="58"/>
      <c r="D86" s="58"/>
      <c r="E86" s="58">
        <f t="shared" ref="E86:E95" si="18">C86+D86</f>
        <v>0</v>
      </c>
      <c r="F86" s="59"/>
      <c r="G86" s="59"/>
      <c r="H86" s="59">
        <f t="shared" ref="H86:H95" si="19">F86+G86</f>
        <v>0</v>
      </c>
      <c r="I86" s="60">
        <v>1011800</v>
      </c>
      <c r="J86" s="60"/>
      <c r="K86" s="60">
        <f t="shared" ref="K86:K95" si="20">I86+J86</f>
        <v>1011800</v>
      </c>
      <c r="L86" s="63">
        <v>1026500</v>
      </c>
      <c r="M86" s="63">
        <v>0</v>
      </c>
      <c r="N86" s="63">
        <f t="shared" si="17"/>
        <v>1026500</v>
      </c>
    </row>
    <row r="87" spans="1:14" ht="21">
      <c r="A87" s="61" t="s">
        <v>428</v>
      </c>
      <c r="B87" s="56" t="s">
        <v>433</v>
      </c>
      <c r="C87" s="58"/>
      <c r="D87" s="58">
        <v>1448000</v>
      </c>
      <c r="E87" s="58">
        <f t="shared" si="18"/>
        <v>1448000</v>
      </c>
      <c r="F87" s="59"/>
      <c r="G87" s="59"/>
      <c r="H87" s="59">
        <f t="shared" si="19"/>
        <v>0</v>
      </c>
      <c r="I87" s="60"/>
      <c r="J87" s="60"/>
      <c r="K87" s="60">
        <f t="shared" si="20"/>
        <v>0</v>
      </c>
      <c r="L87" s="63">
        <v>1169900</v>
      </c>
      <c r="M87" s="63">
        <v>1500000</v>
      </c>
      <c r="N87" s="63">
        <f t="shared" si="17"/>
        <v>2669900</v>
      </c>
    </row>
    <row r="88" spans="1:14" ht="21">
      <c r="A88" s="61" t="s">
        <v>217</v>
      </c>
      <c r="B88" s="56" t="s">
        <v>219</v>
      </c>
      <c r="C88" s="58"/>
      <c r="D88" s="58"/>
      <c r="E88" s="58">
        <f t="shared" si="18"/>
        <v>0</v>
      </c>
      <c r="F88" s="59"/>
      <c r="G88" s="59"/>
      <c r="H88" s="59">
        <f t="shared" si="19"/>
        <v>0</v>
      </c>
      <c r="I88" s="60"/>
      <c r="J88" s="60">
        <v>3813100</v>
      </c>
      <c r="K88" s="60">
        <f t="shared" si="20"/>
        <v>3813100</v>
      </c>
      <c r="L88" s="63">
        <v>0</v>
      </c>
      <c r="M88" s="63">
        <v>0</v>
      </c>
      <c r="N88" s="63">
        <f t="shared" si="17"/>
        <v>0</v>
      </c>
    </row>
    <row r="89" spans="1:14" ht="21">
      <c r="A89" s="61" t="s">
        <v>143</v>
      </c>
      <c r="B89" s="56" t="s">
        <v>145</v>
      </c>
      <c r="C89" s="58"/>
      <c r="D89" s="58"/>
      <c r="E89" s="58">
        <f t="shared" si="18"/>
        <v>0</v>
      </c>
      <c r="F89" s="59"/>
      <c r="G89" s="59">
        <v>350000</v>
      </c>
      <c r="H89" s="59">
        <f t="shared" si="19"/>
        <v>350000</v>
      </c>
      <c r="I89" s="60">
        <v>1207900</v>
      </c>
      <c r="J89" s="60">
        <v>380000</v>
      </c>
      <c r="K89" s="60">
        <f t="shared" si="20"/>
        <v>1587900</v>
      </c>
      <c r="L89" s="63">
        <v>2924900</v>
      </c>
      <c r="M89" s="63">
        <v>0</v>
      </c>
      <c r="N89" s="63">
        <f t="shared" si="17"/>
        <v>2924900</v>
      </c>
    </row>
    <row r="90" spans="1:14" ht="21">
      <c r="A90" s="61" t="s">
        <v>257</v>
      </c>
      <c r="B90" s="56" t="s">
        <v>259</v>
      </c>
      <c r="C90" s="58"/>
      <c r="D90" s="58"/>
      <c r="E90" s="58">
        <f t="shared" si="18"/>
        <v>0</v>
      </c>
      <c r="F90" s="59">
        <v>1090900</v>
      </c>
      <c r="G90" s="59"/>
      <c r="H90" s="59">
        <f t="shared" si="19"/>
        <v>1090900</v>
      </c>
      <c r="I90" s="60"/>
      <c r="J90" s="60"/>
      <c r="K90" s="60">
        <f t="shared" si="20"/>
        <v>0</v>
      </c>
      <c r="L90" s="63">
        <v>2632400</v>
      </c>
      <c r="M90" s="63">
        <v>12350000</v>
      </c>
      <c r="N90" s="63">
        <f t="shared" si="17"/>
        <v>14982400</v>
      </c>
    </row>
    <row r="91" spans="1:14" ht="21">
      <c r="A91" s="61" t="s">
        <v>260</v>
      </c>
      <c r="B91" s="56" t="s">
        <v>262</v>
      </c>
      <c r="C91" s="58"/>
      <c r="D91" s="58"/>
      <c r="E91" s="58">
        <f t="shared" si="18"/>
        <v>0</v>
      </c>
      <c r="F91" s="59">
        <v>885900</v>
      </c>
      <c r="G91" s="59"/>
      <c r="H91" s="59">
        <f t="shared" si="19"/>
        <v>885900</v>
      </c>
      <c r="I91" s="60"/>
      <c r="J91" s="60"/>
      <c r="K91" s="60">
        <f t="shared" si="20"/>
        <v>0</v>
      </c>
      <c r="L91" s="63">
        <v>1568800</v>
      </c>
      <c r="M91" s="63">
        <v>0</v>
      </c>
      <c r="N91" s="63">
        <f t="shared" si="17"/>
        <v>1568800</v>
      </c>
    </row>
    <row r="92" spans="1:14" ht="21">
      <c r="A92" s="61" t="s">
        <v>437</v>
      </c>
      <c r="B92" s="56" t="s">
        <v>464</v>
      </c>
      <c r="C92" s="58"/>
      <c r="D92" s="58"/>
      <c r="E92" s="58">
        <f t="shared" si="18"/>
        <v>0</v>
      </c>
      <c r="F92" s="59"/>
      <c r="G92" s="59"/>
      <c r="H92" s="59">
        <f t="shared" si="19"/>
        <v>0</v>
      </c>
      <c r="I92" s="60"/>
      <c r="J92" s="60"/>
      <c r="K92" s="60">
        <f t="shared" si="20"/>
        <v>0</v>
      </c>
      <c r="L92" s="63">
        <v>1222700</v>
      </c>
      <c r="M92" s="63">
        <v>0</v>
      </c>
      <c r="N92" s="63">
        <f t="shared" si="17"/>
        <v>1222700</v>
      </c>
    </row>
    <row r="93" spans="1:14" ht="21">
      <c r="A93" s="61" t="s">
        <v>263</v>
      </c>
      <c r="B93" s="56" t="s">
        <v>265</v>
      </c>
      <c r="C93" s="58"/>
      <c r="D93" s="58"/>
      <c r="E93" s="58">
        <f t="shared" si="18"/>
        <v>0</v>
      </c>
      <c r="F93" s="59">
        <v>1092000</v>
      </c>
      <c r="G93" s="59"/>
      <c r="H93" s="59">
        <f t="shared" si="19"/>
        <v>1092000</v>
      </c>
      <c r="I93" s="60"/>
      <c r="J93" s="60"/>
      <c r="K93" s="60">
        <f t="shared" si="20"/>
        <v>0</v>
      </c>
      <c r="L93" s="63">
        <v>1807200</v>
      </c>
      <c r="M93" s="63">
        <v>0</v>
      </c>
      <c r="N93" s="63">
        <f t="shared" si="17"/>
        <v>1807200</v>
      </c>
    </row>
    <row r="94" spans="1:14" ht="21">
      <c r="A94" s="61" t="s">
        <v>146</v>
      </c>
      <c r="B94" s="56" t="s">
        <v>148</v>
      </c>
      <c r="C94" s="58"/>
      <c r="D94" s="58"/>
      <c r="E94" s="58">
        <f t="shared" si="18"/>
        <v>0</v>
      </c>
      <c r="F94" s="59"/>
      <c r="G94" s="59"/>
      <c r="H94" s="59">
        <f t="shared" si="19"/>
        <v>0</v>
      </c>
      <c r="I94" s="60">
        <v>970900</v>
      </c>
      <c r="J94" s="60"/>
      <c r="K94" s="60">
        <f t="shared" si="20"/>
        <v>970900</v>
      </c>
      <c r="L94" s="63">
        <v>273600</v>
      </c>
      <c r="M94" s="63">
        <v>0</v>
      </c>
      <c r="N94" s="63">
        <f t="shared" si="17"/>
        <v>273600</v>
      </c>
    </row>
    <row r="95" spans="1:14" ht="21">
      <c r="A95" s="61" t="s">
        <v>436</v>
      </c>
      <c r="B95" s="56" t="s">
        <v>465</v>
      </c>
      <c r="C95" s="58"/>
      <c r="D95" s="58"/>
      <c r="E95" s="58">
        <f t="shared" si="18"/>
        <v>0</v>
      </c>
      <c r="F95" s="59"/>
      <c r="G95" s="59"/>
      <c r="H95" s="59">
        <f t="shared" si="19"/>
        <v>0</v>
      </c>
      <c r="I95" s="60"/>
      <c r="J95" s="60"/>
      <c r="K95" s="60">
        <f t="shared" si="20"/>
        <v>0</v>
      </c>
      <c r="L95" s="63">
        <v>1250500</v>
      </c>
      <c r="M95" s="63">
        <v>0</v>
      </c>
      <c r="N95" s="63">
        <f t="shared" si="17"/>
        <v>1250500</v>
      </c>
    </row>
    <row r="96" spans="1:14" ht="21">
      <c r="A96" s="281" t="s">
        <v>12</v>
      </c>
      <c r="B96" s="281"/>
      <c r="C96" s="281"/>
      <c r="D96" s="281"/>
      <c r="E96" s="281"/>
      <c r="F96" s="281"/>
      <c r="G96" s="281"/>
      <c r="H96" s="281"/>
      <c r="I96" s="281"/>
      <c r="J96" s="281"/>
      <c r="K96" s="281"/>
      <c r="L96" s="281"/>
      <c r="M96" s="281"/>
      <c r="N96" s="281"/>
    </row>
    <row r="97" spans="1:15" ht="21">
      <c r="A97" s="61" t="s">
        <v>150</v>
      </c>
      <c r="B97" s="56" t="s">
        <v>152</v>
      </c>
      <c r="C97" s="58"/>
      <c r="D97" s="58"/>
      <c r="E97" s="58">
        <f t="shared" ref="E97:E110" si="21">C97+D97</f>
        <v>0</v>
      </c>
      <c r="F97" s="59"/>
      <c r="G97" s="59"/>
      <c r="H97" s="59">
        <f t="shared" ref="H97:H107" si="22">F97+G97</f>
        <v>0</v>
      </c>
      <c r="I97" s="60">
        <v>1637000</v>
      </c>
      <c r="J97" s="60"/>
      <c r="K97" s="60">
        <f t="shared" ref="K97:K110" si="23">I97+J97</f>
        <v>1637000</v>
      </c>
      <c r="L97" s="63">
        <v>20000</v>
      </c>
      <c r="M97" s="63">
        <v>0</v>
      </c>
      <c r="N97" s="63">
        <f t="shared" ref="N97:N115" si="24">L97+M97</f>
        <v>20000</v>
      </c>
      <c r="O97" s="62">
        <f>SUM(L97:L115)</f>
        <v>27559100</v>
      </c>
    </row>
    <row r="98" spans="1:15" ht="21">
      <c r="A98" s="61" t="s">
        <v>221</v>
      </c>
      <c r="B98" s="56" t="s">
        <v>223</v>
      </c>
      <c r="C98" s="58">
        <v>1090900</v>
      </c>
      <c r="D98" s="58"/>
      <c r="E98" s="58">
        <f t="shared" si="21"/>
        <v>1090900</v>
      </c>
      <c r="F98" s="59">
        <v>1090900</v>
      </c>
      <c r="G98" s="59"/>
      <c r="H98" s="59">
        <f t="shared" si="22"/>
        <v>1090900</v>
      </c>
      <c r="I98" s="60"/>
      <c r="J98" s="60">
        <v>4330000</v>
      </c>
      <c r="K98" s="60">
        <f t="shared" si="23"/>
        <v>4330000</v>
      </c>
      <c r="L98" s="63">
        <v>1665000</v>
      </c>
      <c r="M98" s="63">
        <v>0</v>
      </c>
      <c r="N98" s="63">
        <f t="shared" si="24"/>
        <v>1665000</v>
      </c>
      <c r="O98">
        <f>SUM(M97:M115)</f>
        <v>18174600</v>
      </c>
    </row>
    <row r="99" spans="1:15" ht="21">
      <c r="A99" s="61" t="s">
        <v>383</v>
      </c>
      <c r="B99" s="56" t="s">
        <v>385</v>
      </c>
      <c r="C99" s="58">
        <v>1270900</v>
      </c>
      <c r="D99" s="58"/>
      <c r="E99" s="58">
        <f t="shared" si="21"/>
        <v>1270900</v>
      </c>
      <c r="F99" s="59"/>
      <c r="G99" s="59"/>
      <c r="H99" s="59">
        <f t="shared" si="22"/>
        <v>0</v>
      </c>
      <c r="I99" s="60"/>
      <c r="J99" s="60"/>
      <c r="K99" s="60">
        <f t="shared" si="23"/>
        <v>0</v>
      </c>
      <c r="L99" s="63">
        <v>1347800</v>
      </c>
      <c r="M99" s="63">
        <v>0</v>
      </c>
      <c r="N99" s="63">
        <f t="shared" si="24"/>
        <v>1347800</v>
      </c>
      <c r="O99" s="62">
        <f>O97+O98</f>
        <v>45733700</v>
      </c>
    </row>
    <row r="100" spans="1:15" ht="21">
      <c r="A100" s="61" t="s">
        <v>387</v>
      </c>
      <c r="B100" s="56" t="s">
        <v>389</v>
      </c>
      <c r="C100" s="58">
        <v>1090900</v>
      </c>
      <c r="D100" s="58"/>
      <c r="E100" s="58">
        <f t="shared" si="21"/>
        <v>1090900</v>
      </c>
      <c r="F100" s="59"/>
      <c r="G100" s="59"/>
      <c r="H100" s="59">
        <f t="shared" si="22"/>
        <v>0</v>
      </c>
      <c r="I100" s="60"/>
      <c r="J100" s="60"/>
      <c r="K100" s="60">
        <f t="shared" si="23"/>
        <v>0</v>
      </c>
      <c r="L100" s="63">
        <v>121900</v>
      </c>
      <c r="M100" s="63">
        <v>0</v>
      </c>
      <c r="N100" s="63">
        <f t="shared" si="24"/>
        <v>121900</v>
      </c>
    </row>
    <row r="101" spans="1:15" ht="21">
      <c r="A101" s="61" t="s">
        <v>154</v>
      </c>
      <c r="B101" s="56" t="s">
        <v>156</v>
      </c>
      <c r="C101" s="58"/>
      <c r="D101" s="58"/>
      <c r="E101" s="58">
        <f t="shared" si="21"/>
        <v>0</v>
      </c>
      <c r="F101" s="59">
        <v>885900</v>
      </c>
      <c r="G101" s="59"/>
      <c r="H101" s="59">
        <f t="shared" si="22"/>
        <v>885900</v>
      </c>
      <c r="I101" s="60">
        <v>1207900</v>
      </c>
      <c r="J101" s="60"/>
      <c r="K101" s="60">
        <f t="shared" si="23"/>
        <v>1207900</v>
      </c>
      <c r="L101" s="63">
        <v>3157500</v>
      </c>
      <c r="M101" s="63">
        <v>0</v>
      </c>
      <c r="N101" s="63">
        <f t="shared" si="24"/>
        <v>3157500</v>
      </c>
    </row>
    <row r="102" spans="1:15" ht="21">
      <c r="A102" s="61" t="s">
        <v>390</v>
      </c>
      <c r="B102" s="56" t="s">
        <v>392</v>
      </c>
      <c r="C102" s="58">
        <v>1290900</v>
      </c>
      <c r="D102" s="58"/>
      <c r="E102" s="58">
        <f t="shared" si="21"/>
        <v>1290900</v>
      </c>
      <c r="F102" s="59"/>
      <c r="G102" s="59"/>
      <c r="H102" s="59">
        <f t="shared" si="22"/>
        <v>0</v>
      </c>
      <c r="I102" s="60"/>
      <c r="J102" s="60"/>
      <c r="K102" s="60">
        <f t="shared" si="23"/>
        <v>0</v>
      </c>
      <c r="L102" s="63">
        <v>1498000</v>
      </c>
      <c r="M102" s="63">
        <v>0</v>
      </c>
      <c r="N102" s="63">
        <f t="shared" si="24"/>
        <v>1498000</v>
      </c>
    </row>
    <row r="103" spans="1:15" ht="21">
      <c r="A103" s="61" t="s">
        <v>394</v>
      </c>
      <c r="B103" s="56" t="s">
        <v>396</v>
      </c>
      <c r="C103" s="58">
        <v>1358000</v>
      </c>
      <c r="D103" s="58"/>
      <c r="E103" s="58">
        <f t="shared" si="21"/>
        <v>1358000</v>
      </c>
      <c r="F103" s="59"/>
      <c r="G103" s="59"/>
      <c r="H103" s="59">
        <f t="shared" si="22"/>
        <v>0</v>
      </c>
      <c r="I103" s="60"/>
      <c r="J103" s="60"/>
      <c r="K103" s="60">
        <f t="shared" si="23"/>
        <v>0</v>
      </c>
      <c r="L103" s="63">
        <v>1207900</v>
      </c>
      <c r="M103" s="63">
        <v>497000</v>
      </c>
      <c r="N103" s="63">
        <f t="shared" si="24"/>
        <v>1704900</v>
      </c>
    </row>
    <row r="104" spans="1:15" ht="21">
      <c r="A104" s="61" t="s">
        <v>397</v>
      </c>
      <c r="B104" s="56" t="s">
        <v>399</v>
      </c>
      <c r="C104" s="58">
        <v>1358000</v>
      </c>
      <c r="D104" s="58"/>
      <c r="E104" s="58">
        <f t="shared" si="21"/>
        <v>1358000</v>
      </c>
      <c r="F104" s="59"/>
      <c r="G104" s="59"/>
      <c r="H104" s="59">
        <f t="shared" si="22"/>
        <v>0</v>
      </c>
      <c r="I104" s="60"/>
      <c r="J104" s="60"/>
      <c r="K104" s="60">
        <f t="shared" si="23"/>
        <v>0</v>
      </c>
      <c r="L104" s="63">
        <v>2705900</v>
      </c>
      <c r="M104" s="63">
        <v>0</v>
      </c>
      <c r="N104" s="63">
        <f t="shared" si="24"/>
        <v>2705900</v>
      </c>
    </row>
    <row r="105" spans="1:15" ht="21">
      <c r="A105" s="61" t="s">
        <v>157</v>
      </c>
      <c r="B105" s="56" t="s">
        <v>159</v>
      </c>
      <c r="C105" s="58"/>
      <c r="D105" s="58"/>
      <c r="E105" s="58">
        <f t="shared" si="21"/>
        <v>0</v>
      </c>
      <c r="F105" s="59"/>
      <c r="G105" s="59">
        <v>1089000</v>
      </c>
      <c r="H105" s="59">
        <f t="shared" si="22"/>
        <v>1089000</v>
      </c>
      <c r="I105" s="60">
        <v>1207900</v>
      </c>
      <c r="J105" s="60"/>
      <c r="K105" s="60">
        <f t="shared" si="23"/>
        <v>1207900</v>
      </c>
      <c r="L105" s="63">
        <v>89700</v>
      </c>
      <c r="M105" s="63">
        <v>10200000</v>
      </c>
      <c r="N105" s="63">
        <f t="shared" si="24"/>
        <v>10289700</v>
      </c>
    </row>
    <row r="106" spans="1:15" ht="21">
      <c r="A106" s="61" t="s">
        <v>298</v>
      </c>
      <c r="B106" s="56" t="s">
        <v>300</v>
      </c>
      <c r="C106" s="58">
        <v>1090900</v>
      </c>
      <c r="D106" s="58"/>
      <c r="E106" s="58">
        <f t="shared" si="21"/>
        <v>1090900</v>
      </c>
      <c r="F106" s="59"/>
      <c r="G106" s="59">
        <v>6860000</v>
      </c>
      <c r="H106" s="59">
        <f t="shared" si="22"/>
        <v>6860000</v>
      </c>
      <c r="I106" s="60"/>
      <c r="J106" s="60"/>
      <c r="K106" s="60">
        <f t="shared" si="23"/>
        <v>0</v>
      </c>
      <c r="L106" s="63">
        <v>2271000</v>
      </c>
      <c r="M106" s="63">
        <v>2104600</v>
      </c>
      <c r="N106" s="63">
        <f t="shared" si="24"/>
        <v>4375600</v>
      </c>
    </row>
    <row r="107" spans="1:15" ht="21">
      <c r="A107" s="61" t="s">
        <v>160</v>
      </c>
      <c r="B107" s="56" t="s">
        <v>164</v>
      </c>
      <c r="C107" s="58"/>
      <c r="D107" s="58"/>
      <c r="E107" s="58">
        <f t="shared" si="21"/>
        <v>0</v>
      </c>
      <c r="F107" s="59"/>
      <c r="G107" s="59"/>
      <c r="H107" s="59">
        <f t="shared" si="22"/>
        <v>0</v>
      </c>
      <c r="I107" s="60">
        <v>333500</v>
      </c>
      <c r="J107" s="60"/>
      <c r="K107" s="60">
        <f t="shared" si="23"/>
        <v>333500</v>
      </c>
      <c r="L107" s="63">
        <v>83000</v>
      </c>
      <c r="M107" s="63">
        <v>0</v>
      </c>
      <c r="N107" s="63">
        <f t="shared" si="24"/>
        <v>83000</v>
      </c>
    </row>
    <row r="108" spans="1:15" ht="21">
      <c r="A108" s="61" t="s">
        <v>160</v>
      </c>
      <c r="B108" s="56" t="s">
        <v>162</v>
      </c>
      <c r="C108" s="58"/>
      <c r="D108" s="58"/>
      <c r="E108" s="58">
        <f t="shared" si="21"/>
        <v>0</v>
      </c>
      <c r="F108" s="59"/>
      <c r="G108" s="59"/>
      <c r="H108" s="59"/>
      <c r="I108" s="60">
        <v>96600</v>
      </c>
      <c r="J108" s="60">
        <v>243000</v>
      </c>
      <c r="K108" s="60">
        <f t="shared" si="23"/>
        <v>339600</v>
      </c>
      <c r="L108" s="63">
        <v>1649600</v>
      </c>
      <c r="M108" s="63">
        <v>401000</v>
      </c>
      <c r="N108" s="63">
        <f t="shared" si="24"/>
        <v>2050600</v>
      </c>
    </row>
    <row r="109" spans="1:15" ht="21">
      <c r="A109" s="61" t="s">
        <v>166</v>
      </c>
      <c r="B109" s="56" t="s">
        <v>168</v>
      </c>
      <c r="C109" s="58">
        <v>1090900</v>
      </c>
      <c r="D109" s="58"/>
      <c r="E109" s="58">
        <f t="shared" si="21"/>
        <v>1090900</v>
      </c>
      <c r="F109" s="59"/>
      <c r="G109" s="59"/>
      <c r="H109" s="59">
        <f>F109+G109</f>
        <v>0</v>
      </c>
      <c r="I109" s="60">
        <v>245400</v>
      </c>
      <c r="J109" s="60"/>
      <c r="K109" s="60">
        <f t="shared" si="23"/>
        <v>245400</v>
      </c>
      <c r="L109" s="63">
        <v>0</v>
      </c>
      <c r="M109" s="63">
        <v>0</v>
      </c>
      <c r="N109" s="63">
        <f t="shared" si="24"/>
        <v>0</v>
      </c>
    </row>
    <row r="110" spans="1:15" ht="21">
      <c r="A110" s="61" t="s">
        <v>166</v>
      </c>
      <c r="B110" s="56" t="s">
        <v>408</v>
      </c>
      <c r="C110" s="58">
        <v>9500</v>
      </c>
      <c r="D110" s="58"/>
      <c r="E110" s="58">
        <f t="shared" si="21"/>
        <v>9500</v>
      </c>
      <c r="F110" s="59"/>
      <c r="G110" s="59"/>
      <c r="H110" s="59">
        <f>F110+G110</f>
        <v>0</v>
      </c>
      <c r="I110" s="60"/>
      <c r="J110" s="60"/>
      <c r="K110" s="60">
        <f t="shared" si="23"/>
        <v>0</v>
      </c>
      <c r="L110" s="63">
        <v>1175200</v>
      </c>
      <c r="M110" s="63">
        <v>0</v>
      </c>
      <c r="N110" s="63">
        <f t="shared" si="24"/>
        <v>1175200</v>
      </c>
    </row>
    <row r="111" spans="1:15" ht="21">
      <c r="A111" s="61" t="s">
        <v>166</v>
      </c>
      <c r="B111" s="56" t="s">
        <v>466</v>
      </c>
      <c r="C111" s="58"/>
      <c r="D111" s="58"/>
      <c r="E111" s="58"/>
      <c r="F111" s="59"/>
      <c r="G111" s="59"/>
      <c r="H111" s="59"/>
      <c r="I111" s="60"/>
      <c r="J111" s="60"/>
      <c r="K111" s="60"/>
      <c r="L111" s="63">
        <v>1918600</v>
      </c>
      <c r="M111" s="63">
        <v>322000</v>
      </c>
      <c r="N111" s="63">
        <f t="shared" si="24"/>
        <v>2240600</v>
      </c>
    </row>
    <row r="112" spans="1:15" ht="21">
      <c r="A112" s="61" t="s">
        <v>169</v>
      </c>
      <c r="B112" s="56" t="s">
        <v>171</v>
      </c>
      <c r="C112" s="58"/>
      <c r="D112" s="58"/>
      <c r="E112" s="58">
        <f>C112+D112</f>
        <v>0</v>
      </c>
      <c r="F112" s="59">
        <v>1055000</v>
      </c>
      <c r="G112" s="59"/>
      <c r="H112" s="59">
        <f>F112+G112</f>
        <v>1055000</v>
      </c>
      <c r="I112" s="60">
        <v>1369000</v>
      </c>
      <c r="J112" s="60"/>
      <c r="K112" s="60">
        <f>I112+J112</f>
        <v>1369000</v>
      </c>
      <c r="L112" s="63">
        <v>7336100</v>
      </c>
      <c r="M112" s="63">
        <v>0</v>
      </c>
      <c r="N112" s="63">
        <f t="shared" si="24"/>
        <v>7336100</v>
      </c>
    </row>
    <row r="113" spans="1:15" ht="21">
      <c r="A113" s="61" t="s">
        <v>172</v>
      </c>
      <c r="B113" s="56" t="s">
        <v>270</v>
      </c>
      <c r="C113" s="58">
        <v>28000</v>
      </c>
      <c r="D113" s="58"/>
      <c r="E113" s="58">
        <f>C113+D113</f>
        <v>28000</v>
      </c>
      <c r="F113" s="59">
        <v>1090900</v>
      </c>
      <c r="G113" s="59"/>
      <c r="H113" s="59">
        <f>F113+G113</f>
        <v>1090900</v>
      </c>
      <c r="I113" s="60"/>
      <c r="J113" s="60"/>
      <c r="K113" s="60">
        <f>I113+J113</f>
        <v>0</v>
      </c>
      <c r="L113" s="63">
        <v>17400</v>
      </c>
      <c r="M113" s="63">
        <v>0</v>
      </c>
      <c r="N113" s="63">
        <f t="shared" si="24"/>
        <v>17400</v>
      </c>
    </row>
    <row r="114" spans="1:15" ht="21">
      <c r="A114" s="61" t="s">
        <v>172</v>
      </c>
      <c r="B114" s="56" t="s">
        <v>405</v>
      </c>
      <c r="C114" s="58">
        <v>9500</v>
      </c>
      <c r="D114" s="58"/>
      <c r="E114" s="58">
        <f>C114+D114</f>
        <v>9500</v>
      </c>
      <c r="F114" s="59"/>
      <c r="G114" s="59">
        <v>2379000</v>
      </c>
      <c r="H114" s="59">
        <f>F114+G114</f>
        <v>2379000</v>
      </c>
      <c r="I114" s="60"/>
      <c r="J114" s="60"/>
      <c r="K114" s="60">
        <f>I114+J114</f>
        <v>0</v>
      </c>
      <c r="L114" s="63">
        <v>9700</v>
      </c>
      <c r="M114" s="63">
        <v>4650000</v>
      </c>
      <c r="N114" s="63">
        <f t="shared" si="24"/>
        <v>4659700</v>
      </c>
    </row>
    <row r="115" spans="1:15" ht="21">
      <c r="A115" s="61" t="s">
        <v>172</v>
      </c>
      <c r="B115" s="56" t="s">
        <v>174</v>
      </c>
      <c r="C115" s="58">
        <v>1055000</v>
      </c>
      <c r="D115" s="58">
        <v>395000</v>
      </c>
      <c r="E115" s="58">
        <f>C115+D115</f>
        <v>1450000</v>
      </c>
      <c r="F115" s="59"/>
      <c r="G115" s="59">
        <v>191500</v>
      </c>
      <c r="H115" s="59">
        <f>F115+G115</f>
        <v>191500</v>
      </c>
      <c r="I115" s="60">
        <v>160800</v>
      </c>
      <c r="J115" s="60"/>
      <c r="K115" s="60">
        <f>I115+J115</f>
        <v>160800</v>
      </c>
      <c r="L115" s="63">
        <v>1284800</v>
      </c>
      <c r="M115" s="63">
        <v>0</v>
      </c>
      <c r="N115" s="63">
        <f t="shared" si="24"/>
        <v>1284800</v>
      </c>
    </row>
    <row r="116" spans="1:15" ht="21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</row>
    <row r="117" spans="1:15" ht="21">
      <c r="A117" s="65"/>
      <c r="B117" s="65"/>
      <c r="C117" s="64">
        <f t="shared" ref="C117:N117" si="25">SUM(C6:C17)+SUM(C19:C42)+SUM(C44:C95)+SUM(C97:C115)</f>
        <v>114358700</v>
      </c>
      <c r="D117" s="64">
        <f t="shared" si="25"/>
        <v>27015600</v>
      </c>
      <c r="E117" s="64">
        <f t="shared" si="25"/>
        <v>141374300</v>
      </c>
      <c r="F117" s="64">
        <f t="shared" si="25"/>
        <v>51430100</v>
      </c>
      <c r="G117" s="64">
        <f t="shared" si="25"/>
        <v>100712200</v>
      </c>
      <c r="H117" s="64">
        <f t="shared" si="25"/>
        <v>152142300</v>
      </c>
      <c r="I117" s="64">
        <f t="shared" si="25"/>
        <v>214851800</v>
      </c>
      <c r="J117" s="64">
        <f t="shared" si="25"/>
        <v>67722300</v>
      </c>
      <c r="K117" s="64">
        <f t="shared" si="25"/>
        <v>282574100</v>
      </c>
      <c r="L117" s="64">
        <f t="shared" si="25"/>
        <v>569923900</v>
      </c>
      <c r="M117" s="64">
        <f t="shared" si="25"/>
        <v>163569200</v>
      </c>
      <c r="N117" s="64">
        <f t="shared" si="25"/>
        <v>733493100</v>
      </c>
      <c r="O117" s="62"/>
    </row>
    <row r="122" spans="1:15" ht="21">
      <c r="L122" s="64"/>
      <c r="M122" s="64"/>
      <c r="N122" s="64"/>
    </row>
  </sheetData>
  <autoFilter ref="A4:O115" xr:uid="{46B535DB-BB32-480E-B831-30386BF6358F}"/>
  <mergeCells count="11">
    <mergeCell ref="A5:N5"/>
    <mergeCell ref="A18:N18"/>
    <mergeCell ref="A43:N43"/>
    <mergeCell ref="A96:N96"/>
    <mergeCell ref="A1:N1"/>
    <mergeCell ref="A3:A4"/>
    <mergeCell ref="B3:B4"/>
    <mergeCell ref="C3:E3"/>
    <mergeCell ref="F3:H3"/>
    <mergeCell ref="I3:K3"/>
    <mergeCell ref="L3:N3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C6F42-85F2-41C2-9046-280EB4A57174}">
  <sheetPr>
    <tabColor theme="7" tint="0.39997558519241921"/>
  </sheetPr>
  <dimension ref="A1:L72"/>
  <sheetViews>
    <sheetView topLeftCell="A61" zoomScale="85" zoomScaleNormal="85" workbookViewId="0">
      <selection activeCell="G73" sqref="G73"/>
    </sheetView>
  </sheetViews>
  <sheetFormatPr defaultColWidth="9.140625" defaultRowHeight="21"/>
  <cols>
    <col min="1" max="1" width="19.140625" style="1" customWidth="1"/>
    <col min="2" max="2" width="17.5703125" style="1" bestFit="1" customWidth="1"/>
    <col min="3" max="4" width="19.140625" style="1" customWidth="1"/>
    <col min="5" max="5" width="74.85546875" style="1" customWidth="1"/>
    <col min="6" max="6" width="19.42578125" style="1" customWidth="1"/>
    <col min="7" max="7" width="10.28515625" style="1" customWidth="1"/>
    <col min="8" max="8" width="19.5703125" style="38" customWidth="1"/>
    <col min="9" max="9" width="9.85546875" style="1" bestFit="1" customWidth="1"/>
    <col min="10" max="10" width="13.85546875" style="1" bestFit="1" customWidth="1"/>
    <col min="11" max="16384" width="9.140625" style="1"/>
  </cols>
  <sheetData>
    <row r="1" spans="1:12" ht="47.25" customHeight="1">
      <c r="A1" s="195" t="s">
        <v>1</v>
      </c>
      <c r="B1" s="195" t="s">
        <v>1310</v>
      </c>
      <c r="C1" s="181" t="s">
        <v>2</v>
      </c>
      <c r="D1" s="181" t="s">
        <v>3</v>
      </c>
      <c r="E1" s="181" t="s">
        <v>4</v>
      </c>
      <c r="F1" s="181" t="s">
        <v>5</v>
      </c>
      <c r="G1" s="181" t="s">
        <v>6</v>
      </c>
      <c r="H1" s="196" t="s">
        <v>7</v>
      </c>
    </row>
    <row r="2" spans="1:12" ht="69.75" customHeight="1">
      <c r="A2" s="182" t="s">
        <v>13</v>
      </c>
      <c r="B2" s="182">
        <v>2567</v>
      </c>
      <c r="C2" s="44" t="s">
        <v>22</v>
      </c>
      <c r="D2" s="49" t="s">
        <v>31</v>
      </c>
      <c r="E2" s="50" t="s">
        <v>412</v>
      </c>
      <c r="F2" s="12" t="s">
        <v>26</v>
      </c>
      <c r="G2" s="51">
        <v>1</v>
      </c>
      <c r="H2" s="188">
        <v>1358000</v>
      </c>
      <c r="I2" s="41"/>
      <c r="J2" s="41"/>
      <c r="K2" s="41"/>
      <c r="L2" s="41"/>
    </row>
    <row r="3" spans="1:12" ht="87" customHeight="1">
      <c r="A3" s="182" t="s">
        <v>13</v>
      </c>
      <c r="B3" s="182">
        <v>2567</v>
      </c>
      <c r="C3" s="44" t="s">
        <v>22</v>
      </c>
      <c r="D3" s="49" t="s">
        <v>31</v>
      </c>
      <c r="E3" s="50" t="s">
        <v>413</v>
      </c>
      <c r="F3" s="12" t="s">
        <v>26</v>
      </c>
      <c r="G3" s="51">
        <v>1</v>
      </c>
      <c r="H3" s="188">
        <v>1090900</v>
      </c>
      <c r="I3" s="41"/>
      <c r="J3" s="41"/>
      <c r="K3" s="41"/>
      <c r="L3" s="41"/>
    </row>
    <row r="4" spans="1:12" ht="69" customHeight="1">
      <c r="A4" s="183" t="s">
        <v>13</v>
      </c>
      <c r="B4" s="182">
        <v>2567</v>
      </c>
      <c r="C4" s="44" t="s">
        <v>27</v>
      </c>
      <c r="D4" s="10" t="s">
        <v>31</v>
      </c>
      <c r="E4" s="11" t="s">
        <v>312</v>
      </c>
      <c r="F4" s="48" t="s">
        <v>29</v>
      </c>
      <c r="G4" s="11">
        <v>1</v>
      </c>
      <c r="H4" s="189">
        <v>1358000</v>
      </c>
    </row>
    <row r="5" spans="1:12" ht="69" customHeight="1">
      <c r="A5" s="183" t="s">
        <v>13</v>
      </c>
      <c r="B5" s="182">
        <v>2567</v>
      </c>
      <c r="C5" s="44" t="s">
        <v>27</v>
      </c>
      <c r="D5" s="10" t="s">
        <v>16</v>
      </c>
      <c r="E5" s="11" t="s">
        <v>313</v>
      </c>
      <c r="F5" s="48" t="s">
        <v>29</v>
      </c>
      <c r="G5" s="11">
        <v>1</v>
      </c>
      <c r="H5" s="189">
        <v>180000</v>
      </c>
    </row>
    <row r="6" spans="1:12" ht="42">
      <c r="A6" s="182" t="s">
        <v>13</v>
      </c>
      <c r="B6" s="182">
        <v>2567</v>
      </c>
      <c r="C6" s="44" t="s">
        <v>176</v>
      </c>
      <c r="D6" s="10" t="s">
        <v>16</v>
      </c>
      <c r="E6" s="11" t="s">
        <v>314</v>
      </c>
      <c r="F6" s="12" t="s">
        <v>179</v>
      </c>
      <c r="G6" s="11">
        <v>1</v>
      </c>
      <c r="H6" s="190">
        <v>200000</v>
      </c>
    </row>
    <row r="7" spans="1:12" ht="69" customHeight="1">
      <c r="A7" s="182" t="s">
        <v>13</v>
      </c>
      <c r="B7" s="182">
        <v>2567</v>
      </c>
      <c r="C7" s="44" t="s">
        <v>233</v>
      </c>
      <c r="D7" s="10" t="s">
        <v>31</v>
      </c>
      <c r="E7" s="11" t="s">
        <v>409</v>
      </c>
      <c r="F7" s="12" t="s">
        <v>36</v>
      </c>
      <c r="G7" s="11">
        <v>1</v>
      </c>
      <c r="H7" s="190">
        <v>885900</v>
      </c>
    </row>
    <row r="8" spans="1:12" ht="84">
      <c r="A8" s="184" t="s">
        <v>40</v>
      </c>
      <c r="B8" s="182">
        <v>2567</v>
      </c>
      <c r="C8" s="45" t="s">
        <v>41</v>
      </c>
      <c r="D8" s="19" t="s">
        <v>31</v>
      </c>
      <c r="E8" s="20" t="s">
        <v>315</v>
      </c>
      <c r="F8" s="21" t="s">
        <v>45</v>
      </c>
      <c r="G8" s="20">
        <v>1</v>
      </c>
      <c r="H8" s="191">
        <v>885900</v>
      </c>
    </row>
    <row r="9" spans="1:12" ht="84">
      <c r="A9" s="184" t="s">
        <v>40</v>
      </c>
      <c r="B9" s="182">
        <v>2567</v>
      </c>
      <c r="C9" s="45" t="s">
        <v>41</v>
      </c>
      <c r="D9" s="19" t="s">
        <v>31</v>
      </c>
      <c r="E9" s="20" t="s">
        <v>316</v>
      </c>
      <c r="F9" s="21" t="s">
        <v>45</v>
      </c>
      <c r="G9" s="20">
        <v>1</v>
      </c>
      <c r="H9" s="191">
        <v>1090900</v>
      </c>
    </row>
    <row r="10" spans="1:12" ht="63">
      <c r="A10" s="184" t="s">
        <v>40</v>
      </c>
      <c r="B10" s="182">
        <v>2567</v>
      </c>
      <c r="C10" s="45" t="s">
        <v>317</v>
      </c>
      <c r="D10" s="19" t="s">
        <v>16</v>
      </c>
      <c r="E10" s="20" t="s">
        <v>318</v>
      </c>
      <c r="F10" s="21" t="s">
        <v>319</v>
      </c>
      <c r="G10" s="20">
        <v>1</v>
      </c>
      <c r="H10" s="191">
        <v>200000</v>
      </c>
    </row>
    <row r="11" spans="1:12" ht="63">
      <c r="A11" s="184" t="s">
        <v>40</v>
      </c>
      <c r="B11" s="182">
        <v>2567</v>
      </c>
      <c r="C11" s="45" t="s">
        <v>317</v>
      </c>
      <c r="D11" s="19" t="s">
        <v>31</v>
      </c>
      <c r="E11" s="20" t="s">
        <v>410</v>
      </c>
      <c r="F11" s="21" t="s">
        <v>411</v>
      </c>
      <c r="G11" s="20">
        <v>1</v>
      </c>
      <c r="H11" s="191">
        <v>1358000</v>
      </c>
    </row>
    <row r="12" spans="1:12" ht="84">
      <c r="A12" s="184" t="s">
        <v>40</v>
      </c>
      <c r="B12" s="182">
        <v>2567</v>
      </c>
      <c r="C12" s="45" t="s">
        <v>320</v>
      </c>
      <c r="D12" s="19" t="s">
        <v>31</v>
      </c>
      <c r="E12" s="20" t="s">
        <v>321</v>
      </c>
      <c r="F12" s="21" t="s">
        <v>322</v>
      </c>
      <c r="G12" s="20">
        <v>1</v>
      </c>
      <c r="H12" s="191">
        <v>1090900</v>
      </c>
    </row>
    <row r="13" spans="1:12" ht="63">
      <c r="A13" s="184" t="s">
        <v>40</v>
      </c>
      <c r="B13" s="182">
        <v>2567</v>
      </c>
      <c r="C13" s="45" t="s">
        <v>182</v>
      </c>
      <c r="D13" s="19" t="s">
        <v>31</v>
      </c>
      <c r="E13" s="20" t="s">
        <v>323</v>
      </c>
      <c r="F13" s="21" t="s">
        <v>185</v>
      </c>
      <c r="G13" s="20">
        <v>1</v>
      </c>
      <c r="H13" s="191">
        <v>1358000</v>
      </c>
    </row>
    <row r="14" spans="1:12" ht="84">
      <c r="A14" s="184" t="s">
        <v>40</v>
      </c>
      <c r="B14" s="182">
        <v>2567</v>
      </c>
      <c r="C14" s="45" t="s">
        <v>46</v>
      </c>
      <c r="D14" s="19" t="s">
        <v>31</v>
      </c>
      <c r="E14" s="20" t="s">
        <v>324</v>
      </c>
      <c r="F14" s="21" t="s">
        <v>50</v>
      </c>
      <c r="G14" s="20">
        <v>1</v>
      </c>
      <c r="H14" s="191">
        <v>1090900</v>
      </c>
    </row>
    <row r="15" spans="1:12" ht="42">
      <c r="A15" s="184" t="s">
        <v>40</v>
      </c>
      <c r="B15" s="182">
        <v>2567</v>
      </c>
      <c r="C15" s="45" t="s">
        <v>46</v>
      </c>
      <c r="D15" s="19" t="s">
        <v>19</v>
      </c>
      <c r="E15" s="20" t="s">
        <v>325</v>
      </c>
      <c r="F15" s="21" t="s">
        <v>50</v>
      </c>
      <c r="G15" s="20">
        <v>1</v>
      </c>
      <c r="H15" s="191">
        <v>10600</v>
      </c>
    </row>
    <row r="16" spans="1:12" ht="63">
      <c r="A16" s="184" t="s">
        <v>40</v>
      </c>
      <c r="B16" s="182">
        <v>2567</v>
      </c>
      <c r="C16" s="45" t="s">
        <v>326</v>
      </c>
      <c r="D16" s="19" t="s">
        <v>31</v>
      </c>
      <c r="E16" s="20" t="s">
        <v>327</v>
      </c>
      <c r="F16" s="21" t="s">
        <v>329</v>
      </c>
      <c r="G16" s="20">
        <v>1</v>
      </c>
      <c r="H16" s="191">
        <v>1358000</v>
      </c>
    </row>
    <row r="17" spans="1:10" ht="84">
      <c r="A17" s="184" t="s">
        <v>40</v>
      </c>
      <c r="B17" s="182">
        <v>2567</v>
      </c>
      <c r="C17" s="45" t="s">
        <v>326</v>
      </c>
      <c r="D17" s="19" t="s">
        <v>31</v>
      </c>
      <c r="E17" s="20" t="s">
        <v>328</v>
      </c>
      <c r="F17" s="21" t="s">
        <v>329</v>
      </c>
      <c r="G17" s="20">
        <v>1</v>
      </c>
      <c r="H17" s="191">
        <v>1090900</v>
      </c>
    </row>
    <row r="18" spans="1:10" ht="84">
      <c r="A18" s="184" t="s">
        <v>40</v>
      </c>
      <c r="B18" s="182">
        <v>2567</v>
      </c>
      <c r="C18" s="45" t="s">
        <v>326</v>
      </c>
      <c r="D18" s="19" t="s">
        <v>31</v>
      </c>
      <c r="E18" s="20" t="s">
        <v>328</v>
      </c>
      <c r="F18" s="21" t="s">
        <v>329</v>
      </c>
      <c r="G18" s="20">
        <v>1</v>
      </c>
      <c r="H18" s="191">
        <v>1090900</v>
      </c>
    </row>
    <row r="19" spans="1:10" ht="84">
      <c r="A19" s="184" t="s">
        <v>40</v>
      </c>
      <c r="B19" s="182">
        <v>2567</v>
      </c>
      <c r="C19" s="45" t="s">
        <v>188</v>
      </c>
      <c r="D19" s="19" t="s">
        <v>31</v>
      </c>
      <c r="E19" s="20" t="s">
        <v>330</v>
      </c>
      <c r="F19" s="21" t="s">
        <v>190</v>
      </c>
      <c r="G19" s="20">
        <v>1</v>
      </c>
      <c r="H19" s="191">
        <v>1090900</v>
      </c>
    </row>
    <row r="20" spans="1:10" ht="84">
      <c r="A20" s="184" t="s">
        <v>40</v>
      </c>
      <c r="B20" s="182">
        <v>2567</v>
      </c>
      <c r="C20" s="45" t="s">
        <v>193</v>
      </c>
      <c r="D20" s="19" t="s">
        <v>31</v>
      </c>
      <c r="E20" s="20" t="s">
        <v>331</v>
      </c>
      <c r="F20" s="21" t="s">
        <v>195</v>
      </c>
      <c r="G20" s="20">
        <v>1</v>
      </c>
      <c r="H20" s="191">
        <v>1090900</v>
      </c>
    </row>
    <row r="21" spans="1:10" ht="63">
      <c r="A21" s="184" t="s">
        <v>40</v>
      </c>
      <c r="B21" s="182">
        <v>2567</v>
      </c>
      <c r="C21" s="45" t="s">
        <v>57</v>
      </c>
      <c r="D21" s="19" t="s">
        <v>16</v>
      </c>
      <c r="E21" s="20" t="s">
        <v>332</v>
      </c>
      <c r="F21" s="21" t="s">
        <v>59</v>
      </c>
      <c r="G21" s="19">
        <v>1</v>
      </c>
      <c r="H21" s="191">
        <v>180000</v>
      </c>
    </row>
    <row r="22" spans="1:10" ht="84">
      <c r="A22" s="185" t="s">
        <v>63</v>
      </c>
      <c r="B22" s="182">
        <v>2567</v>
      </c>
      <c r="C22" s="27" t="s">
        <v>64</v>
      </c>
      <c r="D22" s="27" t="s">
        <v>31</v>
      </c>
      <c r="E22" s="28" t="s">
        <v>333</v>
      </c>
      <c r="F22" s="39" t="s">
        <v>66</v>
      </c>
      <c r="G22" s="27">
        <v>1</v>
      </c>
      <c r="H22" s="192">
        <v>2749000</v>
      </c>
      <c r="J22" s="16"/>
    </row>
    <row r="23" spans="1:10" ht="63">
      <c r="A23" s="185" t="s">
        <v>63</v>
      </c>
      <c r="B23" s="182">
        <v>2567</v>
      </c>
      <c r="C23" s="27" t="s">
        <v>64</v>
      </c>
      <c r="D23" s="27" t="s">
        <v>31</v>
      </c>
      <c r="E23" s="28" t="s">
        <v>334</v>
      </c>
      <c r="F23" s="39" t="s">
        <v>448</v>
      </c>
      <c r="G23" s="27">
        <v>1</v>
      </c>
      <c r="H23" s="192">
        <v>1358000</v>
      </c>
      <c r="J23" s="16"/>
    </row>
    <row r="24" spans="1:10" ht="84.75" customHeight="1">
      <c r="A24" s="185" t="s">
        <v>63</v>
      </c>
      <c r="B24" s="182">
        <v>2567</v>
      </c>
      <c r="C24" s="27" t="s">
        <v>64</v>
      </c>
      <c r="D24" s="27" t="s">
        <v>31</v>
      </c>
      <c r="E24" s="28" t="s">
        <v>335</v>
      </c>
      <c r="F24" s="39" t="s">
        <v>250</v>
      </c>
      <c r="G24" s="27">
        <v>1</v>
      </c>
      <c r="H24" s="192">
        <v>1090900</v>
      </c>
    </row>
    <row r="25" spans="1:10" ht="70.5" customHeight="1">
      <c r="A25" s="185" t="s">
        <v>63</v>
      </c>
      <c r="B25" s="182">
        <v>2567</v>
      </c>
      <c r="C25" s="27" t="s">
        <v>64</v>
      </c>
      <c r="D25" s="27" t="s">
        <v>31</v>
      </c>
      <c r="E25" s="28" t="s">
        <v>336</v>
      </c>
      <c r="F25" s="39" t="s">
        <v>448</v>
      </c>
      <c r="G25" s="27">
        <v>12</v>
      </c>
      <c r="H25" s="192">
        <v>19968000</v>
      </c>
    </row>
    <row r="26" spans="1:10" ht="84">
      <c r="A26" s="185" t="s">
        <v>63</v>
      </c>
      <c r="B26" s="182">
        <v>2567</v>
      </c>
      <c r="C26" s="27" t="s">
        <v>64</v>
      </c>
      <c r="D26" s="27" t="s">
        <v>75</v>
      </c>
      <c r="E26" s="28" t="s">
        <v>337</v>
      </c>
      <c r="F26" s="39" t="s">
        <v>70</v>
      </c>
      <c r="G26" s="27">
        <v>1</v>
      </c>
      <c r="H26" s="192">
        <v>2531800</v>
      </c>
      <c r="J26" s="16"/>
    </row>
    <row r="27" spans="1:10" ht="63">
      <c r="A27" s="185" t="s">
        <v>63</v>
      </c>
      <c r="B27" s="182">
        <v>2567</v>
      </c>
      <c r="C27" s="27" t="s">
        <v>64</v>
      </c>
      <c r="D27" s="27" t="s">
        <v>75</v>
      </c>
      <c r="E27" s="28" t="s">
        <v>338</v>
      </c>
      <c r="F27" s="39" t="s">
        <v>77</v>
      </c>
      <c r="G27" s="27">
        <v>1</v>
      </c>
      <c r="H27" s="192">
        <v>28309400</v>
      </c>
      <c r="J27" s="16"/>
    </row>
    <row r="28" spans="1:10" ht="84">
      <c r="A28" s="185" t="s">
        <v>63</v>
      </c>
      <c r="B28" s="182">
        <v>2567</v>
      </c>
      <c r="C28" s="27" t="s">
        <v>64</v>
      </c>
      <c r="D28" s="27" t="s">
        <v>75</v>
      </c>
      <c r="E28" s="28" t="s">
        <v>339</v>
      </c>
      <c r="F28" s="39" t="s">
        <v>77</v>
      </c>
      <c r="G28" s="27">
        <v>1</v>
      </c>
      <c r="H28" s="192">
        <v>10724000</v>
      </c>
    </row>
    <row r="29" spans="1:10" ht="84">
      <c r="A29" s="185" t="s">
        <v>63</v>
      </c>
      <c r="B29" s="182">
        <v>2567</v>
      </c>
      <c r="C29" s="27" t="s">
        <v>340</v>
      </c>
      <c r="D29" s="27" t="s">
        <v>31</v>
      </c>
      <c r="E29" s="28" t="s">
        <v>341</v>
      </c>
      <c r="F29" s="39" t="s">
        <v>343</v>
      </c>
      <c r="G29" s="27">
        <v>1</v>
      </c>
      <c r="H29" s="192">
        <v>885900</v>
      </c>
    </row>
    <row r="30" spans="1:10" ht="84">
      <c r="A30" s="185" t="s">
        <v>63</v>
      </c>
      <c r="B30" s="182">
        <v>2567</v>
      </c>
      <c r="C30" s="27" t="s">
        <v>340</v>
      </c>
      <c r="D30" s="27" t="s">
        <v>31</v>
      </c>
      <c r="E30" s="28" t="s">
        <v>342</v>
      </c>
      <c r="F30" s="39" t="s">
        <v>343</v>
      </c>
      <c r="G30" s="27">
        <v>1</v>
      </c>
      <c r="H30" s="192">
        <v>1090900</v>
      </c>
    </row>
    <row r="31" spans="1:10" ht="42">
      <c r="A31" s="185" t="s">
        <v>63</v>
      </c>
      <c r="B31" s="182">
        <v>2567</v>
      </c>
      <c r="C31" s="27" t="s">
        <v>344</v>
      </c>
      <c r="D31" s="27" t="s">
        <v>19</v>
      </c>
      <c r="E31" s="28" t="s">
        <v>345</v>
      </c>
      <c r="F31" s="39" t="s">
        <v>346</v>
      </c>
      <c r="G31" s="27">
        <v>1</v>
      </c>
      <c r="H31" s="192">
        <v>10600</v>
      </c>
    </row>
    <row r="32" spans="1:10" ht="43.5" customHeight="1">
      <c r="A32" s="185" t="s">
        <v>63</v>
      </c>
      <c r="B32" s="182">
        <v>2567</v>
      </c>
      <c r="C32" s="27" t="s">
        <v>199</v>
      </c>
      <c r="D32" s="27" t="s">
        <v>16</v>
      </c>
      <c r="E32" s="28" t="s">
        <v>347</v>
      </c>
      <c r="F32" s="39" t="s">
        <v>201</v>
      </c>
      <c r="G32" s="27">
        <v>1</v>
      </c>
      <c r="H32" s="192">
        <v>180000</v>
      </c>
    </row>
    <row r="33" spans="1:10" ht="90.75" customHeight="1">
      <c r="A33" s="185" t="s">
        <v>63</v>
      </c>
      <c r="B33" s="182">
        <v>2567</v>
      </c>
      <c r="C33" s="27" t="s">
        <v>285</v>
      </c>
      <c r="D33" s="27" t="s">
        <v>31</v>
      </c>
      <c r="E33" s="28" t="s">
        <v>348</v>
      </c>
      <c r="F33" s="39" t="s">
        <v>287</v>
      </c>
      <c r="G33" s="27">
        <v>1</v>
      </c>
      <c r="H33" s="192">
        <v>885900</v>
      </c>
    </row>
    <row r="34" spans="1:10" ht="90.75" customHeight="1">
      <c r="A34" s="185" t="s">
        <v>63</v>
      </c>
      <c r="B34" s="182">
        <v>2567</v>
      </c>
      <c r="C34" s="27" t="s">
        <v>103</v>
      </c>
      <c r="D34" s="27" t="s">
        <v>31</v>
      </c>
      <c r="E34" s="28" t="s">
        <v>349</v>
      </c>
      <c r="F34" s="39" t="s">
        <v>350</v>
      </c>
      <c r="G34" s="27">
        <v>1</v>
      </c>
      <c r="H34" s="192">
        <v>10600</v>
      </c>
    </row>
    <row r="35" spans="1:10" ht="42">
      <c r="A35" s="185" t="s">
        <v>63</v>
      </c>
      <c r="B35" s="182">
        <v>2567</v>
      </c>
      <c r="C35" s="27" t="s">
        <v>103</v>
      </c>
      <c r="D35" s="27" t="s">
        <v>19</v>
      </c>
      <c r="E35" s="28" t="s">
        <v>351</v>
      </c>
      <c r="F35" s="39" t="s">
        <v>350</v>
      </c>
      <c r="G35" s="27">
        <v>1</v>
      </c>
      <c r="H35" s="192">
        <v>885900</v>
      </c>
    </row>
    <row r="36" spans="1:10" ht="90.75" customHeight="1">
      <c r="A36" s="185" t="s">
        <v>63</v>
      </c>
      <c r="B36" s="182">
        <v>2567</v>
      </c>
      <c r="C36" s="27" t="s">
        <v>352</v>
      </c>
      <c r="D36" s="27" t="s">
        <v>31</v>
      </c>
      <c r="E36" s="28" t="s">
        <v>353</v>
      </c>
      <c r="F36" s="39" t="s">
        <v>354</v>
      </c>
      <c r="G36" s="27">
        <v>1</v>
      </c>
      <c r="H36" s="192">
        <v>885900</v>
      </c>
    </row>
    <row r="37" spans="1:10" ht="42">
      <c r="A37" s="185" t="s">
        <v>63</v>
      </c>
      <c r="B37" s="182">
        <v>2567</v>
      </c>
      <c r="C37" s="27" t="s">
        <v>357</v>
      </c>
      <c r="D37" s="27" t="s">
        <v>19</v>
      </c>
      <c r="E37" s="28" t="s">
        <v>355</v>
      </c>
      <c r="F37" s="39" t="s">
        <v>356</v>
      </c>
      <c r="G37" s="27">
        <v>1</v>
      </c>
      <c r="H37" s="192">
        <v>10600</v>
      </c>
    </row>
    <row r="38" spans="1:10" ht="84">
      <c r="A38" s="185" t="s">
        <v>63</v>
      </c>
      <c r="B38" s="182">
        <v>2567</v>
      </c>
      <c r="C38" s="27" t="s">
        <v>107</v>
      </c>
      <c r="D38" s="27" t="s">
        <v>31</v>
      </c>
      <c r="E38" s="28" t="s">
        <v>358</v>
      </c>
      <c r="F38" s="39" t="s">
        <v>109</v>
      </c>
      <c r="G38" s="27">
        <v>1</v>
      </c>
      <c r="H38" s="192">
        <v>1090900</v>
      </c>
    </row>
    <row r="39" spans="1:10" ht="84">
      <c r="A39" s="185" t="s">
        <v>63</v>
      </c>
      <c r="B39" s="182">
        <v>2567</v>
      </c>
      <c r="C39" s="27" t="s">
        <v>202</v>
      </c>
      <c r="D39" s="27" t="s">
        <v>31</v>
      </c>
      <c r="E39" s="28" t="s">
        <v>359</v>
      </c>
      <c r="F39" s="39" t="s">
        <v>204</v>
      </c>
      <c r="G39" s="27">
        <v>1</v>
      </c>
      <c r="H39" s="192">
        <v>885900</v>
      </c>
    </row>
    <row r="40" spans="1:10" ht="84">
      <c r="A40" s="185" t="s">
        <v>63</v>
      </c>
      <c r="B40" s="182">
        <v>2567</v>
      </c>
      <c r="C40" s="27" t="s">
        <v>202</v>
      </c>
      <c r="D40" s="27" t="s">
        <v>31</v>
      </c>
      <c r="E40" s="28" t="s">
        <v>360</v>
      </c>
      <c r="F40" s="39" t="s">
        <v>204</v>
      </c>
      <c r="G40" s="27">
        <v>1</v>
      </c>
      <c r="H40" s="192">
        <v>1090900</v>
      </c>
    </row>
    <row r="41" spans="1:10" ht="65.25" customHeight="1">
      <c r="A41" s="185" t="s">
        <v>63</v>
      </c>
      <c r="B41" s="182">
        <v>2567</v>
      </c>
      <c r="C41" s="27" t="s">
        <v>205</v>
      </c>
      <c r="D41" s="27" t="s">
        <v>31</v>
      </c>
      <c r="E41" s="28" t="s">
        <v>362</v>
      </c>
      <c r="F41" s="39" t="s">
        <v>363</v>
      </c>
      <c r="G41" s="27">
        <v>1</v>
      </c>
      <c r="H41" s="192">
        <v>1358000</v>
      </c>
    </row>
    <row r="42" spans="1:10" ht="69" customHeight="1">
      <c r="A42" s="185" t="s">
        <v>63</v>
      </c>
      <c r="B42" s="182">
        <v>2567</v>
      </c>
      <c r="C42" s="27" t="s">
        <v>205</v>
      </c>
      <c r="D42" s="27" t="s">
        <v>16</v>
      </c>
      <c r="E42" s="28" t="s">
        <v>361</v>
      </c>
      <c r="F42" s="39" t="s">
        <v>363</v>
      </c>
      <c r="G42" s="27">
        <v>1</v>
      </c>
      <c r="H42" s="192">
        <v>180000</v>
      </c>
    </row>
    <row r="43" spans="1:10" ht="69" customHeight="1">
      <c r="A43" s="185" t="s">
        <v>63</v>
      </c>
      <c r="B43" s="182">
        <v>2567</v>
      </c>
      <c r="C43" s="27" t="s">
        <v>110</v>
      </c>
      <c r="D43" s="27" t="s">
        <v>31</v>
      </c>
      <c r="E43" s="28" t="s">
        <v>364</v>
      </c>
      <c r="F43" s="39" t="s">
        <v>365</v>
      </c>
      <c r="G43" s="27">
        <v>1</v>
      </c>
      <c r="H43" s="192">
        <v>885900</v>
      </c>
      <c r="J43" s="16"/>
    </row>
    <row r="44" spans="1:10" ht="69" customHeight="1">
      <c r="A44" s="185" t="s">
        <v>63</v>
      </c>
      <c r="B44" s="182">
        <v>2567</v>
      </c>
      <c r="C44" s="27" t="s">
        <v>110</v>
      </c>
      <c r="D44" s="27" t="s">
        <v>16</v>
      </c>
      <c r="E44" s="28" t="s">
        <v>366</v>
      </c>
      <c r="F44" s="39" t="s">
        <v>365</v>
      </c>
      <c r="G44" s="27">
        <v>1</v>
      </c>
      <c r="H44" s="192">
        <v>200000</v>
      </c>
      <c r="J44" s="16"/>
    </row>
    <row r="45" spans="1:10" ht="69" customHeight="1">
      <c r="A45" s="185" t="s">
        <v>63</v>
      </c>
      <c r="B45" s="182">
        <v>2567</v>
      </c>
      <c r="C45" s="27" t="s">
        <v>110</v>
      </c>
      <c r="D45" s="27" t="s">
        <v>19</v>
      </c>
      <c r="E45" s="28" t="s">
        <v>367</v>
      </c>
      <c r="F45" s="39" t="s">
        <v>114</v>
      </c>
      <c r="G45" s="27">
        <v>1</v>
      </c>
      <c r="H45" s="192">
        <v>9500</v>
      </c>
    </row>
    <row r="46" spans="1:10" ht="69" customHeight="1">
      <c r="A46" s="185" t="s">
        <v>63</v>
      </c>
      <c r="B46" s="182">
        <v>2567</v>
      </c>
      <c r="C46" s="27" t="s">
        <v>110</v>
      </c>
      <c r="D46" s="27" t="s">
        <v>19</v>
      </c>
      <c r="E46" s="28" t="s">
        <v>368</v>
      </c>
      <c r="F46" s="39" t="s">
        <v>114</v>
      </c>
      <c r="G46" s="27">
        <v>1</v>
      </c>
      <c r="H46" s="192">
        <v>13800</v>
      </c>
    </row>
    <row r="47" spans="1:10" ht="69" customHeight="1">
      <c r="A47" s="185" t="s">
        <v>63</v>
      </c>
      <c r="B47" s="182">
        <v>2567</v>
      </c>
      <c r="C47" s="27" t="s">
        <v>119</v>
      </c>
      <c r="D47" s="27" t="s">
        <v>16</v>
      </c>
      <c r="E47" s="28" t="s">
        <v>369</v>
      </c>
      <c r="F47" s="39" t="s">
        <v>121</v>
      </c>
      <c r="G47" s="27">
        <v>1</v>
      </c>
      <c r="H47" s="192">
        <v>200000</v>
      </c>
    </row>
    <row r="48" spans="1:10" ht="69" customHeight="1">
      <c r="A48" s="185" t="s">
        <v>63</v>
      </c>
      <c r="B48" s="182">
        <v>2567</v>
      </c>
      <c r="C48" s="27" t="s">
        <v>119</v>
      </c>
      <c r="D48" s="27" t="s">
        <v>19</v>
      </c>
      <c r="E48" s="28" t="s">
        <v>370</v>
      </c>
      <c r="F48" s="39" t="s">
        <v>121</v>
      </c>
      <c r="G48" s="27">
        <v>1</v>
      </c>
      <c r="H48" s="192">
        <v>13800</v>
      </c>
    </row>
    <row r="49" spans="1:10" ht="90.75" customHeight="1">
      <c r="A49" s="185" t="s">
        <v>63</v>
      </c>
      <c r="B49" s="182">
        <v>2567</v>
      </c>
      <c r="C49" s="27" t="s">
        <v>122</v>
      </c>
      <c r="D49" s="27" t="s">
        <v>31</v>
      </c>
      <c r="E49" s="28" t="s">
        <v>371</v>
      </c>
      <c r="F49" s="39" t="s">
        <v>124</v>
      </c>
      <c r="G49" s="27">
        <v>1</v>
      </c>
      <c r="H49" s="192">
        <v>885900</v>
      </c>
    </row>
    <row r="50" spans="1:10" ht="63">
      <c r="A50" s="186" t="s">
        <v>63</v>
      </c>
      <c r="B50" s="182">
        <v>2567</v>
      </c>
      <c r="C50" s="27" t="s">
        <v>126</v>
      </c>
      <c r="D50" s="30" t="s">
        <v>31</v>
      </c>
      <c r="E50" s="31" t="s">
        <v>372</v>
      </c>
      <c r="F50" s="33" t="s">
        <v>128</v>
      </c>
      <c r="G50" s="30">
        <v>1</v>
      </c>
      <c r="H50" s="193">
        <v>1358000</v>
      </c>
    </row>
    <row r="51" spans="1:10" ht="84">
      <c r="A51" s="186" t="s">
        <v>63</v>
      </c>
      <c r="B51" s="182">
        <v>2567</v>
      </c>
      <c r="C51" s="27" t="s">
        <v>130</v>
      </c>
      <c r="D51" s="30" t="s">
        <v>31</v>
      </c>
      <c r="E51" s="31" t="s">
        <v>373</v>
      </c>
      <c r="F51" s="33" t="s">
        <v>132</v>
      </c>
      <c r="G51" s="30">
        <v>1</v>
      </c>
      <c r="H51" s="193">
        <v>1090900</v>
      </c>
      <c r="J51" s="16"/>
    </row>
    <row r="52" spans="1:10" ht="63">
      <c r="A52" s="186" t="s">
        <v>63</v>
      </c>
      <c r="B52" s="182">
        <v>2567</v>
      </c>
      <c r="C52" s="27" t="s">
        <v>130</v>
      </c>
      <c r="D52" s="30" t="s">
        <v>31</v>
      </c>
      <c r="E52" s="31" t="s">
        <v>374</v>
      </c>
      <c r="F52" s="33" t="s">
        <v>132</v>
      </c>
      <c r="G52" s="30">
        <v>1</v>
      </c>
      <c r="H52" s="193">
        <v>1358000</v>
      </c>
    </row>
    <row r="53" spans="1:10" ht="45" customHeight="1">
      <c r="A53" s="186" t="s">
        <v>63</v>
      </c>
      <c r="B53" s="182">
        <v>2567</v>
      </c>
      <c r="C53" s="27" t="s">
        <v>130</v>
      </c>
      <c r="D53" s="30" t="s">
        <v>19</v>
      </c>
      <c r="E53" s="31" t="s">
        <v>406</v>
      </c>
      <c r="F53" s="33" t="s">
        <v>213</v>
      </c>
      <c r="G53" s="30">
        <v>2</v>
      </c>
      <c r="H53" s="193">
        <v>22000</v>
      </c>
    </row>
    <row r="54" spans="1:10" ht="63">
      <c r="A54" s="186" t="s">
        <v>63</v>
      </c>
      <c r="B54" s="182">
        <v>2567</v>
      </c>
      <c r="C54" s="27" t="s">
        <v>375</v>
      </c>
      <c r="D54" s="30" t="s">
        <v>31</v>
      </c>
      <c r="E54" s="31" t="s">
        <v>376</v>
      </c>
      <c r="F54" s="34" t="s">
        <v>377</v>
      </c>
      <c r="G54" s="30">
        <v>1</v>
      </c>
      <c r="H54" s="193">
        <v>1358000</v>
      </c>
    </row>
    <row r="55" spans="1:10" ht="84">
      <c r="A55" s="186" t="s">
        <v>63</v>
      </c>
      <c r="B55" s="182">
        <v>2567</v>
      </c>
      <c r="C55" s="27" t="s">
        <v>214</v>
      </c>
      <c r="D55" s="30" t="s">
        <v>31</v>
      </c>
      <c r="E55" s="31" t="s">
        <v>378</v>
      </c>
      <c r="F55" s="34" t="s">
        <v>216</v>
      </c>
      <c r="G55" s="30">
        <v>1</v>
      </c>
      <c r="H55" s="193">
        <v>885900</v>
      </c>
    </row>
    <row r="56" spans="1:10" ht="84">
      <c r="A56" s="186" t="s">
        <v>63</v>
      </c>
      <c r="B56" s="182">
        <v>2567</v>
      </c>
      <c r="C56" s="27" t="s">
        <v>379</v>
      </c>
      <c r="D56" s="30" t="s">
        <v>31</v>
      </c>
      <c r="E56" s="31" t="s">
        <v>380</v>
      </c>
      <c r="F56" s="34" t="s">
        <v>381</v>
      </c>
      <c r="G56" s="30">
        <v>1</v>
      </c>
      <c r="H56" s="193">
        <v>1090900</v>
      </c>
    </row>
    <row r="57" spans="1:10" ht="84">
      <c r="A57" s="187" t="s">
        <v>149</v>
      </c>
      <c r="B57" s="182">
        <v>2567</v>
      </c>
      <c r="C57" s="46" t="s">
        <v>221</v>
      </c>
      <c r="D57" s="35" t="s">
        <v>31</v>
      </c>
      <c r="E57" s="36" t="s">
        <v>382</v>
      </c>
      <c r="F57" s="40" t="s">
        <v>223</v>
      </c>
      <c r="G57" s="35">
        <v>1</v>
      </c>
      <c r="H57" s="194">
        <v>1090900</v>
      </c>
    </row>
    <row r="58" spans="1:10" ht="84">
      <c r="A58" s="187" t="s">
        <v>149</v>
      </c>
      <c r="B58" s="182">
        <v>2567</v>
      </c>
      <c r="C58" s="46" t="s">
        <v>383</v>
      </c>
      <c r="D58" s="35" t="s">
        <v>31</v>
      </c>
      <c r="E58" s="36" t="s">
        <v>384</v>
      </c>
      <c r="F58" s="40" t="s">
        <v>385</v>
      </c>
      <c r="G58" s="35">
        <v>1</v>
      </c>
      <c r="H58" s="194">
        <v>1090900</v>
      </c>
    </row>
    <row r="59" spans="1:10" ht="42">
      <c r="A59" s="187" t="s">
        <v>149</v>
      </c>
      <c r="B59" s="182">
        <v>2567</v>
      </c>
      <c r="C59" s="46" t="s">
        <v>383</v>
      </c>
      <c r="D59" s="35" t="s">
        <v>16</v>
      </c>
      <c r="E59" s="36" t="s">
        <v>386</v>
      </c>
      <c r="F59" s="40" t="s">
        <v>385</v>
      </c>
      <c r="G59" s="35">
        <v>1</v>
      </c>
      <c r="H59" s="194">
        <v>180000</v>
      </c>
    </row>
    <row r="60" spans="1:10" ht="84">
      <c r="A60" s="187" t="s">
        <v>149</v>
      </c>
      <c r="B60" s="182">
        <v>2567</v>
      </c>
      <c r="C60" s="46" t="s">
        <v>387</v>
      </c>
      <c r="D60" s="35" t="s">
        <v>31</v>
      </c>
      <c r="E60" s="36" t="s">
        <v>388</v>
      </c>
      <c r="F60" s="40" t="s">
        <v>389</v>
      </c>
      <c r="G60" s="35">
        <v>1</v>
      </c>
      <c r="H60" s="194">
        <v>1090900</v>
      </c>
    </row>
    <row r="61" spans="1:10" ht="84">
      <c r="A61" s="187" t="s">
        <v>149</v>
      </c>
      <c r="B61" s="182">
        <v>2567</v>
      </c>
      <c r="C61" s="46" t="s">
        <v>390</v>
      </c>
      <c r="D61" s="35" t="s">
        <v>31</v>
      </c>
      <c r="E61" s="36" t="s">
        <v>391</v>
      </c>
      <c r="F61" s="40" t="s">
        <v>392</v>
      </c>
      <c r="G61" s="35">
        <v>1</v>
      </c>
      <c r="H61" s="194">
        <v>1090900</v>
      </c>
    </row>
    <row r="62" spans="1:10" ht="45" customHeight="1">
      <c r="A62" s="187" t="s">
        <v>149</v>
      </c>
      <c r="B62" s="182">
        <v>2567</v>
      </c>
      <c r="C62" s="46" t="s">
        <v>390</v>
      </c>
      <c r="D62" s="35" t="s">
        <v>16</v>
      </c>
      <c r="E62" s="36" t="s">
        <v>393</v>
      </c>
      <c r="F62" s="40" t="s">
        <v>392</v>
      </c>
      <c r="G62" s="35">
        <v>1</v>
      </c>
      <c r="H62" s="194">
        <v>200000</v>
      </c>
    </row>
    <row r="63" spans="1:10" ht="45" customHeight="1">
      <c r="A63" s="187" t="s">
        <v>149</v>
      </c>
      <c r="B63" s="182">
        <v>2567</v>
      </c>
      <c r="C63" s="46" t="s">
        <v>394</v>
      </c>
      <c r="D63" s="35" t="s">
        <v>31</v>
      </c>
      <c r="E63" s="36" t="s">
        <v>395</v>
      </c>
      <c r="F63" s="40" t="s">
        <v>396</v>
      </c>
      <c r="G63" s="35">
        <v>1</v>
      </c>
      <c r="H63" s="194">
        <v>1358000</v>
      </c>
    </row>
    <row r="64" spans="1:10" ht="69.75" customHeight="1">
      <c r="A64" s="187" t="s">
        <v>149</v>
      </c>
      <c r="B64" s="182">
        <v>2567</v>
      </c>
      <c r="C64" s="46" t="s">
        <v>397</v>
      </c>
      <c r="D64" s="35" t="s">
        <v>31</v>
      </c>
      <c r="E64" s="36" t="s">
        <v>398</v>
      </c>
      <c r="F64" s="40" t="s">
        <v>399</v>
      </c>
      <c r="G64" s="35">
        <v>1</v>
      </c>
      <c r="H64" s="194">
        <v>1358000</v>
      </c>
    </row>
    <row r="65" spans="1:10" ht="92.25" customHeight="1">
      <c r="A65" s="187" t="s">
        <v>149</v>
      </c>
      <c r="B65" s="182">
        <v>2567</v>
      </c>
      <c r="C65" s="46" t="s">
        <v>298</v>
      </c>
      <c r="D65" s="35" t="s">
        <v>31</v>
      </c>
      <c r="E65" s="36" t="s">
        <v>400</v>
      </c>
      <c r="F65" s="40" t="s">
        <v>300</v>
      </c>
      <c r="G65" s="35">
        <v>1</v>
      </c>
      <c r="H65" s="194">
        <v>1090900</v>
      </c>
    </row>
    <row r="66" spans="1:10" ht="92.25" customHeight="1">
      <c r="A66" s="187" t="s">
        <v>149</v>
      </c>
      <c r="B66" s="182">
        <v>2567</v>
      </c>
      <c r="C66" s="46" t="s">
        <v>166</v>
      </c>
      <c r="D66" s="35" t="s">
        <v>31</v>
      </c>
      <c r="E66" s="36" t="s">
        <v>401</v>
      </c>
      <c r="F66" s="40" t="s">
        <v>168</v>
      </c>
      <c r="G66" s="35">
        <v>1</v>
      </c>
      <c r="H66" s="194">
        <v>1090900</v>
      </c>
    </row>
    <row r="67" spans="1:10" ht="45" customHeight="1">
      <c r="A67" s="187" t="s">
        <v>149</v>
      </c>
      <c r="B67" s="182">
        <v>2567</v>
      </c>
      <c r="C67" s="46" t="s">
        <v>166</v>
      </c>
      <c r="D67" s="35" t="s">
        <v>19</v>
      </c>
      <c r="E67" s="36" t="s">
        <v>407</v>
      </c>
      <c r="F67" s="40" t="s">
        <v>408</v>
      </c>
      <c r="G67" s="35">
        <v>1</v>
      </c>
      <c r="H67" s="194">
        <v>9500</v>
      </c>
    </row>
    <row r="68" spans="1:10" ht="42">
      <c r="A68" s="187" t="s">
        <v>149</v>
      </c>
      <c r="B68" s="182">
        <v>2567</v>
      </c>
      <c r="C68" s="46" t="s">
        <v>172</v>
      </c>
      <c r="D68" s="35" t="s">
        <v>19</v>
      </c>
      <c r="E68" s="36" t="s">
        <v>402</v>
      </c>
      <c r="F68" s="40" t="s">
        <v>405</v>
      </c>
      <c r="G68" s="35">
        <v>1</v>
      </c>
      <c r="H68" s="194">
        <v>9500</v>
      </c>
    </row>
    <row r="69" spans="1:10" ht="42">
      <c r="A69" s="187" t="s">
        <v>149</v>
      </c>
      <c r="B69" s="182">
        <v>2567</v>
      </c>
      <c r="C69" s="46" t="s">
        <v>172</v>
      </c>
      <c r="D69" s="35" t="s">
        <v>19</v>
      </c>
      <c r="E69" s="36" t="s">
        <v>403</v>
      </c>
      <c r="F69" s="40" t="s">
        <v>270</v>
      </c>
      <c r="G69" s="35">
        <v>1</v>
      </c>
      <c r="H69" s="194">
        <v>10600</v>
      </c>
      <c r="J69" s="16"/>
    </row>
    <row r="70" spans="1:10" ht="42">
      <c r="A70" s="187" t="s">
        <v>149</v>
      </c>
      <c r="B70" s="182">
        <v>2567</v>
      </c>
      <c r="C70" s="46" t="s">
        <v>172</v>
      </c>
      <c r="D70" s="35" t="s">
        <v>19</v>
      </c>
      <c r="E70" s="36" t="s">
        <v>404</v>
      </c>
      <c r="F70" s="40" t="s">
        <v>270</v>
      </c>
      <c r="G70" s="35">
        <v>1</v>
      </c>
      <c r="H70" s="194">
        <v>17400</v>
      </c>
    </row>
    <row r="71" spans="1:10" ht="84">
      <c r="A71" s="197" t="s">
        <v>149</v>
      </c>
      <c r="B71" s="182">
        <v>2567</v>
      </c>
      <c r="C71" s="198" t="s">
        <v>172</v>
      </c>
      <c r="D71" s="199" t="s">
        <v>31</v>
      </c>
      <c r="E71" s="200" t="s">
        <v>414</v>
      </c>
      <c r="F71" s="201" t="s">
        <v>174</v>
      </c>
      <c r="G71" s="199">
        <v>1</v>
      </c>
      <c r="H71" s="202">
        <v>1055000</v>
      </c>
    </row>
    <row r="72" spans="1:10">
      <c r="G72" s="1">
        <f>SUBTOTAL(109,Table2[จำนวน])</f>
        <v>82</v>
      </c>
      <c r="H72" s="38">
        <f>SUBTOTAL(109,Table2[งบประมาณ])</f>
        <v>114358700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4D58A6-319E-43A3-839E-C1A3BCF20EB4}">
  <sheetPr>
    <tabColor theme="9" tint="0.39997558519241921"/>
  </sheetPr>
  <dimension ref="A1:J28"/>
  <sheetViews>
    <sheetView topLeftCell="A13" zoomScale="75" zoomScaleNormal="75" workbookViewId="0">
      <selection activeCell="G18" sqref="G18"/>
    </sheetView>
  </sheetViews>
  <sheetFormatPr defaultColWidth="9.140625" defaultRowHeight="21"/>
  <cols>
    <col min="1" max="4" width="19.140625" style="1" customWidth="1"/>
    <col min="5" max="5" width="74.85546875" style="1" customWidth="1"/>
    <col min="6" max="6" width="19.42578125" style="1" customWidth="1"/>
    <col min="7" max="7" width="10.28515625" style="1" customWidth="1"/>
    <col min="8" max="8" width="19.5703125" style="38" customWidth="1"/>
    <col min="9" max="9" width="9.85546875" style="1" bestFit="1" customWidth="1"/>
    <col min="10" max="10" width="13.85546875" style="1" bestFit="1" customWidth="1"/>
    <col min="11" max="16384" width="9.140625" style="1"/>
  </cols>
  <sheetData>
    <row r="1" spans="1:10" ht="47.25" customHeight="1">
      <c r="A1" s="195" t="s">
        <v>1</v>
      </c>
      <c r="B1" s="195" t="s">
        <v>1310</v>
      </c>
      <c r="C1" s="181" t="s">
        <v>2</v>
      </c>
      <c r="D1" s="181" t="s">
        <v>3</v>
      </c>
      <c r="E1" s="181" t="s">
        <v>4</v>
      </c>
      <c r="F1" s="181" t="s">
        <v>5</v>
      </c>
      <c r="G1" s="181" t="s">
        <v>6</v>
      </c>
      <c r="H1" s="196" t="s">
        <v>7</v>
      </c>
    </row>
    <row r="2" spans="1:10" ht="69" customHeight="1">
      <c r="A2" s="183" t="s">
        <v>13</v>
      </c>
      <c r="B2" s="183">
        <v>2568</v>
      </c>
      <c r="C2" s="44" t="s">
        <v>22</v>
      </c>
      <c r="D2" s="10" t="s">
        <v>31</v>
      </c>
      <c r="E2" s="11" t="s">
        <v>225</v>
      </c>
      <c r="F2" s="42" t="s">
        <v>24</v>
      </c>
      <c r="G2" s="11">
        <v>1</v>
      </c>
      <c r="H2" s="189">
        <v>1358000</v>
      </c>
    </row>
    <row r="3" spans="1:10" ht="84">
      <c r="A3" s="182" t="s">
        <v>13</v>
      </c>
      <c r="B3" s="183">
        <v>2568</v>
      </c>
      <c r="C3" s="44" t="s">
        <v>176</v>
      </c>
      <c r="D3" s="10" t="s">
        <v>31</v>
      </c>
      <c r="E3" s="11" t="s">
        <v>227</v>
      </c>
      <c r="F3" s="12" t="s">
        <v>179</v>
      </c>
      <c r="G3" s="11">
        <v>1</v>
      </c>
      <c r="H3" s="190">
        <v>885900</v>
      </c>
    </row>
    <row r="4" spans="1:10" ht="84">
      <c r="A4" s="182" t="s">
        <v>13</v>
      </c>
      <c r="B4" s="183">
        <v>2568</v>
      </c>
      <c r="C4" s="44" t="s">
        <v>30</v>
      </c>
      <c r="D4" s="10" t="s">
        <v>31</v>
      </c>
      <c r="E4" s="11" t="s">
        <v>228</v>
      </c>
      <c r="F4" s="12" t="s">
        <v>33</v>
      </c>
      <c r="G4" s="11">
        <v>1</v>
      </c>
      <c r="H4" s="190">
        <v>1090900</v>
      </c>
    </row>
    <row r="5" spans="1:10" ht="63">
      <c r="A5" s="182" t="s">
        <v>13</v>
      </c>
      <c r="B5" s="183">
        <v>2568</v>
      </c>
      <c r="C5" s="44" t="s">
        <v>230</v>
      </c>
      <c r="D5" s="10" t="s">
        <v>31</v>
      </c>
      <c r="E5" s="11" t="s">
        <v>231</v>
      </c>
      <c r="F5" s="12" t="s">
        <v>232</v>
      </c>
      <c r="G5" s="11">
        <v>1</v>
      </c>
      <c r="H5" s="190">
        <v>1358000</v>
      </c>
      <c r="J5" s="16"/>
    </row>
    <row r="6" spans="1:10" ht="84">
      <c r="A6" s="182" t="s">
        <v>13</v>
      </c>
      <c r="B6" s="183">
        <v>2568</v>
      </c>
      <c r="C6" s="44" t="s">
        <v>34</v>
      </c>
      <c r="D6" s="10" t="s">
        <v>31</v>
      </c>
      <c r="E6" s="11" t="s">
        <v>234</v>
      </c>
      <c r="F6" s="12" t="s">
        <v>39</v>
      </c>
      <c r="G6" s="11">
        <v>1</v>
      </c>
      <c r="H6" s="190">
        <v>1090900</v>
      </c>
      <c r="J6" s="16"/>
    </row>
    <row r="7" spans="1:10" ht="63">
      <c r="A7" s="184" t="s">
        <v>40</v>
      </c>
      <c r="B7" s="183">
        <v>2568</v>
      </c>
      <c r="C7" s="45" t="s">
        <v>188</v>
      </c>
      <c r="D7" s="19" t="s">
        <v>31</v>
      </c>
      <c r="E7" s="20" t="s">
        <v>235</v>
      </c>
      <c r="F7" s="21" t="s">
        <v>190</v>
      </c>
      <c r="G7" s="20">
        <v>1</v>
      </c>
      <c r="H7" s="191">
        <v>1358000</v>
      </c>
    </row>
    <row r="8" spans="1:10" ht="84">
      <c r="A8" s="184" t="s">
        <v>40</v>
      </c>
      <c r="B8" s="183">
        <v>2568</v>
      </c>
      <c r="C8" s="45" t="s">
        <v>193</v>
      </c>
      <c r="D8" s="19" t="s">
        <v>31</v>
      </c>
      <c r="E8" s="20" t="s">
        <v>236</v>
      </c>
      <c r="F8" s="21" t="s">
        <v>195</v>
      </c>
      <c r="G8" s="20">
        <v>1</v>
      </c>
      <c r="H8" s="191">
        <v>1358000</v>
      </c>
    </row>
    <row r="9" spans="1:10" ht="84">
      <c r="A9" s="184" t="s">
        <v>40</v>
      </c>
      <c r="B9" s="183">
        <v>2568</v>
      </c>
      <c r="C9" s="45" t="s">
        <v>237</v>
      </c>
      <c r="D9" s="19" t="s">
        <v>31</v>
      </c>
      <c r="E9" s="20" t="s">
        <v>238</v>
      </c>
      <c r="F9" s="21" t="s">
        <v>239</v>
      </c>
      <c r="G9" s="19">
        <v>1</v>
      </c>
      <c r="H9" s="191">
        <v>885900</v>
      </c>
    </row>
    <row r="10" spans="1:10" ht="84">
      <c r="A10" s="184" t="s">
        <v>40</v>
      </c>
      <c r="B10" s="183">
        <v>2568</v>
      </c>
      <c r="C10" s="45" t="s">
        <v>237</v>
      </c>
      <c r="D10" s="19" t="s">
        <v>31</v>
      </c>
      <c r="E10" s="20" t="s">
        <v>240</v>
      </c>
      <c r="F10" s="21" t="s">
        <v>239</v>
      </c>
      <c r="G10" s="19">
        <v>1</v>
      </c>
      <c r="H10" s="191">
        <v>1055000</v>
      </c>
    </row>
    <row r="11" spans="1:10" ht="84">
      <c r="A11" s="184" t="s">
        <v>40</v>
      </c>
      <c r="B11" s="183">
        <v>2568</v>
      </c>
      <c r="C11" s="45" t="s">
        <v>241</v>
      </c>
      <c r="D11" s="19" t="s">
        <v>31</v>
      </c>
      <c r="E11" s="20" t="s">
        <v>242</v>
      </c>
      <c r="F11" s="21" t="s">
        <v>243</v>
      </c>
      <c r="G11" s="19">
        <v>1</v>
      </c>
      <c r="H11" s="191">
        <v>885900</v>
      </c>
    </row>
    <row r="12" spans="1:10" ht="63">
      <c r="A12" s="185" t="s">
        <v>63</v>
      </c>
      <c r="B12" s="183">
        <v>2568</v>
      </c>
      <c r="C12" s="27" t="s">
        <v>64</v>
      </c>
      <c r="D12" s="27" t="s">
        <v>31</v>
      </c>
      <c r="E12" s="28" t="s">
        <v>244</v>
      </c>
      <c r="F12" s="39" t="s">
        <v>245</v>
      </c>
      <c r="G12" s="27">
        <v>1</v>
      </c>
      <c r="H12" s="192">
        <v>1358000</v>
      </c>
      <c r="J12" s="16"/>
    </row>
    <row r="13" spans="1:10" ht="84">
      <c r="A13" s="185" t="s">
        <v>63</v>
      </c>
      <c r="B13" s="183">
        <v>2568</v>
      </c>
      <c r="C13" s="27" t="s">
        <v>64</v>
      </c>
      <c r="D13" s="27" t="s">
        <v>31</v>
      </c>
      <c r="E13" s="28" t="s">
        <v>246</v>
      </c>
      <c r="F13" s="39" t="s">
        <v>247</v>
      </c>
      <c r="G13" s="27">
        <v>8</v>
      </c>
      <c r="H13" s="192">
        <v>13312000</v>
      </c>
    </row>
    <row r="14" spans="1:10" ht="84">
      <c r="A14" s="185" t="s">
        <v>63</v>
      </c>
      <c r="B14" s="183">
        <v>2568</v>
      </c>
      <c r="C14" s="27" t="s">
        <v>64</v>
      </c>
      <c r="D14" s="27" t="s">
        <v>31</v>
      </c>
      <c r="E14" s="28" t="s">
        <v>246</v>
      </c>
      <c r="F14" s="39" t="s">
        <v>68</v>
      </c>
      <c r="G14" s="27">
        <v>1</v>
      </c>
      <c r="H14" s="192">
        <v>1664000</v>
      </c>
    </row>
    <row r="15" spans="1:10" ht="95.25" customHeight="1">
      <c r="A15" s="185" t="s">
        <v>63</v>
      </c>
      <c r="B15" s="183">
        <v>2568</v>
      </c>
      <c r="C15" s="27" t="s">
        <v>64</v>
      </c>
      <c r="D15" s="27" t="s">
        <v>75</v>
      </c>
      <c r="E15" s="28" t="s">
        <v>248</v>
      </c>
      <c r="F15" s="39" t="s">
        <v>70</v>
      </c>
      <c r="G15" s="27">
        <v>1</v>
      </c>
      <c r="H15" s="192">
        <v>499900</v>
      </c>
    </row>
    <row r="16" spans="1:10" ht="63">
      <c r="A16" s="185" t="s">
        <v>63</v>
      </c>
      <c r="B16" s="183">
        <v>2568</v>
      </c>
      <c r="C16" s="27" t="s">
        <v>64</v>
      </c>
      <c r="D16" s="27" t="s">
        <v>75</v>
      </c>
      <c r="E16" s="28" t="s">
        <v>249</v>
      </c>
      <c r="F16" s="39" t="s">
        <v>250</v>
      </c>
      <c r="G16" s="27">
        <v>1</v>
      </c>
      <c r="H16" s="192">
        <v>6463000</v>
      </c>
      <c r="J16" s="16"/>
    </row>
    <row r="17" spans="1:10" ht="84">
      <c r="A17" s="185" t="s">
        <v>63</v>
      </c>
      <c r="B17" s="183">
        <v>2568</v>
      </c>
      <c r="C17" s="27" t="s">
        <v>64</v>
      </c>
      <c r="D17" s="27" t="s">
        <v>75</v>
      </c>
      <c r="E17" s="28" t="s">
        <v>251</v>
      </c>
      <c r="F17" s="39" t="s">
        <v>77</v>
      </c>
      <c r="G17" s="27">
        <v>217</v>
      </c>
      <c r="H17" s="192">
        <v>6661900</v>
      </c>
      <c r="J17" s="16"/>
    </row>
    <row r="18" spans="1:10" ht="63">
      <c r="A18" s="185" t="s">
        <v>63</v>
      </c>
      <c r="B18" s="183">
        <v>2568</v>
      </c>
      <c r="C18" s="27" t="s">
        <v>64</v>
      </c>
      <c r="D18" s="27" t="s">
        <v>75</v>
      </c>
      <c r="E18" s="28" t="s">
        <v>252</v>
      </c>
      <c r="F18" s="39" t="s">
        <v>77</v>
      </c>
      <c r="G18" s="27">
        <v>217</v>
      </c>
      <c r="H18" s="192">
        <v>976500</v>
      </c>
    </row>
    <row r="19" spans="1:10" ht="84">
      <c r="A19" s="185" t="s">
        <v>63</v>
      </c>
      <c r="B19" s="183">
        <v>2568</v>
      </c>
      <c r="C19" s="27" t="s">
        <v>253</v>
      </c>
      <c r="D19" s="27" t="s">
        <v>31</v>
      </c>
      <c r="E19" s="28" t="s">
        <v>254</v>
      </c>
      <c r="F19" s="39" t="s">
        <v>255</v>
      </c>
      <c r="G19" s="27">
        <v>1</v>
      </c>
      <c r="H19" s="192">
        <v>1090900</v>
      </c>
    </row>
    <row r="20" spans="1:10" ht="84">
      <c r="A20" s="186" t="s">
        <v>63</v>
      </c>
      <c r="B20" s="183">
        <v>2568</v>
      </c>
      <c r="C20" s="27" t="s">
        <v>126</v>
      </c>
      <c r="D20" s="30" t="s">
        <v>31</v>
      </c>
      <c r="E20" s="31" t="s">
        <v>256</v>
      </c>
      <c r="F20" s="33" t="s">
        <v>128</v>
      </c>
      <c r="G20" s="30">
        <v>1</v>
      </c>
      <c r="H20" s="193">
        <v>885900</v>
      </c>
    </row>
    <row r="21" spans="1:10" ht="84">
      <c r="A21" s="186" t="s">
        <v>63</v>
      </c>
      <c r="B21" s="183">
        <v>2568</v>
      </c>
      <c r="C21" s="27" t="s">
        <v>257</v>
      </c>
      <c r="D21" s="30" t="s">
        <v>31</v>
      </c>
      <c r="E21" s="31" t="s">
        <v>258</v>
      </c>
      <c r="F21" s="34" t="s">
        <v>259</v>
      </c>
      <c r="G21" s="30">
        <v>1</v>
      </c>
      <c r="H21" s="193">
        <v>1090900</v>
      </c>
    </row>
    <row r="22" spans="1:10" ht="84">
      <c r="A22" s="186" t="s">
        <v>63</v>
      </c>
      <c r="B22" s="183">
        <v>2568</v>
      </c>
      <c r="C22" s="27" t="s">
        <v>260</v>
      </c>
      <c r="D22" s="30" t="s">
        <v>31</v>
      </c>
      <c r="E22" s="31" t="s">
        <v>261</v>
      </c>
      <c r="F22" s="34" t="s">
        <v>262</v>
      </c>
      <c r="G22" s="30">
        <v>1</v>
      </c>
      <c r="H22" s="193">
        <v>885900</v>
      </c>
    </row>
    <row r="23" spans="1:10" ht="63">
      <c r="A23" s="186" t="s">
        <v>63</v>
      </c>
      <c r="B23" s="183">
        <v>2568</v>
      </c>
      <c r="C23" s="27" t="s">
        <v>263</v>
      </c>
      <c r="D23" s="30" t="s">
        <v>31</v>
      </c>
      <c r="E23" s="31" t="s">
        <v>264</v>
      </c>
      <c r="F23" s="34" t="s">
        <v>265</v>
      </c>
      <c r="G23" s="30">
        <v>1</v>
      </c>
      <c r="H23" s="193">
        <v>1092000</v>
      </c>
    </row>
    <row r="24" spans="1:10" ht="84">
      <c r="A24" s="187" t="s">
        <v>149</v>
      </c>
      <c r="B24" s="183">
        <v>2568</v>
      </c>
      <c r="C24" s="46" t="s">
        <v>221</v>
      </c>
      <c r="D24" s="35" t="s">
        <v>31</v>
      </c>
      <c r="E24" s="36" t="s">
        <v>266</v>
      </c>
      <c r="F24" s="40" t="s">
        <v>223</v>
      </c>
      <c r="G24" s="35">
        <v>1</v>
      </c>
      <c r="H24" s="194">
        <v>1090900</v>
      </c>
    </row>
    <row r="25" spans="1:10" ht="84">
      <c r="A25" s="187" t="s">
        <v>149</v>
      </c>
      <c r="B25" s="183">
        <v>2568</v>
      </c>
      <c r="C25" s="46" t="s">
        <v>154</v>
      </c>
      <c r="D25" s="35" t="s">
        <v>31</v>
      </c>
      <c r="E25" s="36" t="s">
        <v>267</v>
      </c>
      <c r="F25" s="40" t="s">
        <v>156</v>
      </c>
      <c r="G25" s="35">
        <v>1</v>
      </c>
      <c r="H25" s="194">
        <v>885900</v>
      </c>
    </row>
    <row r="26" spans="1:10" ht="63">
      <c r="A26" s="187" t="s">
        <v>149</v>
      </c>
      <c r="B26" s="183">
        <v>2568</v>
      </c>
      <c r="C26" s="46" t="s">
        <v>169</v>
      </c>
      <c r="D26" s="35" t="s">
        <v>31</v>
      </c>
      <c r="E26" s="36" t="s">
        <v>268</v>
      </c>
      <c r="F26" s="40" t="s">
        <v>171</v>
      </c>
      <c r="G26" s="35">
        <v>1</v>
      </c>
      <c r="H26" s="194">
        <v>1055000</v>
      </c>
    </row>
    <row r="27" spans="1:10" ht="84">
      <c r="A27" s="197" t="s">
        <v>149</v>
      </c>
      <c r="B27" s="183">
        <v>2568</v>
      </c>
      <c r="C27" s="198" t="s">
        <v>172</v>
      </c>
      <c r="D27" s="199" t="s">
        <v>16</v>
      </c>
      <c r="E27" s="200" t="s">
        <v>269</v>
      </c>
      <c r="F27" s="201" t="s">
        <v>270</v>
      </c>
      <c r="G27" s="199">
        <v>1</v>
      </c>
      <c r="H27" s="202">
        <v>1090900</v>
      </c>
    </row>
    <row r="28" spans="1:10">
      <c r="A28" s="197"/>
      <c r="B28" s="197"/>
      <c r="C28" s="198"/>
      <c r="D28" s="199"/>
      <c r="E28" s="200"/>
      <c r="F28" s="201"/>
      <c r="G28" s="199"/>
      <c r="H28" s="202">
        <f>SUBTOTAL(109,Table1[งบประมาณ])</f>
        <v>51430100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8BC728-22BC-405C-86BC-251680F55B37}">
  <sheetPr>
    <tabColor theme="4" tint="0.39997558519241921"/>
  </sheetPr>
  <dimension ref="A1:J80"/>
  <sheetViews>
    <sheetView topLeftCell="A74" zoomScale="75" zoomScaleNormal="75" zoomScaleSheetLayoutView="100" workbookViewId="0">
      <selection activeCell="H82" sqref="H82"/>
    </sheetView>
  </sheetViews>
  <sheetFormatPr defaultColWidth="9.140625" defaultRowHeight="21"/>
  <cols>
    <col min="1" max="4" width="19.140625" style="1" customWidth="1"/>
    <col min="5" max="5" width="74.85546875" style="1" customWidth="1"/>
    <col min="6" max="6" width="19.42578125" style="1" customWidth="1"/>
    <col min="7" max="7" width="10.28515625" style="1" customWidth="1"/>
    <col min="8" max="8" width="19.5703125" style="38" customWidth="1"/>
    <col min="9" max="9" width="9.85546875" style="1" bestFit="1" customWidth="1"/>
    <col min="10" max="10" width="13.85546875" style="1" bestFit="1" customWidth="1"/>
    <col min="11" max="16384" width="9.140625" style="1"/>
  </cols>
  <sheetData>
    <row r="1" spans="1:10" ht="47.25" customHeight="1">
      <c r="A1" s="195" t="s">
        <v>1</v>
      </c>
      <c r="B1" s="195" t="s">
        <v>1466</v>
      </c>
      <c r="C1" s="181" t="s">
        <v>2</v>
      </c>
      <c r="D1" s="181" t="s">
        <v>3</v>
      </c>
      <c r="E1" s="181" t="s">
        <v>4</v>
      </c>
      <c r="F1" s="181" t="s">
        <v>5</v>
      </c>
      <c r="G1" s="181" t="s">
        <v>6</v>
      </c>
      <c r="H1" s="196" t="s">
        <v>7</v>
      </c>
    </row>
    <row r="2" spans="1:10" ht="63">
      <c r="A2" s="182" t="s">
        <v>13</v>
      </c>
      <c r="B2" s="182">
        <v>2569</v>
      </c>
      <c r="C2" s="10" t="s">
        <v>14</v>
      </c>
      <c r="D2" s="10" t="s">
        <v>16</v>
      </c>
      <c r="E2" s="11" t="s">
        <v>17</v>
      </c>
      <c r="F2" s="12" t="s">
        <v>18</v>
      </c>
      <c r="G2" s="11">
        <v>2</v>
      </c>
      <c r="H2" s="190">
        <v>81800</v>
      </c>
    </row>
    <row r="3" spans="1:10" ht="42">
      <c r="A3" s="182" t="s">
        <v>13</v>
      </c>
      <c r="B3" s="182">
        <v>2569</v>
      </c>
      <c r="C3" s="10" t="s">
        <v>14</v>
      </c>
      <c r="D3" s="10" t="s">
        <v>19</v>
      </c>
      <c r="E3" s="11" t="s">
        <v>20</v>
      </c>
      <c r="F3" s="12" t="s">
        <v>21</v>
      </c>
      <c r="G3" s="11">
        <v>1</v>
      </c>
      <c r="H3" s="190">
        <v>37000</v>
      </c>
    </row>
    <row r="4" spans="1:10" ht="42">
      <c r="A4" s="182" t="s">
        <v>13</v>
      </c>
      <c r="B4" s="182">
        <v>2569</v>
      </c>
      <c r="C4" s="10" t="s">
        <v>22</v>
      </c>
      <c r="D4" s="10" t="s">
        <v>16</v>
      </c>
      <c r="E4" s="11" t="s">
        <v>23</v>
      </c>
      <c r="F4" s="12" t="s">
        <v>24</v>
      </c>
      <c r="G4" s="11">
        <v>1</v>
      </c>
      <c r="H4" s="190">
        <v>67000</v>
      </c>
    </row>
    <row r="5" spans="1:10" ht="63">
      <c r="A5" s="182" t="s">
        <v>13</v>
      </c>
      <c r="B5" s="182">
        <v>2569</v>
      </c>
      <c r="C5" s="10" t="s">
        <v>22</v>
      </c>
      <c r="D5" s="10" t="s">
        <v>16</v>
      </c>
      <c r="E5" s="11" t="s">
        <v>25</v>
      </c>
      <c r="F5" s="12" t="s">
        <v>26</v>
      </c>
      <c r="G5" s="11">
        <v>3</v>
      </c>
      <c r="H5" s="190">
        <v>96600</v>
      </c>
    </row>
    <row r="6" spans="1:10" ht="42">
      <c r="A6" s="182" t="s">
        <v>13</v>
      </c>
      <c r="B6" s="182">
        <v>2569</v>
      </c>
      <c r="C6" s="10" t="s">
        <v>27</v>
      </c>
      <c r="D6" s="10" t="s">
        <v>16</v>
      </c>
      <c r="E6" s="11" t="s">
        <v>28</v>
      </c>
      <c r="F6" s="12" t="s">
        <v>29</v>
      </c>
      <c r="G6" s="11">
        <v>1</v>
      </c>
      <c r="H6" s="190">
        <v>67000</v>
      </c>
    </row>
    <row r="7" spans="1:10" ht="63">
      <c r="A7" s="182" t="s">
        <v>13</v>
      </c>
      <c r="B7" s="182">
        <v>2569</v>
      </c>
      <c r="C7" s="10" t="s">
        <v>30</v>
      </c>
      <c r="D7" s="10" t="s">
        <v>31</v>
      </c>
      <c r="E7" s="11" t="s">
        <v>32</v>
      </c>
      <c r="F7" s="12" t="s">
        <v>33</v>
      </c>
      <c r="G7" s="11">
        <v>1</v>
      </c>
      <c r="H7" s="190">
        <v>1369000</v>
      </c>
    </row>
    <row r="8" spans="1:10" ht="84">
      <c r="A8" s="182" t="s">
        <v>13</v>
      </c>
      <c r="B8" s="182">
        <v>2569</v>
      </c>
      <c r="C8" s="10" t="s">
        <v>34</v>
      </c>
      <c r="D8" s="10" t="s">
        <v>31</v>
      </c>
      <c r="E8" s="11" t="s">
        <v>35</v>
      </c>
      <c r="F8" s="12" t="s">
        <v>36</v>
      </c>
      <c r="G8" s="11">
        <v>1</v>
      </c>
      <c r="H8" s="190">
        <v>1207900</v>
      </c>
      <c r="J8" s="16"/>
    </row>
    <row r="9" spans="1:10" ht="42">
      <c r="A9" s="182" t="s">
        <v>13</v>
      </c>
      <c r="B9" s="182">
        <v>2569</v>
      </c>
      <c r="C9" s="10" t="s">
        <v>34</v>
      </c>
      <c r="D9" s="10" t="s">
        <v>16</v>
      </c>
      <c r="E9" s="11" t="s">
        <v>37</v>
      </c>
      <c r="F9" s="12" t="s">
        <v>36</v>
      </c>
      <c r="G9" s="11">
        <v>2</v>
      </c>
      <c r="H9" s="190">
        <v>83000</v>
      </c>
    </row>
    <row r="10" spans="1:10" ht="63">
      <c r="A10" s="182" t="s">
        <v>13</v>
      </c>
      <c r="B10" s="182">
        <v>2569</v>
      </c>
      <c r="C10" s="10" t="s">
        <v>34</v>
      </c>
      <c r="D10" s="10" t="s">
        <v>16</v>
      </c>
      <c r="E10" s="11" t="s">
        <v>38</v>
      </c>
      <c r="F10" s="12" t="s">
        <v>39</v>
      </c>
      <c r="G10" s="11">
        <v>6</v>
      </c>
      <c r="H10" s="190">
        <v>321600</v>
      </c>
    </row>
    <row r="11" spans="1:10" ht="63">
      <c r="A11" s="184" t="s">
        <v>40</v>
      </c>
      <c r="B11" s="182">
        <v>2569</v>
      </c>
      <c r="C11" s="19" t="s">
        <v>41</v>
      </c>
      <c r="D11" s="19" t="s">
        <v>31</v>
      </c>
      <c r="E11" s="20" t="s">
        <v>42</v>
      </c>
      <c r="F11" s="21" t="s">
        <v>43</v>
      </c>
      <c r="G11" s="20">
        <v>1</v>
      </c>
      <c r="H11" s="191">
        <v>1369000</v>
      </c>
    </row>
    <row r="12" spans="1:10" ht="84">
      <c r="A12" s="184" t="s">
        <v>40</v>
      </c>
      <c r="B12" s="182">
        <v>2569</v>
      </c>
      <c r="C12" s="19" t="s">
        <v>41</v>
      </c>
      <c r="D12" s="19" t="s">
        <v>31</v>
      </c>
      <c r="E12" s="20" t="s">
        <v>44</v>
      </c>
      <c r="F12" s="21" t="s">
        <v>45</v>
      </c>
      <c r="G12" s="20">
        <v>1</v>
      </c>
      <c r="H12" s="191">
        <v>970900</v>
      </c>
    </row>
    <row r="13" spans="1:10" ht="84">
      <c r="A13" s="184" t="s">
        <v>40</v>
      </c>
      <c r="B13" s="182">
        <v>2569</v>
      </c>
      <c r="C13" s="19" t="s">
        <v>46</v>
      </c>
      <c r="D13" s="19" t="s">
        <v>31</v>
      </c>
      <c r="E13" s="20" t="s">
        <v>47</v>
      </c>
      <c r="F13" s="21" t="s">
        <v>48</v>
      </c>
      <c r="G13" s="20">
        <v>2</v>
      </c>
      <c r="H13" s="191">
        <v>1941800</v>
      </c>
    </row>
    <row r="14" spans="1:10" ht="63">
      <c r="A14" s="184" t="s">
        <v>40</v>
      </c>
      <c r="B14" s="182">
        <v>2569</v>
      </c>
      <c r="C14" s="19" t="s">
        <v>46</v>
      </c>
      <c r="D14" s="19" t="s">
        <v>16</v>
      </c>
      <c r="E14" s="20" t="s">
        <v>49</v>
      </c>
      <c r="F14" s="21" t="s">
        <v>50</v>
      </c>
      <c r="G14" s="20">
        <v>3</v>
      </c>
      <c r="H14" s="191">
        <v>92700</v>
      </c>
    </row>
    <row r="15" spans="1:10" ht="84">
      <c r="A15" s="184" t="s">
        <v>40</v>
      </c>
      <c r="B15" s="182">
        <v>2569</v>
      </c>
      <c r="C15" s="19" t="s">
        <v>51</v>
      </c>
      <c r="D15" s="19" t="s">
        <v>31</v>
      </c>
      <c r="E15" s="20" t="s">
        <v>52</v>
      </c>
      <c r="F15" s="21" t="s">
        <v>53</v>
      </c>
      <c r="G15" s="20">
        <v>1</v>
      </c>
      <c r="H15" s="191">
        <v>970900</v>
      </c>
    </row>
    <row r="16" spans="1:10" ht="63">
      <c r="A16" s="184" t="s">
        <v>40</v>
      </c>
      <c r="B16" s="182">
        <v>2569</v>
      </c>
      <c r="C16" s="19" t="s">
        <v>54</v>
      </c>
      <c r="D16" s="19" t="s">
        <v>16</v>
      </c>
      <c r="E16" s="20" t="s">
        <v>55</v>
      </c>
      <c r="F16" s="23" t="s">
        <v>56</v>
      </c>
      <c r="G16" s="20">
        <v>5</v>
      </c>
      <c r="H16" s="191">
        <v>268000</v>
      </c>
    </row>
    <row r="17" spans="1:10" ht="84">
      <c r="A17" s="184" t="s">
        <v>40</v>
      </c>
      <c r="B17" s="182">
        <v>2569</v>
      </c>
      <c r="C17" s="19" t="s">
        <v>57</v>
      </c>
      <c r="D17" s="19" t="s">
        <v>31</v>
      </c>
      <c r="E17" s="20" t="s">
        <v>58</v>
      </c>
      <c r="F17" s="21" t="s">
        <v>59</v>
      </c>
      <c r="G17" s="19">
        <v>1</v>
      </c>
      <c r="H17" s="191">
        <v>970900</v>
      </c>
    </row>
    <row r="18" spans="1:10" ht="63">
      <c r="A18" s="184" t="s">
        <v>40</v>
      </c>
      <c r="B18" s="182">
        <v>2569</v>
      </c>
      <c r="C18" s="19" t="s">
        <v>60</v>
      </c>
      <c r="D18" s="19" t="s">
        <v>16</v>
      </c>
      <c r="E18" s="20" t="s">
        <v>61</v>
      </c>
      <c r="F18" s="21" t="s">
        <v>62</v>
      </c>
      <c r="G18" s="19">
        <v>5</v>
      </c>
      <c r="H18" s="191">
        <v>204500</v>
      </c>
    </row>
    <row r="19" spans="1:10" ht="84">
      <c r="A19" s="185" t="s">
        <v>63</v>
      </c>
      <c r="B19" s="182">
        <v>2569</v>
      </c>
      <c r="C19" s="27" t="s">
        <v>64</v>
      </c>
      <c r="D19" s="27" t="s">
        <v>31</v>
      </c>
      <c r="E19" s="28" t="s">
        <v>65</v>
      </c>
      <c r="F19" s="39" t="s">
        <v>66</v>
      </c>
      <c r="G19" s="27">
        <v>2</v>
      </c>
      <c r="H19" s="192">
        <v>1836000</v>
      </c>
      <c r="J19" s="16"/>
    </row>
    <row r="20" spans="1:10" ht="84">
      <c r="A20" s="185" t="s">
        <v>63</v>
      </c>
      <c r="B20" s="182">
        <v>2569</v>
      </c>
      <c r="C20" s="27" t="s">
        <v>64</v>
      </c>
      <c r="D20" s="27" t="s">
        <v>31</v>
      </c>
      <c r="E20" s="28" t="s">
        <v>67</v>
      </c>
      <c r="F20" s="39" t="s">
        <v>68</v>
      </c>
      <c r="G20" s="27">
        <v>1</v>
      </c>
      <c r="H20" s="192">
        <v>825000</v>
      </c>
    </row>
    <row r="21" spans="1:10" ht="84">
      <c r="A21" s="185" t="s">
        <v>63</v>
      </c>
      <c r="B21" s="182">
        <v>2569</v>
      </c>
      <c r="C21" s="27" t="s">
        <v>64</v>
      </c>
      <c r="D21" s="27" t="s">
        <v>31</v>
      </c>
      <c r="E21" s="28" t="s">
        <v>65</v>
      </c>
      <c r="F21" s="39" t="s">
        <v>69</v>
      </c>
      <c r="G21" s="27">
        <v>1</v>
      </c>
      <c r="H21" s="192">
        <v>918000</v>
      </c>
      <c r="J21" s="16"/>
    </row>
    <row r="22" spans="1:10" ht="95.25" customHeight="1">
      <c r="A22" s="185" t="s">
        <v>63</v>
      </c>
      <c r="B22" s="182">
        <v>2569</v>
      </c>
      <c r="C22" s="27" t="s">
        <v>64</v>
      </c>
      <c r="D22" s="27" t="s">
        <v>31</v>
      </c>
      <c r="E22" s="28" t="s">
        <v>65</v>
      </c>
      <c r="F22" s="39" t="s">
        <v>70</v>
      </c>
      <c r="G22" s="27">
        <v>1</v>
      </c>
      <c r="H22" s="192">
        <v>918000</v>
      </c>
      <c r="J22" s="16"/>
    </row>
    <row r="23" spans="1:10" ht="63">
      <c r="A23" s="185" t="s">
        <v>63</v>
      </c>
      <c r="B23" s="182">
        <v>2569</v>
      </c>
      <c r="C23" s="27" t="s">
        <v>64</v>
      </c>
      <c r="D23" s="27" t="s">
        <v>16</v>
      </c>
      <c r="E23" s="28" t="s">
        <v>71</v>
      </c>
      <c r="F23" s="39" t="s">
        <v>69</v>
      </c>
      <c r="G23" s="27">
        <v>1</v>
      </c>
      <c r="H23" s="192">
        <v>63000</v>
      </c>
      <c r="J23" s="16"/>
    </row>
    <row r="24" spans="1:10" ht="63">
      <c r="A24" s="185" t="s">
        <v>63</v>
      </c>
      <c r="B24" s="182">
        <v>2569</v>
      </c>
      <c r="C24" s="27" t="s">
        <v>64</v>
      </c>
      <c r="D24" s="27" t="s">
        <v>16</v>
      </c>
      <c r="E24" s="28" t="s">
        <v>72</v>
      </c>
      <c r="F24" s="39" t="s">
        <v>66</v>
      </c>
      <c r="G24" s="27">
        <v>1</v>
      </c>
      <c r="H24" s="192">
        <v>1375900</v>
      </c>
    </row>
    <row r="25" spans="1:10" ht="63">
      <c r="A25" s="185" t="s">
        <v>63</v>
      </c>
      <c r="B25" s="182">
        <v>2569</v>
      </c>
      <c r="C25" s="27" t="s">
        <v>64</v>
      </c>
      <c r="D25" s="27" t="s">
        <v>73</v>
      </c>
      <c r="E25" s="28" t="s">
        <v>74</v>
      </c>
      <c r="F25" s="39" t="s">
        <v>66</v>
      </c>
      <c r="G25" s="27">
        <v>2</v>
      </c>
      <c r="H25" s="192">
        <v>164000</v>
      </c>
    </row>
    <row r="26" spans="1:10" ht="63">
      <c r="A26" s="185" t="s">
        <v>63</v>
      </c>
      <c r="B26" s="182">
        <v>2569</v>
      </c>
      <c r="C26" s="27" t="s">
        <v>64</v>
      </c>
      <c r="D26" s="27" t="s">
        <v>75</v>
      </c>
      <c r="E26" s="28" t="s">
        <v>76</v>
      </c>
      <c r="F26" s="39" t="s">
        <v>77</v>
      </c>
      <c r="G26" s="27">
        <v>11</v>
      </c>
      <c r="H26" s="192">
        <v>715000</v>
      </c>
      <c r="J26" s="16"/>
    </row>
    <row r="27" spans="1:10" ht="63">
      <c r="A27" s="185" t="s">
        <v>63</v>
      </c>
      <c r="B27" s="182">
        <v>2569</v>
      </c>
      <c r="C27" s="27" t="s">
        <v>64</v>
      </c>
      <c r="D27" s="27" t="s">
        <v>75</v>
      </c>
      <c r="E27" s="28" t="s">
        <v>78</v>
      </c>
      <c r="F27" s="39" t="s">
        <v>77</v>
      </c>
      <c r="G27" s="27">
        <v>1</v>
      </c>
      <c r="H27" s="192">
        <v>1000000</v>
      </c>
    </row>
    <row r="28" spans="1:10" ht="63">
      <c r="A28" s="185" t="s">
        <v>63</v>
      </c>
      <c r="B28" s="182">
        <v>2569</v>
      </c>
      <c r="C28" s="27" t="s">
        <v>64</v>
      </c>
      <c r="D28" s="27" t="s">
        <v>75</v>
      </c>
      <c r="E28" s="28" t="s">
        <v>79</v>
      </c>
      <c r="F28" s="39" t="s">
        <v>77</v>
      </c>
      <c r="G28" s="27">
        <v>7</v>
      </c>
      <c r="H28" s="192">
        <v>3150000</v>
      </c>
    </row>
    <row r="29" spans="1:10" ht="63">
      <c r="A29" s="185" t="s">
        <v>63</v>
      </c>
      <c r="B29" s="182">
        <v>2569</v>
      </c>
      <c r="C29" s="27" t="s">
        <v>64</v>
      </c>
      <c r="D29" s="27" t="s">
        <v>75</v>
      </c>
      <c r="E29" s="28" t="s">
        <v>80</v>
      </c>
      <c r="F29" s="39" t="s">
        <v>77</v>
      </c>
      <c r="G29" s="27">
        <v>48</v>
      </c>
      <c r="H29" s="192">
        <v>1008000</v>
      </c>
    </row>
    <row r="30" spans="1:10" ht="63">
      <c r="A30" s="185" t="s">
        <v>63</v>
      </c>
      <c r="B30" s="182">
        <v>2569</v>
      </c>
      <c r="C30" s="27" t="s">
        <v>64</v>
      </c>
      <c r="D30" s="27" t="s">
        <v>75</v>
      </c>
      <c r="E30" s="28" t="s">
        <v>81</v>
      </c>
      <c r="F30" s="39" t="s">
        <v>77</v>
      </c>
      <c r="G30" s="27">
        <v>31</v>
      </c>
      <c r="H30" s="192">
        <v>403000</v>
      </c>
    </row>
    <row r="31" spans="1:10" ht="42">
      <c r="A31" s="185" t="s">
        <v>63</v>
      </c>
      <c r="B31" s="182">
        <v>2569</v>
      </c>
      <c r="C31" s="27" t="s">
        <v>64</v>
      </c>
      <c r="D31" s="27" t="s">
        <v>75</v>
      </c>
      <c r="E31" s="28" t="s">
        <v>82</v>
      </c>
      <c r="F31" s="39" t="s">
        <v>77</v>
      </c>
      <c r="G31" s="27">
        <v>1</v>
      </c>
      <c r="H31" s="192">
        <v>35000</v>
      </c>
    </row>
    <row r="32" spans="1:10" ht="42">
      <c r="A32" s="185" t="s">
        <v>63</v>
      </c>
      <c r="B32" s="182">
        <v>2569</v>
      </c>
      <c r="C32" s="27" t="s">
        <v>64</v>
      </c>
      <c r="D32" s="27" t="s">
        <v>75</v>
      </c>
      <c r="E32" s="28" t="s">
        <v>83</v>
      </c>
      <c r="F32" s="39" t="s">
        <v>77</v>
      </c>
      <c r="G32" s="27">
        <v>11</v>
      </c>
      <c r="H32" s="192">
        <v>121000</v>
      </c>
    </row>
    <row r="33" spans="1:8" ht="42">
      <c r="A33" s="185" t="s">
        <v>63</v>
      </c>
      <c r="B33" s="182">
        <v>2569</v>
      </c>
      <c r="C33" s="27" t="s">
        <v>64</v>
      </c>
      <c r="D33" s="27" t="s">
        <v>75</v>
      </c>
      <c r="E33" s="28" t="s">
        <v>84</v>
      </c>
      <c r="F33" s="39" t="s">
        <v>77</v>
      </c>
      <c r="G33" s="27">
        <v>1</v>
      </c>
      <c r="H33" s="192">
        <v>1800000</v>
      </c>
    </row>
    <row r="34" spans="1:8" ht="63">
      <c r="A34" s="185" t="s">
        <v>63</v>
      </c>
      <c r="B34" s="182">
        <v>2569</v>
      </c>
      <c r="C34" s="27" t="s">
        <v>64</v>
      </c>
      <c r="D34" s="27" t="s">
        <v>75</v>
      </c>
      <c r="E34" s="28" t="s">
        <v>85</v>
      </c>
      <c r="F34" s="39" t="s">
        <v>77</v>
      </c>
      <c r="G34" s="27">
        <v>1</v>
      </c>
      <c r="H34" s="192">
        <v>1000000</v>
      </c>
    </row>
    <row r="35" spans="1:8" ht="84">
      <c r="A35" s="185" t="s">
        <v>63</v>
      </c>
      <c r="B35" s="182">
        <v>2569</v>
      </c>
      <c r="C35" s="27" t="s">
        <v>64</v>
      </c>
      <c r="D35" s="27" t="s">
        <v>75</v>
      </c>
      <c r="E35" s="28" t="s">
        <v>86</v>
      </c>
      <c r="F35" s="39" t="s">
        <v>77</v>
      </c>
      <c r="G35" s="27">
        <v>154</v>
      </c>
      <c r="H35" s="192">
        <v>4727800</v>
      </c>
    </row>
    <row r="36" spans="1:8" ht="84">
      <c r="A36" s="185" t="s">
        <v>63</v>
      </c>
      <c r="B36" s="182">
        <v>2569</v>
      </c>
      <c r="C36" s="27" t="s">
        <v>64</v>
      </c>
      <c r="D36" s="27" t="s">
        <v>75</v>
      </c>
      <c r="E36" s="28" t="s">
        <v>87</v>
      </c>
      <c r="F36" s="39" t="s">
        <v>77</v>
      </c>
      <c r="G36" s="27">
        <v>1</v>
      </c>
      <c r="H36" s="192">
        <v>38700</v>
      </c>
    </row>
    <row r="37" spans="1:8" ht="63">
      <c r="A37" s="185" t="s">
        <v>63</v>
      </c>
      <c r="B37" s="182">
        <v>2569</v>
      </c>
      <c r="C37" s="27" t="s">
        <v>64</v>
      </c>
      <c r="D37" s="27" t="s">
        <v>75</v>
      </c>
      <c r="E37" s="28" t="s">
        <v>88</v>
      </c>
      <c r="F37" s="39" t="s">
        <v>77</v>
      </c>
      <c r="G37" s="27">
        <v>1</v>
      </c>
      <c r="H37" s="192">
        <v>30700</v>
      </c>
    </row>
    <row r="38" spans="1:8" ht="63">
      <c r="A38" s="185" t="s">
        <v>63</v>
      </c>
      <c r="B38" s="182">
        <v>2569</v>
      </c>
      <c r="C38" s="27" t="s">
        <v>64</v>
      </c>
      <c r="D38" s="27" t="s">
        <v>75</v>
      </c>
      <c r="E38" s="28" t="s">
        <v>89</v>
      </c>
      <c r="F38" s="39" t="s">
        <v>77</v>
      </c>
      <c r="G38" s="27">
        <v>87</v>
      </c>
      <c r="H38" s="192">
        <v>2453400</v>
      </c>
    </row>
    <row r="39" spans="1:8" ht="63">
      <c r="A39" s="185" t="s">
        <v>63</v>
      </c>
      <c r="B39" s="182">
        <v>2569</v>
      </c>
      <c r="C39" s="27" t="s">
        <v>64</v>
      </c>
      <c r="D39" s="27" t="s">
        <v>75</v>
      </c>
      <c r="E39" s="28" t="s">
        <v>90</v>
      </c>
      <c r="F39" s="39" t="s">
        <v>77</v>
      </c>
      <c r="G39" s="27">
        <v>121</v>
      </c>
      <c r="H39" s="192">
        <v>1076900</v>
      </c>
    </row>
    <row r="40" spans="1:8" ht="63">
      <c r="A40" s="185" t="s">
        <v>63</v>
      </c>
      <c r="B40" s="182">
        <v>2569</v>
      </c>
      <c r="C40" s="27" t="s">
        <v>64</v>
      </c>
      <c r="D40" s="27" t="s">
        <v>75</v>
      </c>
      <c r="E40" s="28" t="s">
        <v>91</v>
      </c>
      <c r="F40" s="39" t="s">
        <v>77</v>
      </c>
      <c r="G40" s="27">
        <v>10</v>
      </c>
      <c r="H40" s="192">
        <v>110000</v>
      </c>
    </row>
    <row r="41" spans="1:8" ht="63">
      <c r="A41" s="185" t="s">
        <v>63</v>
      </c>
      <c r="B41" s="182">
        <v>2569</v>
      </c>
      <c r="C41" s="27" t="s">
        <v>64</v>
      </c>
      <c r="D41" s="27" t="s">
        <v>75</v>
      </c>
      <c r="E41" s="28" t="s">
        <v>92</v>
      </c>
      <c r="F41" s="39" t="s">
        <v>77</v>
      </c>
      <c r="G41" s="27">
        <v>2</v>
      </c>
      <c r="H41" s="192">
        <v>20000</v>
      </c>
    </row>
    <row r="42" spans="1:8" ht="42">
      <c r="A42" s="185" t="s">
        <v>63</v>
      </c>
      <c r="B42" s="182">
        <v>2569</v>
      </c>
      <c r="C42" s="27" t="s">
        <v>64</v>
      </c>
      <c r="D42" s="27" t="s">
        <v>75</v>
      </c>
      <c r="E42" s="28" t="s">
        <v>93</v>
      </c>
      <c r="F42" s="39" t="s">
        <v>77</v>
      </c>
      <c r="G42" s="27">
        <v>2</v>
      </c>
      <c r="H42" s="192">
        <v>32000</v>
      </c>
    </row>
    <row r="43" spans="1:8" ht="63">
      <c r="A43" s="185" t="s">
        <v>63</v>
      </c>
      <c r="B43" s="182">
        <v>2569</v>
      </c>
      <c r="C43" s="27" t="s">
        <v>64</v>
      </c>
      <c r="D43" s="27" t="s">
        <v>75</v>
      </c>
      <c r="E43" s="28" t="s">
        <v>94</v>
      </c>
      <c r="F43" s="39" t="s">
        <v>77</v>
      </c>
      <c r="G43" s="27">
        <v>80</v>
      </c>
      <c r="H43" s="192">
        <v>1280000</v>
      </c>
    </row>
    <row r="44" spans="1:8" ht="63">
      <c r="A44" s="185" t="s">
        <v>63</v>
      </c>
      <c r="B44" s="182">
        <v>2569</v>
      </c>
      <c r="C44" s="27" t="s">
        <v>64</v>
      </c>
      <c r="D44" s="27" t="s">
        <v>75</v>
      </c>
      <c r="E44" s="28" t="s">
        <v>95</v>
      </c>
      <c r="F44" s="39" t="s">
        <v>77</v>
      </c>
      <c r="G44" s="27">
        <v>243</v>
      </c>
      <c r="H44" s="192">
        <v>1093500</v>
      </c>
    </row>
    <row r="45" spans="1:8" ht="63">
      <c r="A45" s="185" t="s">
        <v>63</v>
      </c>
      <c r="B45" s="182">
        <v>2569</v>
      </c>
      <c r="C45" s="27" t="s">
        <v>64</v>
      </c>
      <c r="D45" s="27" t="s">
        <v>75</v>
      </c>
      <c r="E45" s="28" t="s">
        <v>96</v>
      </c>
      <c r="F45" s="39" t="s">
        <v>77</v>
      </c>
      <c r="G45" s="27">
        <v>76</v>
      </c>
      <c r="H45" s="192">
        <v>1976000</v>
      </c>
    </row>
    <row r="46" spans="1:8" ht="63">
      <c r="A46" s="185" t="s">
        <v>63</v>
      </c>
      <c r="B46" s="182">
        <v>2569</v>
      </c>
      <c r="C46" s="27" t="s">
        <v>64</v>
      </c>
      <c r="D46" s="27" t="s">
        <v>75</v>
      </c>
      <c r="E46" s="28" t="s">
        <v>97</v>
      </c>
      <c r="F46" s="39" t="s">
        <v>77</v>
      </c>
      <c r="G46" s="27">
        <v>76</v>
      </c>
      <c r="H46" s="192">
        <v>1672000</v>
      </c>
    </row>
    <row r="47" spans="1:8" ht="63">
      <c r="A47" s="185" t="s">
        <v>63</v>
      </c>
      <c r="B47" s="182">
        <v>2569</v>
      </c>
      <c r="C47" s="27" t="s">
        <v>64</v>
      </c>
      <c r="D47" s="27" t="s">
        <v>75</v>
      </c>
      <c r="E47" s="28" t="s">
        <v>98</v>
      </c>
      <c r="F47" s="39" t="s">
        <v>77</v>
      </c>
      <c r="G47" s="27">
        <v>1</v>
      </c>
      <c r="H47" s="192">
        <v>4500000</v>
      </c>
    </row>
    <row r="48" spans="1:8" ht="84">
      <c r="A48" s="185" t="s">
        <v>63</v>
      </c>
      <c r="B48" s="182">
        <v>2569</v>
      </c>
      <c r="C48" s="27" t="s">
        <v>64</v>
      </c>
      <c r="D48" s="27" t="s">
        <v>75</v>
      </c>
      <c r="E48" s="28" t="s">
        <v>99</v>
      </c>
      <c r="F48" s="39" t="s">
        <v>70</v>
      </c>
      <c r="G48" s="27">
        <v>1</v>
      </c>
      <c r="H48" s="192">
        <v>2500000</v>
      </c>
    </row>
    <row r="49" spans="1:10" ht="84">
      <c r="A49" s="185" t="s">
        <v>63</v>
      </c>
      <c r="B49" s="182">
        <v>2569</v>
      </c>
      <c r="C49" s="27" t="s">
        <v>64</v>
      </c>
      <c r="D49" s="27" t="s">
        <v>75</v>
      </c>
      <c r="E49" s="28" t="s">
        <v>100</v>
      </c>
      <c r="F49" s="39" t="s">
        <v>77</v>
      </c>
      <c r="G49" s="27">
        <v>1</v>
      </c>
      <c r="H49" s="192">
        <v>40000000</v>
      </c>
    </row>
    <row r="50" spans="1:10" ht="63">
      <c r="A50" s="185" t="s">
        <v>63</v>
      </c>
      <c r="B50" s="182">
        <v>2569</v>
      </c>
      <c r="C50" s="27" t="s">
        <v>64</v>
      </c>
      <c r="D50" s="27" t="s">
        <v>75</v>
      </c>
      <c r="E50" s="28" t="s">
        <v>101</v>
      </c>
      <c r="F50" s="39" t="s">
        <v>77</v>
      </c>
      <c r="G50" s="27">
        <v>1</v>
      </c>
      <c r="H50" s="192">
        <v>97000000</v>
      </c>
    </row>
    <row r="51" spans="1:10" ht="63">
      <c r="A51" s="185" t="s">
        <v>63</v>
      </c>
      <c r="B51" s="182">
        <v>2569</v>
      </c>
      <c r="C51" s="27" t="s">
        <v>64</v>
      </c>
      <c r="D51" s="27" t="s">
        <v>75</v>
      </c>
      <c r="E51" s="28" t="s">
        <v>102</v>
      </c>
      <c r="F51" s="39" t="s">
        <v>69</v>
      </c>
      <c r="G51" s="27">
        <v>1</v>
      </c>
      <c r="H51" s="192">
        <v>15000000</v>
      </c>
    </row>
    <row r="52" spans="1:10" ht="42">
      <c r="A52" s="185" t="s">
        <v>63</v>
      </c>
      <c r="B52" s="182">
        <v>2569</v>
      </c>
      <c r="C52" s="27" t="s">
        <v>103</v>
      </c>
      <c r="D52" s="27" t="s">
        <v>104</v>
      </c>
      <c r="E52" s="28" t="s">
        <v>105</v>
      </c>
      <c r="F52" s="27" t="s">
        <v>106</v>
      </c>
      <c r="G52" s="27">
        <v>1</v>
      </c>
      <c r="H52" s="192">
        <v>730400</v>
      </c>
    </row>
    <row r="53" spans="1:10" ht="63">
      <c r="A53" s="185" t="s">
        <v>63</v>
      </c>
      <c r="B53" s="182">
        <v>2569</v>
      </c>
      <c r="C53" s="27" t="s">
        <v>107</v>
      </c>
      <c r="D53" s="27" t="s">
        <v>16</v>
      </c>
      <c r="E53" s="28" t="s">
        <v>108</v>
      </c>
      <c r="F53" s="27" t="s">
        <v>109</v>
      </c>
      <c r="G53" s="27">
        <v>1</v>
      </c>
      <c r="H53" s="192">
        <v>67000</v>
      </c>
    </row>
    <row r="54" spans="1:10" ht="63">
      <c r="A54" s="186" t="s">
        <v>63</v>
      </c>
      <c r="B54" s="182">
        <v>2569</v>
      </c>
      <c r="C54" s="30" t="s">
        <v>110</v>
      </c>
      <c r="D54" s="30" t="s">
        <v>31</v>
      </c>
      <c r="E54" s="31" t="s">
        <v>111</v>
      </c>
      <c r="F54" s="30" t="s">
        <v>112</v>
      </c>
      <c r="G54" s="30">
        <v>1</v>
      </c>
      <c r="H54" s="193">
        <v>1369000</v>
      </c>
    </row>
    <row r="55" spans="1:10" ht="64.5" customHeight="1">
      <c r="A55" s="186" t="s">
        <v>63</v>
      </c>
      <c r="B55" s="182">
        <v>2569</v>
      </c>
      <c r="C55" s="30" t="s">
        <v>110</v>
      </c>
      <c r="D55" s="30" t="s">
        <v>19</v>
      </c>
      <c r="E55" s="31" t="s">
        <v>113</v>
      </c>
      <c r="F55" s="30" t="s">
        <v>114</v>
      </c>
      <c r="G55" s="30">
        <v>2</v>
      </c>
      <c r="H55" s="193">
        <v>120200</v>
      </c>
      <c r="J55" s="16"/>
    </row>
    <row r="56" spans="1:10" ht="48.75" customHeight="1">
      <c r="A56" s="186" t="s">
        <v>63</v>
      </c>
      <c r="B56" s="182">
        <v>2569</v>
      </c>
      <c r="C56" s="30" t="s">
        <v>110</v>
      </c>
      <c r="D56" s="30" t="s">
        <v>104</v>
      </c>
      <c r="E56" s="31" t="s">
        <v>115</v>
      </c>
      <c r="F56" s="30" t="s">
        <v>114</v>
      </c>
      <c r="G56" s="30">
        <v>1</v>
      </c>
      <c r="H56" s="193">
        <v>396100</v>
      </c>
    </row>
    <row r="57" spans="1:10" ht="42">
      <c r="A57" s="186" t="s">
        <v>63</v>
      </c>
      <c r="B57" s="182">
        <v>2569</v>
      </c>
      <c r="C57" s="30" t="s">
        <v>110</v>
      </c>
      <c r="D57" s="30" t="s">
        <v>16</v>
      </c>
      <c r="E57" s="31" t="s">
        <v>116</v>
      </c>
      <c r="F57" s="30" t="s">
        <v>117</v>
      </c>
      <c r="G57" s="30">
        <v>4</v>
      </c>
      <c r="H57" s="193">
        <v>182000</v>
      </c>
      <c r="J57" s="16"/>
    </row>
    <row r="58" spans="1:10" ht="42">
      <c r="A58" s="186" t="s">
        <v>63</v>
      </c>
      <c r="B58" s="182">
        <v>2569</v>
      </c>
      <c r="C58" s="30" t="s">
        <v>110</v>
      </c>
      <c r="D58" s="30" t="s">
        <v>16</v>
      </c>
      <c r="E58" s="31" t="s">
        <v>118</v>
      </c>
      <c r="F58" s="30" t="s">
        <v>117</v>
      </c>
      <c r="G58" s="30">
        <v>7</v>
      </c>
      <c r="H58" s="193">
        <v>225400</v>
      </c>
    </row>
    <row r="59" spans="1:10" ht="84">
      <c r="A59" s="186" t="s">
        <v>63</v>
      </c>
      <c r="B59" s="182">
        <v>2569</v>
      </c>
      <c r="C59" s="30" t="s">
        <v>119</v>
      </c>
      <c r="D59" s="30" t="s">
        <v>31</v>
      </c>
      <c r="E59" s="31" t="s">
        <v>120</v>
      </c>
      <c r="F59" s="33" t="s">
        <v>121</v>
      </c>
      <c r="G59" s="30">
        <v>1</v>
      </c>
      <c r="H59" s="193">
        <v>970900</v>
      </c>
    </row>
    <row r="60" spans="1:10" ht="63">
      <c r="A60" s="186" t="s">
        <v>63</v>
      </c>
      <c r="B60" s="182">
        <v>2569</v>
      </c>
      <c r="C60" s="30" t="s">
        <v>122</v>
      </c>
      <c r="D60" s="30" t="s">
        <v>16</v>
      </c>
      <c r="E60" s="31" t="s">
        <v>123</v>
      </c>
      <c r="F60" s="33" t="s">
        <v>124</v>
      </c>
      <c r="G60" s="30">
        <v>2</v>
      </c>
      <c r="H60" s="193">
        <v>61800</v>
      </c>
    </row>
    <row r="61" spans="1:10" ht="63">
      <c r="A61" s="186" t="s">
        <v>63</v>
      </c>
      <c r="B61" s="182">
        <v>2569</v>
      </c>
      <c r="C61" s="30" t="s">
        <v>122</v>
      </c>
      <c r="D61" s="30" t="s">
        <v>16</v>
      </c>
      <c r="E61" s="31" t="s">
        <v>125</v>
      </c>
      <c r="F61" s="33" t="s">
        <v>124</v>
      </c>
      <c r="G61" s="30">
        <v>4</v>
      </c>
      <c r="H61" s="193">
        <v>214400</v>
      </c>
    </row>
    <row r="62" spans="1:10" ht="63">
      <c r="A62" s="186" t="s">
        <v>63</v>
      </c>
      <c r="B62" s="182">
        <v>2569</v>
      </c>
      <c r="C62" s="30" t="s">
        <v>126</v>
      </c>
      <c r="D62" s="30" t="s">
        <v>16</v>
      </c>
      <c r="E62" s="31" t="s">
        <v>127</v>
      </c>
      <c r="F62" s="33" t="s">
        <v>128</v>
      </c>
      <c r="G62" s="30">
        <v>2</v>
      </c>
      <c r="H62" s="193">
        <v>61800</v>
      </c>
    </row>
    <row r="63" spans="1:10" ht="63">
      <c r="A63" s="186" t="s">
        <v>63</v>
      </c>
      <c r="B63" s="182">
        <v>2569</v>
      </c>
      <c r="C63" s="30" t="s">
        <v>126</v>
      </c>
      <c r="D63" s="30" t="s">
        <v>16</v>
      </c>
      <c r="E63" s="31" t="s">
        <v>129</v>
      </c>
      <c r="F63" s="33" t="s">
        <v>128</v>
      </c>
      <c r="G63" s="30">
        <v>6</v>
      </c>
      <c r="H63" s="193">
        <v>321600</v>
      </c>
    </row>
    <row r="64" spans="1:10" ht="63">
      <c r="A64" s="186" t="s">
        <v>63</v>
      </c>
      <c r="B64" s="182">
        <v>2569</v>
      </c>
      <c r="C64" s="30" t="s">
        <v>130</v>
      </c>
      <c r="D64" s="30" t="s">
        <v>16</v>
      </c>
      <c r="E64" s="31" t="s">
        <v>131</v>
      </c>
      <c r="F64" s="34" t="s">
        <v>132</v>
      </c>
      <c r="G64" s="30">
        <v>5</v>
      </c>
      <c r="H64" s="193">
        <v>292500</v>
      </c>
    </row>
    <row r="65" spans="1:9" ht="63">
      <c r="A65" s="186" t="s">
        <v>63</v>
      </c>
      <c r="B65" s="182">
        <v>2569</v>
      </c>
      <c r="C65" s="30" t="s">
        <v>133</v>
      </c>
      <c r="D65" s="30" t="s">
        <v>16</v>
      </c>
      <c r="E65" s="31" t="s">
        <v>134</v>
      </c>
      <c r="F65" s="34" t="s">
        <v>135</v>
      </c>
      <c r="G65" s="30">
        <v>1</v>
      </c>
      <c r="H65" s="193">
        <v>58500</v>
      </c>
    </row>
    <row r="66" spans="1:9" ht="63">
      <c r="A66" s="186" t="s">
        <v>63</v>
      </c>
      <c r="B66" s="182">
        <v>2569</v>
      </c>
      <c r="C66" s="30" t="s">
        <v>136</v>
      </c>
      <c r="D66" s="30" t="s">
        <v>31</v>
      </c>
      <c r="E66" s="31" t="s">
        <v>137</v>
      </c>
      <c r="F66" s="30" t="s">
        <v>138</v>
      </c>
      <c r="G66" s="30">
        <v>1</v>
      </c>
      <c r="H66" s="193">
        <v>1369000</v>
      </c>
    </row>
    <row r="67" spans="1:9" ht="84">
      <c r="A67" s="186" t="s">
        <v>63</v>
      </c>
      <c r="B67" s="182">
        <v>2569</v>
      </c>
      <c r="C67" s="30" t="s">
        <v>139</v>
      </c>
      <c r="D67" s="30" t="s">
        <v>31</v>
      </c>
      <c r="E67" s="31" t="s">
        <v>140</v>
      </c>
      <c r="F67" s="30" t="s">
        <v>141</v>
      </c>
      <c r="G67" s="30">
        <v>1</v>
      </c>
      <c r="H67" s="193">
        <v>970900</v>
      </c>
    </row>
    <row r="68" spans="1:9" ht="63">
      <c r="A68" s="186" t="s">
        <v>63</v>
      </c>
      <c r="B68" s="182">
        <v>2569</v>
      </c>
      <c r="C68" s="30" t="s">
        <v>139</v>
      </c>
      <c r="D68" s="30" t="s">
        <v>16</v>
      </c>
      <c r="E68" s="31" t="s">
        <v>142</v>
      </c>
      <c r="F68" s="30" t="s">
        <v>141</v>
      </c>
      <c r="G68" s="30">
        <v>1</v>
      </c>
      <c r="H68" s="193">
        <v>40900</v>
      </c>
    </row>
    <row r="69" spans="1:9" ht="84">
      <c r="A69" s="186" t="s">
        <v>63</v>
      </c>
      <c r="B69" s="182">
        <v>2569</v>
      </c>
      <c r="C69" s="30" t="s">
        <v>143</v>
      </c>
      <c r="D69" s="30" t="s">
        <v>31</v>
      </c>
      <c r="E69" s="31" t="s">
        <v>144</v>
      </c>
      <c r="F69" s="30" t="s">
        <v>145</v>
      </c>
      <c r="G69" s="30">
        <v>1</v>
      </c>
      <c r="H69" s="193">
        <v>1207900</v>
      </c>
    </row>
    <row r="70" spans="1:9" ht="84">
      <c r="A70" s="186" t="s">
        <v>63</v>
      </c>
      <c r="B70" s="182">
        <v>2569</v>
      </c>
      <c r="C70" s="30" t="s">
        <v>146</v>
      </c>
      <c r="D70" s="30" t="s">
        <v>31</v>
      </c>
      <c r="E70" s="31" t="s">
        <v>147</v>
      </c>
      <c r="F70" s="30" t="s">
        <v>148</v>
      </c>
      <c r="G70" s="30">
        <v>1</v>
      </c>
      <c r="H70" s="193">
        <v>970900</v>
      </c>
    </row>
    <row r="71" spans="1:9" ht="63">
      <c r="A71" s="187" t="s">
        <v>149</v>
      </c>
      <c r="B71" s="182">
        <v>2569</v>
      </c>
      <c r="C71" s="35" t="s">
        <v>150</v>
      </c>
      <c r="D71" s="35" t="s">
        <v>31</v>
      </c>
      <c r="E71" s="36" t="s">
        <v>151</v>
      </c>
      <c r="F71" s="35" t="s">
        <v>152</v>
      </c>
      <c r="G71" s="35">
        <v>1</v>
      </c>
      <c r="H71" s="194">
        <v>1369000</v>
      </c>
    </row>
    <row r="72" spans="1:9" ht="63">
      <c r="A72" s="187" t="s">
        <v>149</v>
      </c>
      <c r="B72" s="182">
        <v>2569</v>
      </c>
      <c r="C72" s="35" t="s">
        <v>150</v>
      </c>
      <c r="D72" s="35" t="s">
        <v>16</v>
      </c>
      <c r="E72" s="36" t="s">
        <v>153</v>
      </c>
      <c r="F72" s="35" t="s">
        <v>152</v>
      </c>
      <c r="G72" s="35">
        <v>5</v>
      </c>
      <c r="H72" s="194">
        <v>268000</v>
      </c>
    </row>
    <row r="73" spans="1:9" ht="84">
      <c r="A73" s="187" t="s">
        <v>149</v>
      </c>
      <c r="B73" s="182">
        <v>2569</v>
      </c>
      <c r="C73" s="35" t="s">
        <v>154</v>
      </c>
      <c r="D73" s="35" t="s">
        <v>31</v>
      </c>
      <c r="E73" s="36" t="s">
        <v>155</v>
      </c>
      <c r="F73" s="35" t="s">
        <v>156</v>
      </c>
      <c r="G73" s="35">
        <v>1</v>
      </c>
      <c r="H73" s="194">
        <v>1207900</v>
      </c>
    </row>
    <row r="74" spans="1:9" ht="84">
      <c r="A74" s="187" t="s">
        <v>149</v>
      </c>
      <c r="B74" s="182">
        <v>2569</v>
      </c>
      <c r="C74" s="35" t="s">
        <v>157</v>
      </c>
      <c r="D74" s="35" t="s">
        <v>31</v>
      </c>
      <c r="E74" s="36" t="s">
        <v>158</v>
      </c>
      <c r="F74" s="35" t="s">
        <v>159</v>
      </c>
      <c r="G74" s="35">
        <v>1</v>
      </c>
      <c r="H74" s="194">
        <v>1207900</v>
      </c>
    </row>
    <row r="75" spans="1:9" ht="63">
      <c r="A75" s="187" t="s">
        <v>149</v>
      </c>
      <c r="B75" s="182">
        <v>2569</v>
      </c>
      <c r="C75" s="35" t="s">
        <v>160</v>
      </c>
      <c r="D75" s="35" t="s">
        <v>16</v>
      </c>
      <c r="E75" s="36" t="s">
        <v>161</v>
      </c>
      <c r="F75" s="35" t="s">
        <v>162</v>
      </c>
      <c r="G75" s="35">
        <v>3</v>
      </c>
      <c r="H75" s="194">
        <v>96600</v>
      </c>
    </row>
    <row r="76" spans="1:9" ht="63">
      <c r="A76" s="187" t="s">
        <v>149</v>
      </c>
      <c r="B76" s="182">
        <v>2569</v>
      </c>
      <c r="C76" s="35" t="s">
        <v>160</v>
      </c>
      <c r="D76" s="35" t="s">
        <v>16</v>
      </c>
      <c r="E76" s="36" t="s">
        <v>163</v>
      </c>
      <c r="F76" s="35" t="s">
        <v>164</v>
      </c>
      <c r="G76" s="35">
        <v>7</v>
      </c>
      <c r="H76" s="194">
        <v>286300</v>
      </c>
      <c r="I76" s="16"/>
    </row>
    <row r="77" spans="1:9" ht="63">
      <c r="A77" s="187" t="s">
        <v>149</v>
      </c>
      <c r="B77" s="182">
        <v>2569</v>
      </c>
      <c r="C77" s="35" t="s">
        <v>160</v>
      </c>
      <c r="D77" s="35" t="s">
        <v>16</v>
      </c>
      <c r="E77" s="36" t="s">
        <v>165</v>
      </c>
      <c r="F77" s="35" t="s">
        <v>164</v>
      </c>
      <c r="G77" s="35">
        <v>1</v>
      </c>
      <c r="H77" s="194">
        <v>47200</v>
      </c>
    </row>
    <row r="78" spans="1:9" ht="63">
      <c r="A78" s="187" t="s">
        <v>149</v>
      </c>
      <c r="B78" s="182">
        <v>2569</v>
      </c>
      <c r="C78" s="35" t="s">
        <v>166</v>
      </c>
      <c r="D78" s="35" t="s">
        <v>16</v>
      </c>
      <c r="E78" s="36" t="s">
        <v>167</v>
      </c>
      <c r="F78" s="35" t="s">
        <v>168</v>
      </c>
      <c r="G78" s="35">
        <v>6</v>
      </c>
      <c r="H78" s="194">
        <v>245400</v>
      </c>
    </row>
    <row r="79" spans="1:9" ht="63">
      <c r="A79" s="187" t="s">
        <v>149</v>
      </c>
      <c r="B79" s="182">
        <v>2569</v>
      </c>
      <c r="C79" s="35" t="s">
        <v>169</v>
      </c>
      <c r="D79" s="35" t="s">
        <v>31</v>
      </c>
      <c r="E79" s="36" t="s">
        <v>170</v>
      </c>
      <c r="F79" s="35" t="s">
        <v>171</v>
      </c>
      <c r="G79" s="35">
        <v>1</v>
      </c>
      <c r="H79" s="194">
        <v>1369000</v>
      </c>
    </row>
    <row r="80" spans="1:9" ht="63">
      <c r="A80" s="197" t="s">
        <v>149</v>
      </c>
      <c r="B80" s="182">
        <v>2569</v>
      </c>
      <c r="C80" s="199" t="s">
        <v>172</v>
      </c>
      <c r="D80" s="199" t="s">
        <v>16</v>
      </c>
      <c r="E80" s="200" t="s">
        <v>173</v>
      </c>
      <c r="F80" s="199" t="s">
        <v>174</v>
      </c>
      <c r="G80" s="199">
        <v>3</v>
      </c>
      <c r="H80" s="202">
        <v>160800</v>
      </c>
    </row>
  </sheetData>
  <pageMargins left="0.7" right="0.7" top="0.75" bottom="0.75" header="0.3" footer="0.3"/>
  <pageSetup paperSize="9" orientation="portrait" verticalDpi="0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37599-51DF-4800-B0EA-AD9B320BFFD2}">
  <sheetPr filterMode="1">
    <tabColor theme="7" tint="0.39997558519241921"/>
  </sheetPr>
  <dimension ref="A1:K120"/>
  <sheetViews>
    <sheetView topLeftCell="A109" zoomScale="70" zoomScaleNormal="70" workbookViewId="0">
      <selection activeCell="G120" sqref="G120"/>
    </sheetView>
  </sheetViews>
  <sheetFormatPr defaultColWidth="9.140625" defaultRowHeight="21"/>
  <cols>
    <col min="1" max="3" width="19.140625" style="1" customWidth="1"/>
    <col min="4" max="4" width="74.85546875" style="1" customWidth="1"/>
    <col min="5" max="5" width="19.42578125" style="1" customWidth="1"/>
    <col min="6" max="6" width="10.28515625" style="1" customWidth="1"/>
    <col min="7" max="7" width="19.5703125" style="38" customWidth="1"/>
    <col min="8" max="8" width="9.85546875" style="1" bestFit="1" customWidth="1"/>
    <col min="9" max="9" width="13.85546875" style="1" bestFit="1" customWidth="1"/>
    <col min="10" max="16384" width="9.140625" style="1"/>
  </cols>
  <sheetData>
    <row r="1" spans="1:11" ht="26.25">
      <c r="A1" s="288" t="s">
        <v>311</v>
      </c>
      <c r="B1" s="288"/>
      <c r="C1" s="288"/>
      <c r="D1" s="288"/>
      <c r="E1" s="288"/>
      <c r="F1" s="288"/>
      <c r="G1" s="288"/>
    </row>
    <row r="2" spans="1:11">
      <c r="A2" s="2"/>
      <c r="B2" s="2"/>
      <c r="C2" s="2"/>
      <c r="D2" s="2"/>
      <c r="E2" s="2"/>
      <c r="F2" s="2"/>
      <c r="G2" s="3"/>
    </row>
    <row r="3" spans="1:11" ht="47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</row>
    <row r="4" spans="1:11" ht="36" hidden="1" customHeight="1">
      <c r="A4" s="292" t="s">
        <v>8</v>
      </c>
      <c r="B4" s="293"/>
      <c r="C4" s="293"/>
      <c r="D4" s="293"/>
      <c r="E4" s="294"/>
      <c r="F4" s="6">
        <f>F5+F6+F7+F8</f>
        <v>82</v>
      </c>
      <c r="G4" s="6">
        <f>G5+G6+G7+G8</f>
        <v>114358700</v>
      </c>
    </row>
    <row r="5" spans="1:11" ht="36" hidden="1" customHeight="1">
      <c r="A5" s="289" t="s">
        <v>9</v>
      </c>
      <c r="B5" s="290"/>
      <c r="C5" s="290"/>
      <c r="D5" s="290"/>
      <c r="E5" s="291"/>
      <c r="F5" s="7">
        <f>F9+F12+F15+F17</f>
        <v>6</v>
      </c>
      <c r="G5" s="7">
        <f>G9+G12+G15+G17</f>
        <v>5072800</v>
      </c>
    </row>
    <row r="6" spans="1:11" ht="36" hidden="1" customHeight="1">
      <c r="A6" s="289" t="s">
        <v>10</v>
      </c>
      <c r="B6" s="290"/>
      <c r="C6" s="290"/>
      <c r="D6" s="290"/>
      <c r="E6" s="291"/>
      <c r="F6" s="7">
        <f>F19+F22+F25+F27+F29+F32+F36+F38+F40</f>
        <v>14</v>
      </c>
      <c r="G6" s="7">
        <f>G19+G22+G25+G27+G29+G32+G36+G38+G40</f>
        <v>12986800</v>
      </c>
    </row>
    <row r="7" spans="1:11" ht="36" hidden="1" customHeight="1">
      <c r="A7" s="289" t="s">
        <v>11</v>
      </c>
      <c r="B7" s="290"/>
      <c r="C7" s="290"/>
      <c r="D7" s="290"/>
      <c r="E7" s="291"/>
      <c r="F7" s="7">
        <f>F42+F50+F53+F55+F57+F59+F62+F64+F66+F68+F71+F74+F79+F82+F84+F86+F90+F92+F94</f>
        <v>47</v>
      </c>
      <c r="G7" s="7">
        <f>G42+G50+G53+G55+G57+G59+G62+G64+G66+G71+G68+G74+G79+G82+G84+G86+G90+G92+G94</f>
        <v>85555700</v>
      </c>
    </row>
    <row r="8" spans="1:11" ht="36" hidden="1" customHeight="1">
      <c r="A8" s="289" t="s">
        <v>12</v>
      </c>
      <c r="B8" s="290"/>
      <c r="C8" s="290"/>
      <c r="D8" s="290"/>
      <c r="E8" s="291"/>
      <c r="F8" s="7">
        <f>F96+F98+F101+F103+F106+F108+F110+F112+F115</f>
        <v>15</v>
      </c>
      <c r="G8" s="7">
        <f>G96+G98+G101+G103+G106+G108+G110+G112+G115</f>
        <v>10743400</v>
      </c>
    </row>
    <row r="9" spans="1:11" ht="24" hidden="1" customHeight="1">
      <c r="A9" s="8" t="s">
        <v>13</v>
      </c>
      <c r="B9" s="25" t="s">
        <v>22</v>
      </c>
      <c r="C9" s="8"/>
      <c r="D9" s="286" t="s">
        <v>15</v>
      </c>
      <c r="E9" s="287"/>
      <c r="F9" s="52">
        <f>F10+F11</f>
        <v>2</v>
      </c>
      <c r="G9" s="9">
        <f>G10+G11</f>
        <v>2448900</v>
      </c>
    </row>
    <row r="10" spans="1:11" ht="69.75" customHeight="1">
      <c r="A10" s="10" t="s">
        <v>13</v>
      </c>
      <c r="B10" s="44" t="s">
        <v>22</v>
      </c>
      <c r="C10" s="49" t="s">
        <v>31</v>
      </c>
      <c r="D10" s="50" t="s">
        <v>412</v>
      </c>
      <c r="E10" s="12" t="s">
        <v>26</v>
      </c>
      <c r="F10" s="51">
        <v>1</v>
      </c>
      <c r="G10" s="51">
        <v>1358000</v>
      </c>
      <c r="H10" s="41"/>
      <c r="I10" s="41"/>
      <c r="J10" s="41"/>
      <c r="K10" s="41"/>
    </row>
    <row r="11" spans="1:11" ht="87" customHeight="1">
      <c r="A11" s="10" t="s">
        <v>13</v>
      </c>
      <c r="B11" s="44" t="s">
        <v>22</v>
      </c>
      <c r="C11" s="49" t="s">
        <v>31</v>
      </c>
      <c r="D11" s="50" t="s">
        <v>413</v>
      </c>
      <c r="E11" s="12" t="s">
        <v>26</v>
      </c>
      <c r="F11" s="51">
        <v>1</v>
      </c>
      <c r="G11" s="51">
        <v>1090900</v>
      </c>
      <c r="H11" s="41"/>
      <c r="I11" s="41"/>
      <c r="J11" s="41"/>
      <c r="K11" s="41"/>
    </row>
    <row r="12" spans="1:11" hidden="1">
      <c r="A12" s="8" t="s">
        <v>13</v>
      </c>
      <c r="B12" s="25" t="s">
        <v>27</v>
      </c>
      <c r="C12" s="8"/>
      <c r="D12" s="286" t="s">
        <v>15</v>
      </c>
      <c r="E12" s="287"/>
      <c r="F12" s="14">
        <f>F13+F14</f>
        <v>2</v>
      </c>
      <c r="G12" s="9">
        <f>G13+G14</f>
        <v>1538000</v>
      </c>
    </row>
    <row r="13" spans="1:11" ht="69" customHeight="1">
      <c r="A13" s="44" t="s">
        <v>13</v>
      </c>
      <c r="B13" s="44" t="s">
        <v>27</v>
      </c>
      <c r="C13" s="10" t="s">
        <v>31</v>
      </c>
      <c r="D13" s="11" t="s">
        <v>312</v>
      </c>
      <c r="E13" s="48" t="s">
        <v>29</v>
      </c>
      <c r="F13" s="11">
        <v>1</v>
      </c>
      <c r="G13" s="43">
        <v>1358000</v>
      </c>
    </row>
    <row r="14" spans="1:11" ht="69" hidden="1" customHeight="1">
      <c r="A14" s="44" t="s">
        <v>13</v>
      </c>
      <c r="B14" s="44" t="s">
        <v>27</v>
      </c>
      <c r="C14" s="10" t="s">
        <v>16</v>
      </c>
      <c r="D14" s="11" t="s">
        <v>313</v>
      </c>
      <c r="E14" s="48" t="s">
        <v>29</v>
      </c>
      <c r="F14" s="11">
        <v>1</v>
      </c>
      <c r="G14" s="43">
        <v>180000</v>
      </c>
    </row>
    <row r="15" spans="1:11" hidden="1">
      <c r="A15" s="8" t="s">
        <v>13</v>
      </c>
      <c r="B15" s="25" t="s">
        <v>176</v>
      </c>
      <c r="C15" s="8"/>
      <c r="D15" s="286" t="s">
        <v>15</v>
      </c>
      <c r="E15" s="287"/>
      <c r="F15" s="14">
        <f>F16</f>
        <v>1</v>
      </c>
      <c r="G15" s="15">
        <f>G16</f>
        <v>200000</v>
      </c>
    </row>
    <row r="16" spans="1:11" ht="42" hidden="1">
      <c r="A16" s="10" t="s">
        <v>13</v>
      </c>
      <c r="B16" s="44" t="s">
        <v>176</v>
      </c>
      <c r="C16" s="10" t="s">
        <v>16</v>
      </c>
      <c r="D16" s="11" t="s">
        <v>314</v>
      </c>
      <c r="E16" s="12" t="s">
        <v>179</v>
      </c>
      <c r="F16" s="11">
        <v>1</v>
      </c>
      <c r="G16" s="13">
        <v>200000</v>
      </c>
    </row>
    <row r="17" spans="1:7" hidden="1">
      <c r="A17" s="8" t="s">
        <v>13</v>
      </c>
      <c r="B17" s="25" t="s">
        <v>233</v>
      </c>
      <c r="C17" s="8"/>
      <c r="D17" s="286" t="s">
        <v>15</v>
      </c>
      <c r="E17" s="287"/>
      <c r="F17" s="14">
        <f>F18</f>
        <v>1</v>
      </c>
      <c r="G17" s="15">
        <f>G18</f>
        <v>885900</v>
      </c>
    </row>
    <row r="18" spans="1:7" ht="69" customHeight="1">
      <c r="A18" s="10" t="s">
        <v>13</v>
      </c>
      <c r="B18" s="44" t="s">
        <v>233</v>
      </c>
      <c r="C18" s="10" t="s">
        <v>31</v>
      </c>
      <c r="D18" s="11" t="s">
        <v>409</v>
      </c>
      <c r="E18" s="12" t="s">
        <v>36</v>
      </c>
      <c r="F18" s="11">
        <v>1</v>
      </c>
      <c r="G18" s="13">
        <v>885900</v>
      </c>
    </row>
    <row r="19" spans="1:7" hidden="1">
      <c r="A19" s="17" t="s">
        <v>40</v>
      </c>
      <c r="B19" s="25" t="s">
        <v>41</v>
      </c>
      <c r="C19" s="8"/>
      <c r="D19" s="282" t="s">
        <v>15</v>
      </c>
      <c r="E19" s="283"/>
      <c r="F19" s="8">
        <f>F20+F21</f>
        <v>2</v>
      </c>
      <c r="G19" s="9">
        <f>G20+G21</f>
        <v>1976800</v>
      </c>
    </row>
    <row r="20" spans="1:7" ht="84">
      <c r="A20" s="18" t="s">
        <v>40</v>
      </c>
      <c r="B20" s="45" t="s">
        <v>41</v>
      </c>
      <c r="C20" s="19" t="s">
        <v>31</v>
      </c>
      <c r="D20" s="20" t="s">
        <v>315</v>
      </c>
      <c r="E20" s="21" t="s">
        <v>45</v>
      </c>
      <c r="F20" s="20">
        <v>1</v>
      </c>
      <c r="G20" s="22">
        <v>885900</v>
      </c>
    </row>
    <row r="21" spans="1:7" ht="84">
      <c r="A21" s="18" t="s">
        <v>40</v>
      </c>
      <c r="B21" s="45" t="s">
        <v>41</v>
      </c>
      <c r="C21" s="19" t="s">
        <v>31</v>
      </c>
      <c r="D21" s="20" t="s">
        <v>316</v>
      </c>
      <c r="E21" s="21" t="s">
        <v>45</v>
      </c>
      <c r="F21" s="20">
        <v>1</v>
      </c>
      <c r="G21" s="22">
        <v>1090900</v>
      </c>
    </row>
    <row r="22" spans="1:7" hidden="1">
      <c r="A22" s="17" t="s">
        <v>40</v>
      </c>
      <c r="B22" s="25" t="s">
        <v>317</v>
      </c>
      <c r="C22" s="8"/>
      <c r="D22" s="282" t="s">
        <v>15</v>
      </c>
      <c r="E22" s="283"/>
      <c r="F22" s="8">
        <f>F23+F24</f>
        <v>2</v>
      </c>
      <c r="G22" s="9">
        <f>G23+G24</f>
        <v>1558000</v>
      </c>
    </row>
    <row r="23" spans="1:7" ht="63" hidden="1">
      <c r="A23" s="18" t="s">
        <v>40</v>
      </c>
      <c r="B23" s="45" t="s">
        <v>317</v>
      </c>
      <c r="C23" s="19" t="s">
        <v>16</v>
      </c>
      <c r="D23" s="20" t="s">
        <v>318</v>
      </c>
      <c r="E23" s="21" t="s">
        <v>319</v>
      </c>
      <c r="F23" s="20">
        <v>1</v>
      </c>
      <c r="G23" s="22">
        <v>200000</v>
      </c>
    </row>
    <row r="24" spans="1:7" ht="63">
      <c r="A24" s="18" t="s">
        <v>40</v>
      </c>
      <c r="B24" s="45" t="s">
        <v>317</v>
      </c>
      <c r="C24" s="19" t="s">
        <v>31</v>
      </c>
      <c r="D24" s="20" t="s">
        <v>410</v>
      </c>
      <c r="E24" s="21" t="s">
        <v>411</v>
      </c>
      <c r="F24" s="20">
        <v>1</v>
      </c>
      <c r="G24" s="22">
        <v>1358000</v>
      </c>
    </row>
    <row r="25" spans="1:7" hidden="1">
      <c r="A25" s="17" t="s">
        <v>40</v>
      </c>
      <c r="B25" s="25" t="s">
        <v>320</v>
      </c>
      <c r="C25" s="8"/>
      <c r="D25" s="282" t="s">
        <v>15</v>
      </c>
      <c r="E25" s="283"/>
      <c r="F25" s="8">
        <f>F26</f>
        <v>1</v>
      </c>
      <c r="G25" s="9">
        <f>G26</f>
        <v>1090900</v>
      </c>
    </row>
    <row r="26" spans="1:7" ht="84">
      <c r="A26" s="18" t="s">
        <v>40</v>
      </c>
      <c r="B26" s="45" t="s">
        <v>320</v>
      </c>
      <c r="C26" s="19" t="s">
        <v>31</v>
      </c>
      <c r="D26" s="20" t="s">
        <v>321</v>
      </c>
      <c r="E26" s="21" t="s">
        <v>322</v>
      </c>
      <c r="F26" s="20">
        <v>1</v>
      </c>
      <c r="G26" s="22">
        <v>1090900</v>
      </c>
    </row>
    <row r="27" spans="1:7" hidden="1">
      <c r="A27" s="17" t="s">
        <v>40</v>
      </c>
      <c r="B27" s="25" t="s">
        <v>182</v>
      </c>
      <c r="C27" s="8"/>
      <c r="D27" s="282" t="s">
        <v>15</v>
      </c>
      <c r="E27" s="283"/>
      <c r="F27" s="8">
        <f>F28</f>
        <v>1</v>
      </c>
      <c r="G27" s="9">
        <f>G28</f>
        <v>1358000</v>
      </c>
    </row>
    <row r="28" spans="1:7" ht="63">
      <c r="A28" s="18" t="s">
        <v>40</v>
      </c>
      <c r="B28" s="45" t="s">
        <v>182</v>
      </c>
      <c r="C28" s="19" t="s">
        <v>31</v>
      </c>
      <c r="D28" s="20" t="s">
        <v>323</v>
      </c>
      <c r="E28" s="21" t="s">
        <v>185</v>
      </c>
      <c r="F28" s="20">
        <v>1</v>
      </c>
      <c r="G28" s="22">
        <v>1358000</v>
      </c>
    </row>
    <row r="29" spans="1:7" hidden="1">
      <c r="A29" s="17" t="s">
        <v>40</v>
      </c>
      <c r="B29" s="25" t="s">
        <v>46</v>
      </c>
      <c r="C29" s="8"/>
      <c r="D29" s="282" t="s">
        <v>15</v>
      </c>
      <c r="E29" s="283"/>
      <c r="F29" s="8">
        <f>F30+F31</f>
        <v>2</v>
      </c>
      <c r="G29" s="9">
        <f>G30+G31</f>
        <v>1101500</v>
      </c>
    </row>
    <row r="30" spans="1:7" ht="84">
      <c r="A30" s="18" t="s">
        <v>40</v>
      </c>
      <c r="B30" s="45" t="s">
        <v>46</v>
      </c>
      <c r="C30" s="19" t="s">
        <v>31</v>
      </c>
      <c r="D30" s="20" t="s">
        <v>324</v>
      </c>
      <c r="E30" s="21" t="s">
        <v>50</v>
      </c>
      <c r="F30" s="20">
        <v>1</v>
      </c>
      <c r="G30" s="22">
        <v>1090900</v>
      </c>
    </row>
    <row r="31" spans="1:7" ht="42" hidden="1">
      <c r="A31" s="18" t="s">
        <v>40</v>
      </c>
      <c r="B31" s="45" t="s">
        <v>46</v>
      </c>
      <c r="C31" s="19" t="s">
        <v>19</v>
      </c>
      <c r="D31" s="20" t="s">
        <v>325</v>
      </c>
      <c r="E31" s="21" t="s">
        <v>50</v>
      </c>
      <c r="F31" s="20">
        <v>1</v>
      </c>
      <c r="G31" s="22">
        <v>10600</v>
      </c>
    </row>
    <row r="32" spans="1:7" hidden="1">
      <c r="A32" s="17" t="s">
        <v>40</v>
      </c>
      <c r="B32" s="25" t="s">
        <v>326</v>
      </c>
      <c r="C32" s="8"/>
      <c r="D32" s="282" t="s">
        <v>15</v>
      </c>
      <c r="E32" s="283"/>
      <c r="F32" s="8">
        <f>F33+F34+F35</f>
        <v>3</v>
      </c>
      <c r="G32" s="9">
        <f>G33+G34+G35</f>
        <v>3539800</v>
      </c>
    </row>
    <row r="33" spans="1:9" ht="63">
      <c r="A33" s="18" t="s">
        <v>40</v>
      </c>
      <c r="B33" s="45" t="s">
        <v>326</v>
      </c>
      <c r="C33" s="19" t="s">
        <v>31</v>
      </c>
      <c r="D33" s="20" t="s">
        <v>327</v>
      </c>
      <c r="E33" s="21" t="s">
        <v>329</v>
      </c>
      <c r="F33" s="20">
        <v>1</v>
      </c>
      <c r="G33" s="22">
        <v>1358000</v>
      </c>
    </row>
    <row r="34" spans="1:9" ht="84">
      <c r="A34" s="18" t="s">
        <v>40</v>
      </c>
      <c r="B34" s="45" t="s">
        <v>326</v>
      </c>
      <c r="C34" s="19" t="s">
        <v>31</v>
      </c>
      <c r="D34" s="20" t="s">
        <v>328</v>
      </c>
      <c r="E34" s="21" t="s">
        <v>329</v>
      </c>
      <c r="F34" s="20">
        <v>1</v>
      </c>
      <c r="G34" s="22">
        <v>1090900</v>
      </c>
    </row>
    <row r="35" spans="1:9" ht="84">
      <c r="A35" s="18" t="s">
        <v>40</v>
      </c>
      <c r="B35" s="45" t="s">
        <v>326</v>
      </c>
      <c r="C35" s="19" t="s">
        <v>31</v>
      </c>
      <c r="D35" s="20" t="s">
        <v>328</v>
      </c>
      <c r="E35" s="21" t="s">
        <v>329</v>
      </c>
      <c r="F35" s="20">
        <v>1</v>
      </c>
      <c r="G35" s="22">
        <v>1090900</v>
      </c>
    </row>
    <row r="36" spans="1:9" hidden="1">
      <c r="A36" s="17" t="s">
        <v>40</v>
      </c>
      <c r="B36" s="25" t="s">
        <v>188</v>
      </c>
      <c r="C36" s="8"/>
      <c r="D36" s="282" t="s">
        <v>15</v>
      </c>
      <c r="E36" s="283"/>
      <c r="F36" s="8">
        <f>F37</f>
        <v>1</v>
      </c>
      <c r="G36" s="9">
        <f>G37</f>
        <v>1090900</v>
      </c>
    </row>
    <row r="37" spans="1:9" ht="84">
      <c r="A37" s="18" t="s">
        <v>40</v>
      </c>
      <c r="B37" s="45" t="s">
        <v>188</v>
      </c>
      <c r="C37" s="19" t="s">
        <v>31</v>
      </c>
      <c r="D37" s="20" t="s">
        <v>330</v>
      </c>
      <c r="E37" s="21" t="s">
        <v>190</v>
      </c>
      <c r="F37" s="20">
        <v>1</v>
      </c>
      <c r="G37" s="22">
        <v>1090900</v>
      </c>
    </row>
    <row r="38" spans="1:9" hidden="1">
      <c r="A38" s="17" t="s">
        <v>40</v>
      </c>
      <c r="B38" s="25" t="s">
        <v>193</v>
      </c>
      <c r="C38" s="8"/>
      <c r="D38" s="282" t="s">
        <v>15</v>
      </c>
      <c r="E38" s="283"/>
      <c r="F38" s="14">
        <f>F39</f>
        <v>1</v>
      </c>
      <c r="G38" s="15">
        <f>G39</f>
        <v>1090900</v>
      </c>
    </row>
    <row r="39" spans="1:9" ht="84">
      <c r="A39" s="18" t="s">
        <v>40</v>
      </c>
      <c r="B39" s="45" t="s">
        <v>193</v>
      </c>
      <c r="C39" s="19" t="s">
        <v>31</v>
      </c>
      <c r="D39" s="20" t="s">
        <v>331</v>
      </c>
      <c r="E39" s="21" t="s">
        <v>195</v>
      </c>
      <c r="F39" s="20">
        <v>1</v>
      </c>
      <c r="G39" s="22">
        <v>1090900</v>
      </c>
    </row>
    <row r="40" spans="1:9" hidden="1">
      <c r="A40" s="17" t="s">
        <v>40</v>
      </c>
      <c r="B40" s="25" t="s">
        <v>57</v>
      </c>
      <c r="C40" s="8"/>
      <c r="D40" s="282" t="s">
        <v>15</v>
      </c>
      <c r="E40" s="283"/>
      <c r="F40" s="8">
        <f>F41</f>
        <v>1</v>
      </c>
      <c r="G40" s="24">
        <f>G41</f>
        <v>180000</v>
      </c>
    </row>
    <row r="41" spans="1:9" ht="63" hidden="1">
      <c r="A41" s="18" t="s">
        <v>40</v>
      </c>
      <c r="B41" s="45" t="s">
        <v>57</v>
      </c>
      <c r="C41" s="19" t="s">
        <v>16</v>
      </c>
      <c r="D41" s="20" t="s">
        <v>332</v>
      </c>
      <c r="E41" s="21" t="s">
        <v>59</v>
      </c>
      <c r="F41" s="19">
        <v>1</v>
      </c>
      <c r="G41" s="22">
        <v>180000</v>
      </c>
    </row>
    <row r="42" spans="1:9" hidden="1">
      <c r="A42" s="25" t="s">
        <v>63</v>
      </c>
      <c r="B42" s="25" t="s">
        <v>64</v>
      </c>
      <c r="C42" s="25"/>
      <c r="D42" s="284" t="s">
        <v>15</v>
      </c>
      <c r="E42" s="285"/>
      <c r="F42" s="25">
        <f>SUM(F43:F49)</f>
        <v>18</v>
      </c>
      <c r="G42" s="26">
        <f>SUM(G43:G49)</f>
        <v>66731100</v>
      </c>
    </row>
    <row r="43" spans="1:9" ht="105">
      <c r="A43" s="27" t="s">
        <v>63</v>
      </c>
      <c r="B43" s="27" t="s">
        <v>64</v>
      </c>
      <c r="C43" s="27" t="s">
        <v>31</v>
      </c>
      <c r="D43" s="28" t="s">
        <v>333</v>
      </c>
      <c r="E43" s="39" t="s">
        <v>66</v>
      </c>
      <c r="F43" s="27">
        <v>1</v>
      </c>
      <c r="G43" s="29">
        <v>2749000</v>
      </c>
      <c r="I43" s="16"/>
    </row>
    <row r="44" spans="1:9" ht="63">
      <c r="A44" s="27" t="s">
        <v>63</v>
      </c>
      <c r="B44" s="27" t="s">
        <v>64</v>
      </c>
      <c r="C44" s="27" t="s">
        <v>31</v>
      </c>
      <c r="D44" s="28" t="s">
        <v>334</v>
      </c>
      <c r="E44" s="39" t="s">
        <v>448</v>
      </c>
      <c r="F44" s="27">
        <v>1</v>
      </c>
      <c r="G44" s="29">
        <v>1358000</v>
      </c>
      <c r="I44" s="16"/>
    </row>
    <row r="45" spans="1:9" ht="84.75" customHeight="1">
      <c r="A45" s="27" t="s">
        <v>63</v>
      </c>
      <c r="B45" s="27" t="s">
        <v>64</v>
      </c>
      <c r="C45" s="27" t="s">
        <v>31</v>
      </c>
      <c r="D45" s="28" t="s">
        <v>335</v>
      </c>
      <c r="E45" s="39" t="s">
        <v>250</v>
      </c>
      <c r="F45" s="27">
        <v>1</v>
      </c>
      <c r="G45" s="29">
        <v>1090900</v>
      </c>
    </row>
    <row r="46" spans="1:9" ht="70.5" customHeight="1">
      <c r="A46" s="27" t="s">
        <v>63</v>
      </c>
      <c r="B46" s="27" t="s">
        <v>64</v>
      </c>
      <c r="C46" s="27" t="s">
        <v>31</v>
      </c>
      <c r="D46" s="28" t="s">
        <v>336</v>
      </c>
      <c r="E46" s="39" t="s">
        <v>448</v>
      </c>
      <c r="F46" s="27">
        <v>12</v>
      </c>
      <c r="G46" s="29">
        <v>19968000</v>
      </c>
    </row>
    <row r="47" spans="1:9" ht="84" hidden="1">
      <c r="A47" s="27" t="s">
        <v>63</v>
      </c>
      <c r="B47" s="27" t="s">
        <v>64</v>
      </c>
      <c r="C47" s="27" t="s">
        <v>75</v>
      </c>
      <c r="D47" s="28" t="s">
        <v>337</v>
      </c>
      <c r="E47" s="39" t="s">
        <v>70</v>
      </c>
      <c r="F47" s="27">
        <v>1</v>
      </c>
      <c r="G47" s="29">
        <v>2531800</v>
      </c>
      <c r="I47" s="16"/>
    </row>
    <row r="48" spans="1:9" ht="63" hidden="1">
      <c r="A48" s="27" t="s">
        <v>63</v>
      </c>
      <c r="B48" s="27" t="s">
        <v>64</v>
      </c>
      <c r="C48" s="27" t="s">
        <v>75</v>
      </c>
      <c r="D48" s="28" t="s">
        <v>338</v>
      </c>
      <c r="E48" s="39" t="s">
        <v>77</v>
      </c>
      <c r="F48" s="27">
        <v>1</v>
      </c>
      <c r="G48" s="29">
        <v>28309400</v>
      </c>
      <c r="I48" s="16"/>
    </row>
    <row r="49" spans="1:7" ht="84" hidden="1">
      <c r="A49" s="27" t="s">
        <v>63</v>
      </c>
      <c r="B49" s="27" t="s">
        <v>64</v>
      </c>
      <c r="C49" s="27" t="s">
        <v>75</v>
      </c>
      <c r="D49" s="28" t="s">
        <v>339</v>
      </c>
      <c r="E49" s="39" t="s">
        <v>77</v>
      </c>
      <c r="F49" s="27">
        <v>1</v>
      </c>
      <c r="G49" s="29">
        <v>10724000</v>
      </c>
    </row>
    <row r="50" spans="1:7" hidden="1">
      <c r="A50" s="25" t="s">
        <v>63</v>
      </c>
      <c r="B50" s="25" t="s">
        <v>340</v>
      </c>
      <c r="C50" s="25"/>
      <c r="D50" s="282" t="s">
        <v>15</v>
      </c>
      <c r="E50" s="283"/>
      <c r="F50" s="26">
        <f>F51+F52</f>
        <v>2</v>
      </c>
      <c r="G50" s="26">
        <f>G51+G52</f>
        <v>1976800</v>
      </c>
    </row>
    <row r="51" spans="1:7" ht="84">
      <c r="A51" s="27" t="s">
        <v>63</v>
      </c>
      <c r="B51" s="27" t="s">
        <v>340</v>
      </c>
      <c r="C51" s="27" t="s">
        <v>31</v>
      </c>
      <c r="D51" s="28" t="s">
        <v>341</v>
      </c>
      <c r="E51" s="39" t="s">
        <v>343</v>
      </c>
      <c r="F51" s="27">
        <v>1</v>
      </c>
      <c r="G51" s="29">
        <v>885900</v>
      </c>
    </row>
    <row r="52" spans="1:7" ht="84">
      <c r="A52" s="27" t="s">
        <v>63</v>
      </c>
      <c r="B52" s="27" t="s">
        <v>340</v>
      </c>
      <c r="C52" s="27" t="s">
        <v>31</v>
      </c>
      <c r="D52" s="28" t="s">
        <v>342</v>
      </c>
      <c r="E52" s="39" t="s">
        <v>343</v>
      </c>
      <c r="F52" s="27">
        <v>1</v>
      </c>
      <c r="G52" s="29">
        <v>1090900</v>
      </c>
    </row>
    <row r="53" spans="1:7" hidden="1">
      <c r="A53" s="25" t="s">
        <v>63</v>
      </c>
      <c r="B53" s="25" t="s">
        <v>344</v>
      </c>
      <c r="C53" s="25"/>
      <c r="D53" s="282" t="s">
        <v>15</v>
      </c>
      <c r="E53" s="283"/>
      <c r="F53" s="26">
        <f>F54</f>
        <v>1</v>
      </c>
      <c r="G53" s="26">
        <f>G54</f>
        <v>10600</v>
      </c>
    </row>
    <row r="54" spans="1:7" ht="42" hidden="1">
      <c r="A54" s="27" t="s">
        <v>63</v>
      </c>
      <c r="B54" s="27" t="s">
        <v>344</v>
      </c>
      <c r="C54" s="27" t="s">
        <v>19</v>
      </c>
      <c r="D54" s="28" t="s">
        <v>345</v>
      </c>
      <c r="E54" s="39" t="s">
        <v>346</v>
      </c>
      <c r="F54" s="27">
        <v>1</v>
      </c>
      <c r="G54" s="29">
        <v>10600</v>
      </c>
    </row>
    <row r="55" spans="1:7" hidden="1">
      <c r="A55" s="25" t="s">
        <v>63</v>
      </c>
      <c r="B55" s="25" t="s">
        <v>199</v>
      </c>
      <c r="C55" s="25"/>
      <c r="D55" s="282" t="s">
        <v>15</v>
      </c>
      <c r="E55" s="283"/>
      <c r="F55" s="26">
        <f>F56</f>
        <v>1</v>
      </c>
      <c r="G55" s="26">
        <f>G56</f>
        <v>180000</v>
      </c>
    </row>
    <row r="56" spans="1:7" ht="43.5" hidden="1" customHeight="1">
      <c r="A56" s="27" t="s">
        <v>63</v>
      </c>
      <c r="B56" s="27" t="s">
        <v>199</v>
      </c>
      <c r="C56" s="27" t="s">
        <v>16</v>
      </c>
      <c r="D56" s="28" t="s">
        <v>347</v>
      </c>
      <c r="E56" s="39" t="s">
        <v>201</v>
      </c>
      <c r="F56" s="27">
        <v>1</v>
      </c>
      <c r="G56" s="29">
        <v>180000</v>
      </c>
    </row>
    <row r="57" spans="1:7" ht="23.25" hidden="1" customHeight="1">
      <c r="A57" s="25" t="s">
        <v>63</v>
      </c>
      <c r="B57" s="25" t="s">
        <v>285</v>
      </c>
      <c r="C57" s="25"/>
      <c r="D57" s="282" t="s">
        <v>15</v>
      </c>
      <c r="E57" s="283"/>
      <c r="F57" s="26">
        <f>F58</f>
        <v>1</v>
      </c>
      <c r="G57" s="26">
        <f>G58</f>
        <v>885900</v>
      </c>
    </row>
    <row r="58" spans="1:7" ht="90.75" customHeight="1">
      <c r="A58" s="27" t="s">
        <v>63</v>
      </c>
      <c r="B58" s="27" t="s">
        <v>285</v>
      </c>
      <c r="C58" s="27" t="s">
        <v>31</v>
      </c>
      <c r="D58" s="28" t="s">
        <v>348</v>
      </c>
      <c r="E58" s="39" t="s">
        <v>287</v>
      </c>
      <c r="F58" s="27">
        <v>1</v>
      </c>
      <c r="G58" s="29">
        <v>885900</v>
      </c>
    </row>
    <row r="59" spans="1:7" ht="24.75" hidden="1" customHeight="1">
      <c r="A59" s="25" t="s">
        <v>63</v>
      </c>
      <c r="B59" s="25" t="s">
        <v>103</v>
      </c>
      <c r="C59" s="25"/>
      <c r="D59" s="282" t="s">
        <v>15</v>
      </c>
      <c r="E59" s="283"/>
      <c r="F59" s="26">
        <f>F60+F61</f>
        <v>2</v>
      </c>
      <c r="G59" s="26">
        <f>G60+G61</f>
        <v>896500</v>
      </c>
    </row>
    <row r="60" spans="1:7" ht="90.75" customHeight="1">
      <c r="A60" s="27" t="s">
        <v>63</v>
      </c>
      <c r="B60" s="27" t="s">
        <v>103</v>
      </c>
      <c r="C60" s="27" t="s">
        <v>31</v>
      </c>
      <c r="D60" s="28" t="s">
        <v>349</v>
      </c>
      <c r="E60" s="39" t="s">
        <v>350</v>
      </c>
      <c r="F60" s="27">
        <v>1</v>
      </c>
      <c r="G60" s="29">
        <v>10600</v>
      </c>
    </row>
    <row r="61" spans="1:7" ht="90.75" hidden="1" customHeight="1">
      <c r="A61" s="27" t="s">
        <v>63</v>
      </c>
      <c r="B61" s="27" t="s">
        <v>103</v>
      </c>
      <c r="C61" s="27" t="s">
        <v>19</v>
      </c>
      <c r="D61" s="28" t="s">
        <v>351</v>
      </c>
      <c r="E61" s="39" t="s">
        <v>350</v>
      </c>
      <c r="F61" s="27">
        <v>1</v>
      </c>
      <c r="G61" s="29">
        <v>885900</v>
      </c>
    </row>
    <row r="62" spans="1:7" ht="24.75" hidden="1" customHeight="1">
      <c r="A62" s="25" t="s">
        <v>63</v>
      </c>
      <c r="B62" s="25" t="s">
        <v>352</v>
      </c>
      <c r="C62" s="25"/>
      <c r="D62" s="282" t="s">
        <v>15</v>
      </c>
      <c r="E62" s="283"/>
      <c r="F62" s="26">
        <f>F63</f>
        <v>1</v>
      </c>
      <c r="G62" s="26">
        <f>G63</f>
        <v>885900</v>
      </c>
    </row>
    <row r="63" spans="1:7" ht="90.75" customHeight="1">
      <c r="A63" s="27" t="s">
        <v>63</v>
      </c>
      <c r="B63" s="27" t="s">
        <v>352</v>
      </c>
      <c r="C63" s="27" t="s">
        <v>31</v>
      </c>
      <c r="D63" s="28" t="s">
        <v>353</v>
      </c>
      <c r="E63" s="39" t="s">
        <v>354</v>
      </c>
      <c r="F63" s="27">
        <v>1</v>
      </c>
      <c r="G63" s="29">
        <v>885900</v>
      </c>
    </row>
    <row r="64" spans="1:7" hidden="1">
      <c r="A64" s="25" t="s">
        <v>63</v>
      </c>
      <c r="B64" s="25" t="s">
        <v>357</v>
      </c>
      <c r="C64" s="25"/>
      <c r="D64" s="282" t="s">
        <v>15</v>
      </c>
      <c r="E64" s="283"/>
      <c r="F64" s="26">
        <f>F65</f>
        <v>1</v>
      </c>
      <c r="G64" s="26">
        <f>G65</f>
        <v>10600</v>
      </c>
    </row>
    <row r="65" spans="1:9" ht="42" hidden="1">
      <c r="A65" s="27" t="s">
        <v>63</v>
      </c>
      <c r="B65" s="27" t="s">
        <v>357</v>
      </c>
      <c r="C65" s="27" t="s">
        <v>19</v>
      </c>
      <c r="D65" s="28" t="s">
        <v>355</v>
      </c>
      <c r="E65" s="39" t="s">
        <v>356</v>
      </c>
      <c r="F65" s="27">
        <v>1</v>
      </c>
      <c r="G65" s="29">
        <v>10600</v>
      </c>
    </row>
    <row r="66" spans="1:9" hidden="1">
      <c r="A66" s="25" t="s">
        <v>63</v>
      </c>
      <c r="B66" s="25" t="s">
        <v>107</v>
      </c>
      <c r="C66" s="25"/>
      <c r="D66" s="282" t="s">
        <v>15</v>
      </c>
      <c r="E66" s="283"/>
      <c r="F66" s="26">
        <f>F67</f>
        <v>1</v>
      </c>
      <c r="G66" s="26">
        <f>G67</f>
        <v>1090900</v>
      </c>
    </row>
    <row r="67" spans="1:9" ht="84">
      <c r="A67" s="27" t="s">
        <v>63</v>
      </c>
      <c r="B67" s="27" t="s">
        <v>107</v>
      </c>
      <c r="C67" s="27" t="s">
        <v>31</v>
      </c>
      <c r="D67" s="28" t="s">
        <v>358</v>
      </c>
      <c r="E67" s="39" t="s">
        <v>109</v>
      </c>
      <c r="F67" s="27">
        <v>1</v>
      </c>
      <c r="G67" s="29">
        <v>1090900</v>
      </c>
    </row>
    <row r="68" spans="1:9" hidden="1">
      <c r="A68" s="25" t="s">
        <v>63</v>
      </c>
      <c r="B68" s="25" t="s">
        <v>202</v>
      </c>
      <c r="C68" s="25"/>
      <c r="D68" s="282" t="s">
        <v>15</v>
      </c>
      <c r="E68" s="283"/>
      <c r="F68" s="26">
        <f>F69+F70</f>
        <v>2</v>
      </c>
      <c r="G68" s="26">
        <f>G69+G70</f>
        <v>1976800</v>
      </c>
    </row>
    <row r="69" spans="1:9" ht="84">
      <c r="A69" s="27" t="s">
        <v>63</v>
      </c>
      <c r="B69" s="27" t="s">
        <v>202</v>
      </c>
      <c r="C69" s="27" t="s">
        <v>31</v>
      </c>
      <c r="D69" s="28" t="s">
        <v>359</v>
      </c>
      <c r="E69" s="39" t="s">
        <v>204</v>
      </c>
      <c r="F69" s="27">
        <v>1</v>
      </c>
      <c r="G69" s="29">
        <v>885900</v>
      </c>
    </row>
    <row r="70" spans="1:9" ht="84">
      <c r="A70" s="27" t="s">
        <v>63</v>
      </c>
      <c r="B70" s="27" t="s">
        <v>202</v>
      </c>
      <c r="C70" s="27" t="s">
        <v>31</v>
      </c>
      <c r="D70" s="28" t="s">
        <v>360</v>
      </c>
      <c r="E70" s="39" t="s">
        <v>204</v>
      </c>
      <c r="F70" s="27">
        <v>1</v>
      </c>
      <c r="G70" s="29">
        <v>1090900</v>
      </c>
    </row>
    <row r="71" spans="1:9" hidden="1">
      <c r="A71" s="25" t="s">
        <v>63</v>
      </c>
      <c r="B71" s="25" t="s">
        <v>205</v>
      </c>
      <c r="C71" s="25"/>
      <c r="D71" s="282" t="s">
        <v>15</v>
      </c>
      <c r="E71" s="283"/>
      <c r="F71" s="26">
        <f>F72+F73</f>
        <v>2</v>
      </c>
      <c r="G71" s="26">
        <f>G72+G73</f>
        <v>1538000</v>
      </c>
    </row>
    <row r="72" spans="1:9" ht="65.25" customHeight="1">
      <c r="A72" s="27" t="s">
        <v>63</v>
      </c>
      <c r="B72" s="27" t="s">
        <v>205</v>
      </c>
      <c r="C72" s="27" t="s">
        <v>31</v>
      </c>
      <c r="D72" s="28" t="s">
        <v>362</v>
      </c>
      <c r="E72" s="39" t="s">
        <v>363</v>
      </c>
      <c r="F72" s="27">
        <v>1</v>
      </c>
      <c r="G72" s="29">
        <v>1358000</v>
      </c>
    </row>
    <row r="73" spans="1:9" ht="69" hidden="1" customHeight="1">
      <c r="A73" s="27" t="s">
        <v>63</v>
      </c>
      <c r="B73" s="27" t="s">
        <v>205</v>
      </c>
      <c r="C73" s="27" t="s">
        <v>16</v>
      </c>
      <c r="D73" s="28" t="s">
        <v>361</v>
      </c>
      <c r="E73" s="39" t="s">
        <v>363</v>
      </c>
      <c r="F73" s="27">
        <v>1</v>
      </c>
      <c r="G73" s="29">
        <v>180000</v>
      </c>
    </row>
    <row r="74" spans="1:9" ht="27" hidden="1" customHeight="1">
      <c r="A74" s="25" t="s">
        <v>63</v>
      </c>
      <c r="B74" s="25" t="s">
        <v>110</v>
      </c>
      <c r="C74" s="25"/>
      <c r="D74" s="282" t="s">
        <v>15</v>
      </c>
      <c r="E74" s="283"/>
      <c r="F74" s="26">
        <f>F75+F76+F77+F78</f>
        <v>4</v>
      </c>
      <c r="G74" s="26">
        <f>G75+G76+G77+G78</f>
        <v>1109200</v>
      </c>
    </row>
    <row r="75" spans="1:9" ht="69" customHeight="1">
      <c r="A75" s="27" t="s">
        <v>63</v>
      </c>
      <c r="B75" s="27" t="s">
        <v>110</v>
      </c>
      <c r="C75" s="27" t="s">
        <v>31</v>
      </c>
      <c r="D75" s="28" t="s">
        <v>364</v>
      </c>
      <c r="E75" s="39" t="s">
        <v>365</v>
      </c>
      <c r="F75" s="27">
        <v>1</v>
      </c>
      <c r="G75" s="29">
        <v>885900</v>
      </c>
      <c r="I75" s="16"/>
    </row>
    <row r="76" spans="1:9" ht="69" hidden="1" customHeight="1">
      <c r="A76" s="27" t="s">
        <v>63</v>
      </c>
      <c r="B76" s="27" t="s">
        <v>110</v>
      </c>
      <c r="C76" s="27" t="s">
        <v>16</v>
      </c>
      <c r="D76" s="28" t="s">
        <v>366</v>
      </c>
      <c r="E76" s="39" t="s">
        <v>365</v>
      </c>
      <c r="F76" s="27">
        <v>1</v>
      </c>
      <c r="G76" s="29">
        <v>200000</v>
      </c>
      <c r="I76" s="16"/>
    </row>
    <row r="77" spans="1:9" ht="69" hidden="1" customHeight="1">
      <c r="A77" s="27" t="s">
        <v>63</v>
      </c>
      <c r="B77" s="27" t="s">
        <v>110</v>
      </c>
      <c r="C77" s="27" t="s">
        <v>19</v>
      </c>
      <c r="D77" s="28" t="s">
        <v>367</v>
      </c>
      <c r="E77" s="39" t="s">
        <v>114</v>
      </c>
      <c r="F77" s="27">
        <v>1</v>
      </c>
      <c r="G77" s="29">
        <v>9500</v>
      </c>
    </row>
    <row r="78" spans="1:9" ht="69" hidden="1" customHeight="1">
      <c r="A78" s="27" t="s">
        <v>63</v>
      </c>
      <c r="B78" s="27" t="s">
        <v>110</v>
      </c>
      <c r="C78" s="27" t="s">
        <v>19</v>
      </c>
      <c r="D78" s="28" t="s">
        <v>368</v>
      </c>
      <c r="E78" s="39" t="s">
        <v>114</v>
      </c>
      <c r="F78" s="27">
        <v>1</v>
      </c>
      <c r="G78" s="29">
        <v>13800</v>
      </c>
    </row>
    <row r="79" spans="1:9" ht="24.75" hidden="1" customHeight="1">
      <c r="A79" s="25" t="s">
        <v>63</v>
      </c>
      <c r="B79" s="25" t="s">
        <v>119</v>
      </c>
      <c r="C79" s="25"/>
      <c r="D79" s="282" t="s">
        <v>15</v>
      </c>
      <c r="E79" s="283"/>
      <c r="F79" s="26">
        <f>F80+F81</f>
        <v>2</v>
      </c>
      <c r="G79" s="26">
        <f>G80+G81</f>
        <v>213800</v>
      </c>
    </row>
    <row r="80" spans="1:9" ht="69" hidden="1" customHeight="1">
      <c r="A80" s="27" t="s">
        <v>63</v>
      </c>
      <c r="B80" s="27" t="s">
        <v>119</v>
      </c>
      <c r="C80" s="27" t="s">
        <v>16</v>
      </c>
      <c r="D80" s="28" t="s">
        <v>369</v>
      </c>
      <c r="E80" s="39" t="s">
        <v>121</v>
      </c>
      <c r="F80" s="27">
        <v>1</v>
      </c>
      <c r="G80" s="29">
        <v>200000</v>
      </c>
    </row>
    <row r="81" spans="1:9" ht="69" hidden="1" customHeight="1">
      <c r="A81" s="27" t="s">
        <v>63</v>
      </c>
      <c r="B81" s="27" t="s">
        <v>119</v>
      </c>
      <c r="C81" s="27" t="s">
        <v>19</v>
      </c>
      <c r="D81" s="28" t="s">
        <v>370</v>
      </c>
      <c r="E81" s="39" t="s">
        <v>121</v>
      </c>
      <c r="F81" s="27">
        <v>1</v>
      </c>
      <c r="G81" s="29">
        <v>13800</v>
      </c>
    </row>
    <row r="82" spans="1:9" ht="26.25" hidden="1" customHeight="1">
      <c r="A82" s="25" t="s">
        <v>63</v>
      </c>
      <c r="B82" s="25" t="s">
        <v>122</v>
      </c>
      <c r="C82" s="25"/>
      <c r="D82" s="282" t="s">
        <v>15</v>
      </c>
      <c r="E82" s="283"/>
      <c r="F82" s="26">
        <f>F83</f>
        <v>1</v>
      </c>
      <c r="G82" s="26">
        <f>G83</f>
        <v>885900</v>
      </c>
    </row>
    <row r="83" spans="1:9" ht="90.75" customHeight="1">
      <c r="A83" s="27" t="s">
        <v>63</v>
      </c>
      <c r="B83" s="27" t="s">
        <v>122</v>
      </c>
      <c r="C83" s="27" t="s">
        <v>31</v>
      </c>
      <c r="D83" s="28" t="s">
        <v>371</v>
      </c>
      <c r="E83" s="39" t="s">
        <v>124</v>
      </c>
      <c r="F83" s="27">
        <v>1</v>
      </c>
      <c r="G83" s="29">
        <v>885900</v>
      </c>
    </row>
    <row r="84" spans="1:9" hidden="1">
      <c r="A84" s="8" t="s">
        <v>63</v>
      </c>
      <c r="B84" s="25" t="s">
        <v>126</v>
      </c>
      <c r="C84" s="8"/>
      <c r="D84" s="282" t="s">
        <v>15</v>
      </c>
      <c r="E84" s="283"/>
      <c r="F84" s="8">
        <f>SUM(F85:F85)</f>
        <v>1</v>
      </c>
      <c r="G84" s="24">
        <f>SUM(G85:G85)</f>
        <v>1358000</v>
      </c>
    </row>
    <row r="85" spans="1:9" ht="63">
      <c r="A85" s="30" t="s">
        <v>63</v>
      </c>
      <c r="B85" s="27" t="s">
        <v>126</v>
      </c>
      <c r="C85" s="30" t="s">
        <v>31</v>
      </c>
      <c r="D85" s="31" t="s">
        <v>372</v>
      </c>
      <c r="E85" s="33" t="s">
        <v>128</v>
      </c>
      <c r="F85" s="30">
        <v>1</v>
      </c>
      <c r="G85" s="32">
        <v>1358000</v>
      </c>
    </row>
    <row r="86" spans="1:9" hidden="1">
      <c r="A86" s="8" t="s">
        <v>63</v>
      </c>
      <c r="B86" s="25" t="s">
        <v>130</v>
      </c>
      <c r="C86" s="8"/>
      <c r="D86" s="282" t="s">
        <v>15</v>
      </c>
      <c r="E86" s="283"/>
      <c r="F86" s="8">
        <f>F87+F88+F89</f>
        <v>4</v>
      </c>
      <c r="G86" s="24">
        <f>G87+G88+G89</f>
        <v>2470900</v>
      </c>
    </row>
    <row r="87" spans="1:9" ht="84">
      <c r="A87" s="30" t="s">
        <v>63</v>
      </c>
      <c r="B87" s="27" t="s">
        <v>130</v>
      </c>
      <c r="C87" s="30" t="s">
        <v>31</v>
      </c>
      <c r="D87" s="31" t="s">
        <v>373</v>
      </c>
      <c r="E87" s="33" t="s">
        <v>132</v>
      </c>
      <c r="F87" s="30">
        <v>1</v>
      </c>
      <c r="G87" s="32">
        <v>1090900</v>
      </c>
      <c r="I87" s="16"/>
    </row>
    <row r="88" spans="1:9" ht="63">
      <c r="A88" s="30" t="s">
        <v>63</v>
      </c>
      <c r="B88" s="27" t="s">
        <v>130</v>
      </c>
      <c r="C88" s="30" t="s">
        <v>31</v>
      </c>
      <c r="D88" s="31" t="s">
        <v>374</v>
      </c>
      <c r="E88" s="33" t="s">
        <v>132</v>
      </c>
      <c r="F88" s="30">
        <v>1</v>
      </c>
      <c r="G88" s="32">
        <v>1358000</v>
      </c>
    </row>
    <row r="89" spans="1:9" ht="45" hidden="1" customHeight="1">
      <c r="A89" s="30" t="s">
        <v>63</v>
      </c>
      <c r="B89" s="27" t="s">
        <v>130</v>
      </c>
      <c r="C89" s="30" t="s">
        <v>19</v>
      </c>
      <c r="D89" s="31" t="s">
        <v>406</v>
      </c>
      <c r="E89" s="33" t="s">
        <v>213</v>
      </c>
      <c r="F89" s="30">
        <v>2</v>
      </c>
      <c r="G89" s="32">
        <v>22000</v>
      </c>
    </row>
    <row r="90" spans="1:9" hidden="1">
      <c r="A90" s="8" t="s">
        <v>63</v>
      </c>
      <c r="B90" s="25" t="s">
        <v>375</v>
      </c>
      <c r="C90" s="8"/>
      <c r="D90" s="282" t="s">
        <v>15</v>
      </c>
      <c r="E90" s="283"/>
      <c r="F90" s="8">
        <f>F91</f>
        <v>1</v>
      </c>
      <c r="G90" s="9">
        <f>G91</f>
        <v>1358000</v>
      </c>
    </row>
    <row r="91" spans="1:9" ht="63">
      <c r="A91" s="30" t="s">
        <v>63</v>
      </c>
      <c r="B91" s="27" t="s">
        <v>375</v>
      </c>
      <c r="C91" s="30" t="s">
        <v>31</v>
      </c>
      <c r="D91" s="31" t="s">
        <v>376</v>
      </c>
      <c r="E91" s="34" t="s">
        <v>377</v>
      </c>
      <c r="F91" s="30">
        <v>1</v>
      </c>
      <c r="G91" s="32">
        <v>1358000</v>
      </c>
    </row>
    <row r="92" spans="1:9" hidden="1">
      <c r="A92" s="8" t="s">
        <v>63</v>
      </c>
      <c r="B92" s="25" t="s">
        <v>214</v>
      </c>
      <c r="C92" s="8"/>
      <c r="D92" s="282" t="s">
        <v>15</v>
      </c>
      <c r="E92" s="283"/>
      <c r="F92" s="8">
        <f>F93</f>
        <v>1</v>
      </c>
      <c r="G92" s="9">
        <f>G93</f>
        <v>885900</v>
      </c>
    </row>
    <row r="93" spans="1:9" ht="84">
      <c r="A93" s="30" t="s">
        <v>63</v>
      </c>
      <c r="B93" s="27" t="s">
        <v>214</v>
      </c>
      <c r="C93" s="30" t="s">
        <v>31</v>
      </c>
      <c r="D93" s="31" t="s">
        <v>378</v>
      </c>
      <c r="E93" s="34" t="s">
        <v>216</v>
      </c>
      <c r="F93" s="30">
        <v>1</v>
      </c>
      <c r="G93" s="32">
        <v>885900</v>
      </c>
    </row>
    <row r="94" spans="1:9" hidden="1">
      <c r="A94" s="8" t="s">
        <v>63</v>
      </c>
      <c r="B94" s="25" t="s">
        <v>379</v>
      </c>
      <c r="C94" s="8"/>
      <c r="D94" s="282" t="s">
        <v>15</v>
      </c>
      <c r="E94" s="283"/>
      <c r="F94" s="8">
        <f>F95</f>
        <v>1</v>
      </c>
      <c r="G94" s="9">
        <f>G95</f>
        <v>1090900</v>
      </c>
    </row>
    <row r="95" spans="1:9" ht="84">
      <c r="A95" s="30" t="s">
        <v>63</v>
      </c>
      <c r="B95" s="27" t="s">
        <v>379</v>
      </c>
      <c r="C95" s="30" t="s">
        <v>31</v>
      </c>
      <c r="D95" s="31" t="s">
        <v>380</v>
      </c>
      <c r="E95" s="34" t="s">
        <v>381</v>
      </c>
      <c r="F95" s="30">
        <v>1</v>
      </c>
      <c r="G95" s="32">
        <v>1090900</v>
      </c>
    </row>
    <row r="96" spans="1:9" hidden="1">
      <c r="A96" s="8" t="s">
        <v>149</v>
      </c>
      <c r="B96" s="25" t="s">
        <v>221</v>
      </c>
      <c r="C96" s="8"/>
      <c r="D96" s="282" t="s">
        <v>15</v>
      </c>
      <c r="E96" s="283"/>
      <c r="F96" s="8">
        <f>SUM(F97:F97)</f>
        <v>1</v>
      </c>
      <c r="G96" s="24">
        <f>SUM(G97:G97)</f>
        <v>1090900</v>
      </c>
    </row>
    <row r="97" spans="1:7" ht="84">
      <c r="A97" s="35" t="s">
        <v>149</v>
      </c>
      <c r="B97" s="46" t="s">
        <v>221</v>
      </c>
      <c r="C97" s="35" t="s">
        <v>31</v>
      </c>
      <c r="D97" s="36" t="s">
        <v>382</v>
      </c>
      <c r="E97" s="40" t="s">
        <v>223</v>
      </c>
      <c r="F97" s="35">
        <v>1</v>
      </c>
      <c r="G97" s="37">
        <v>1090900</v>
      </c>
    </row>
    <row r="98" spans="1:7" hidden="1">
      <c r="A98" s="8" t="s">
        <v>149</v>
      </c>
      <c r="B98" s="25" t="s">
        <v>383</v>
      </c>
      <c r="C98" s="8"/>
      <c r="D98" s="282" t="s">
        <v>15</v>
      </c>
      <c r="E98" s="283"/>
      <c r="F98" s="8">
        <f>F99+F100</f>
        <v>2</v>
      </c>
      <c r="G98" s="24">
        <f>G99+G100</f>
        <v>1270900</v>
      </c>
    </row>
    <row r="99" spans="1:7" ht="84">
      <c r="A99" s="35" t="s">
        <v>149</v>
      </c>
      <c r="B99" s="46" t="s">
        <v>383</v>
      </c>
      <c r="C99" s="35" t="s">
        <v>31</v>
      </c>
      <c r="D99" s="36" t="s">
        <v>384</v>
      </c>
      <c r="E99" s="40" t="s">
        <v>385</v>
      </c>
      <c r="F99" s="35">
        <v>1</v>
      </c>
      <c r="G99" s="37">
        <v>1090900</v>
      </c>
    </row>
    <row r="100" spans="1:7" ht="42" hidden="1">
      <c r="A100" s="35" t="s">
        <v>149</v>
      </c>
      <c r="B100" s="46" t="s">
        <v>383</v>
      </c>
      <c r="C100" s="35" t="s">
        <v>16</v>
      </c>
      <c r="D100" s="36" t="s">
        <v>386</v>
      </c>
      <c r="E100" s="40" t="s">
        <v>385</v>
      </c>
      <c r="F100" s="35">
        <v>1</v>
      </c>
      <c r="G100" s="37">
        <v>180000</v>
      </c>
    </row>
    <row r="101" spans="1:7" hidden="1">
      <c r="A101" s="8" t="s">
        <v>149</v>
      </c>
      <c r="B101" s="25" t="s">
        <v>387</v>
      </c>
      <c r="C101" s="8"/>
      <c r="D101" s="282" t="s">
        <v>15</v>
      </c>
      <c r="E101" s="283"/>
      <c r="F101" s="8">
        <f>F102</f>
        <v>1</v>
      </c>
      <c r="G101" s="24">
        <f>G102</f>
        <v>1090900</v>
      </c>
    </row>
    <row r="102" spans="1:7" ht="84">
      <c r="A102" s="35" t="s">
        <v>149</v>
      </c>
      <c r="B102" s="46" t="s">
        <v>387</v>
      </c>
      <c r="C102" s="35" t="s">
        <v>31</v>
      </c>
      <c r="D102" s="36" t="s">
        <v>388</v>
      </c>
      <c r="E102" s="40" t="s">
        <v>389</v>
      </c>
      <c r="F102" s="35">
        <v>1</v>
      </c>
      <c r="G102" s="37">
        <v>1090900</v>
      </c>
    </row>
    <row r="103" spans="1:7" hidden="1">
      <c r="A103" s="8" t="s">
        <v>149</v>
      </c>
      <c r="B103" s="25" t="s">
        <v>390</v>
      </c>
      <c r="C103" s="8"/>
      <c r="D103" s="282" t="s">
        <v>15</v>
      </c>
      <c r="E103" s="283"/>
      <c r="F103" s="8">
        <f>F104+F105</f>
        <v>2</v>
      </c>
      <c r="G103" s="9">
        <f>G104+G105</f>
        <v>1290900</v>
      </c>
    </row>
    <row r="104" spans="1:7" ht="84">
      <c r="A104" s="35" t="s">
        <v>149</v>
      </c>
      <c r="B104" s="46" t="s">
        <v>390</v>
      </c>
      <c r="C104" s="35" t="s">
        <v>31</v>
      </c>
      <c r="D104" s="36" t="s">
        <v>391</v>
      </c>
      <c r="E104" s="40" t="s">
        <v>392</v>
      </c>
      <c r="F104" s="35">
        <v>1</v>
      </c>
      <c r="G104" s="37">
        <v>1090900</v>
      </c>
    </row>
    <row r="105" spans="1:7" ht="45" hidden="1" customHeight="1">
      <c r="A105" s="35" t="s">
        <v>149</v>
      </c>
      <c r="B105" s="46" t="s">
        <v>390</v>
      </c>
      <c r="C105" s="35" t="s">
        <v>16</v>
      </c>
      <c r="D105" s="36" t="s">
        <v>393</v>
      </c>
      <c r="E105" s="40" t="s">
        <v>392</v>
      </c>
      <c r="F105" s="35">
        <v>1</v>
      </c>
      <c r="G105" s="37">
        <v>200000</v>
      </c>
    </row>
    <row r="106" spans="1:7" ht="23.25" hidden="1" customHeight="1">
      <c r="A106" s="8" t="s">
        <v>149</v>
      </c>
      <c r="B106" s="25" t="s">
        <v>394</v>
      </c>
      <c r="C106" s="8"/>
      <c r="D106" s="282" t="s">
        <v>15</v>
      </c>
      <c r="E106" s="283"/>
      <c r="F106" s="8">
        <f>F107</f>
        <v>1</v>
      </c>
      <c r="G106" s="9">
        <f>G107</f>
        <v>1358000</v>
      </c>
    </row>
    <row r="107" spans="1:7" ht="45" customHeight="1">
      <c r="A107" s="35" t="s">
        <v>149</v>
      </c>
      <c r="B107" s="46" t="s">
        <v>394</v>
      </c>
      <c r="C107" s="35" t="s">
        <v>31</v>
      </c>
      <c r="D107" s="36" t="s">
        <v>395</v>
      </c>
      <c r="E107" s="40" t="s">
        <v>396</v>
      </c>
      <c r="F107" s="35">
        <v>1</v>
      </c>
      <c r="G107" s="37">
        <v>1358000</v>
      </c>
    </row>
    <row r="108" spans="1:7" ht="24" hidden="1" customHeight="1">
      <c r="A108" s="8" t="s">
        <v>149</v>
      </c>
      <c r="B108" s="25" t="s">
        <v>397</v>
      </c>
      <c r="C108" s="8"/>
      <c r="D108" s="282" t="s">
        <v>15</v>
      </c>
      <c r="E108" s="283"/>
      <c r="F108" s="8">
        <f>F109</f>
        <v>1</v>
      </c>
      <c r="G108" s="9">
        <f>G109</f>
        <v>1358000</v>
      </c>
    </row>
    <row r="109" spans="1:7" ht="69.75" customHeight="1">
      <c r="A109" s="35" t="s">
        <v>149</v>
      </c>
      <c r="B109" s="46" t="s">
        <v>397</v>
      </c>
      <c r="C109" s="35" t="s">
        <v>31</v>
      </c>
      <c r="D109" s="36" t="s">
        <v>398</v>
      </c>
      <c r="E109" s="40" t="s">
        <v>399</v>
      </c>
      <c r="F109" s="35">
        <v>1</v>
      </c>
      <c r="G109" s="37">
        <v>1358000</v>
      </c>
    </row>
    <row r="110" spans="1:7" ht="25.5" hidden="1" customHeight="1">
      <c r="A110" s="8" t="s">
        <v>149</v>
      </c>
      <c r="B110" s="25" t="s">
        <v>298</v>
      </c>
      <c r="C110" s="8"/>
      <c r="D110" s="282" t="s">
        <v>15</v>
      </c>
      <c r="E110" s="283"/>
      <c r="F110" s="8">
        <f>F111</f>
        <v>1</v>
      </c>
      <c r="G110" s="9">
        <f>G111</f>
        <v>1090900</v>
      </c>
    </row>
    <row r="111" spans="1:7" ht="92.25" customHeight="1">
      <c r="A111" s="35" t="s">
        <v>149</v>
      </c>
      <c r="B111" s="46" t="s">
        <v>298</v>
      </c>
      <c r="C111" s="35" t="s">
        <v>31</v>
      </c>
      <c r="D111" s="36" t="s">
        <v>400</v>
      </c>
      <c r="E111" s="40" t="s">
        <v>300</v>
      </c>
      <c r="F111" s="35">
        <v>1</v>
      </c>
      <c r="G111" s="37">
        <v>1090900</v>
      </c>
    </row>
    <row r="112" spans="1:7" ht="23.25" hidden="1" customHeight="1">
      <c r="A112" s="8" t="s">
        <v>149</v>
      </c>
      <c r="B112" s="25" t="s">
        <v>166</v>
      </c>
      <c r="C112" s="8"/>
      <c r="D112" s="282" t="s">
        <v>15</v>
      </c>
      <c r="E112" s="283"/>
      <c r="F112" s="8">
        <f>F113+F114</f>
        <v>2</v>
      </c>
      <c r="G112" s="9">
        <f>G113+G114</f>
        <v>1100400</v>
      </c>
    </row>
    <row r="113" spans="1:9" ht="92.25" customHeight="1">
      <c r="A113" s="35" t="s">
        <v>149</v>
      </c>
      <c r="B113" s="46" t="s">
        <v>166</v>
      </c>
      <c r="C113" s="35" t="s">
        <v>31</v>
      </c>
      <c r="D113" s="36" t="s">
        <v>401</v>
      </c>
      <c r="E113" s="40" t="s">
        <v>168</v>
      </c>
      <c r="F113" s="35">
        <v>1</v>
      </c>
      <c r="G113" s="37">
        <v>1090900</v>
      </c>
    </row>
    <row r="114" spans="1:9" ht="45" hidden="1" customHeight="1">
      <c r="A114" s="35" t="s">
        <v>149</v>
      </c>
      <c r="B114" s="46" t="s">
        <v>166</v>
      </c>
      <c r="C114" s="35" t="s">
        <v>19</v>
      </c>
      <c r="D114" s="36" t="s">
        <v>407</v>
      </c>
      <c r="E114" s="40" t="s">
        <v>408</v>
      </c>
      <c r="F114" s="35">
        <v>1</v>
      </c>
      <c r="G114" s="37">
        <v>9500</v>
      </c>
    </row>
    <row r="115" spans="1:9" hidden="1">
      <c r="A115" s="8" t="s">
        <v>149</v>
      </c>
      <c r="B115" s="25" t="s">
        <v>172</v>
      </c>
      <c r="C115" s="8"/>
      <c r="D115" s="282" t="s">
        <v>15</v>
      </c>
      <c r="E115" s="283"/>
      <c r="F115" s="8">
        <f>SUM(F116:F119)</f>
        <v>4</v>
      </c>
      <c r="G115" s="24">
        <f>SUM(G116:G119)</f>
        <v>1092500</v>
      </c>
    </row>
    <row r="116" spans="1:9" ht="42" hidden="1">
      <c r="A116" s="35" t="s">
        <v>149</v>
      </c>
      <c r="B116" s="46" t="s">
        <v>172</v>
      </c>
      <c r="C116" s="35" t="s">
        <v>19</v>
      </c>
      <c r="D116" s="36" t="s">
        <v>402</v>
      </c>
      <c r="E116" s="40" t="s">
        <v>405</v>
      </c>
      <c r="F116" s="35">
        <v>1</v>
      </c>
      <c r="G116" s="37">
        <v>9500</v>
      </c>
    </row>
    <row r="117" spans="1:9" ht="42" hidden="1">
      <c r="A117" s="35" t="s">
        <v>149</v>
      </c>
      <c r="B117" s="46" t="s">
        <v>172</v>
      </c>
      <c r="C117" s="35" t="s">
        <v>19</v>
      </c>
      <c r="D117" s="36" t="s">
        <v>403</v>
      </c>
      <c r="E117" s="40" t="s">
        <v>270</v>
      </c>
      <c r="F117" s="35">
        <v>1</v>
      </c>
      <c r="G117" s="37">
        <v>10600</v>
      </c>
      <c r="I117" s="16"/>
    </row>
    <row r="118" spans="1:9" ht="42" hidden="1">
      <c r="A118" s="35" t="s">
        <v>149</v>
      </c>
      <c r="B118" s="46" t="s">
        <v>172</v>
      </c>
      <c r="C118" s="35" t="s">
        <v>19</v>
      </c>
      <c r="D118" s="36" t="s">
        <v>404</v>
      </c>
      <c r="E118" s="40" t="s">
        <v>270</v>
      </c>
      <c r="F118" s="35">
        <v>1</v>
      </c>
      <c r="G118" s="37">
        <v>17400</v>
      </c>
    </row>
    <row r="119" spans="1:9" ht="84">
      <c r="A119" s="35" t="s">
        <v>149</v>
      </c>
      <c r="B119" s="46" t="s">
        <v>172</v>
      </c>
      <c r="C119" s="35" t="s">
        <v>31</v>
      </c>
      <c r="D119" s="36" t="s">
        <v>414</v>
      </c>
      <c r="E119" s="40" t="s">
        <v>174</v>
      </c>
      <c r="F119" s="35">
        <v>1</v>
      </c>
      <c r="G119" s="37">
        <v>1055000</v>
      </c>
    </row>
    <row r="120" spans="1:9">
      <c r="F120" s="1">
        <f>SUBTOTAL(9,F4:F119)</f>
        <v>56</v>
      </c>
      <c r="G120" s="38">
        <f>SUBTOTAL(9,G4:G119)</f>
        <v>69869700</v>
      </c>
    </row>
  </sheetData>
  <autoFilter ref="A3:G119" xr:uid="{86737599-51DF-4800-B0EA-AD9B320BFFD2}">
    <filterColumn colId="2">
      <filters>
        <filter val="ยานพาหนะและขนส่ง"/>
      </filters>
    </filterColumn>
  </autoFilter>
  <mergeCells count="47">
    <mergeCell ref="A1:G1"/>
    <mergeCell ref="A8:E8"/>
    <mergeCell ref="A7:E7"/>
    <mergeCell ref="A6:E6"/>
    <mergeCell ref="A5:E5"/>
    <mergeCell ref="A4:E4"/>
    <mergeCell ref="D12:E12"/>
    <mergeCell ref="D15:E15"/>
    <mergeCell ref="D17:E17"/>
    <mergeCell ref="D19:E19"/>
    <mergeCell ref="D9:E9"/>
    <mergeCell ref="D115:E115"/>
    <mergeCell ref="D22:E22"/>
    <mergeCell ref="D25:E25"/>
    <mergeCell ref="D27:E27"/>
    <mergeCell ref="D29:E29"/>
    <mergeCell ref="D32:E32"/>
    <mergeCell ref="D36:E36"/>
    <mergeCell ref="D50:E50"/>
    <mergeCell ref="D53:E53"/>
    <mergeCell ref="D98:E98"/>
    <mergeCell ref="D96:E96"/>
    <mergeCell ref="D103:E103"/>
    <mergeCell ref="D92:E92"/>
    <mergeCell ref="D94:E94"/>
    <mergeCell ref="D101:E101"/>
    <mergeCell ref="D38:E38"/>
    <mergeCell ref="D112:E112"/>
    <mergeCell ref="D74:E74"/>
    <mergeCell ref="D79:E79"/>
    <mergeCell ref="D82:E82"/>
    <mergeCell ref="D86:E86"/>
    <mergeCell ref="D90:E90"/>
    <mergeCell ref="D84:E84"/>
    <mergeCell ref="D40:E40"/>
    <mergeCell ref="D42:E42"/>
    <mergeCell ref="D106:E106"/>
    <mergeCell ref="D108:E108"/>
    <mergeCell ref="D110:E110"/>
    <mergeCell ref="D64:E64"/>
    <mergeCell ref="D55:E55"/>
    <mergeCell ref="D57:E57"/>
    <mergeCell ref="D59:E59"/>
    <mergeCell ref="D62:E62"/>
    <mergeCell ref="D66:E66"/>
    <mergeCell ref="D68:E68"/>
    <mergeCell ref="D71:E71"/>
  </mergeCells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EB02D-5B27-41A3-AB44-A2506CBCC953}">
  <sheetPr>
    <tabColor theme="7" tint="0.39997558519241921"/>
  </sheetPr>
  <dimension ref="A1:I37"/>
  <sheetViews>
    <sheetView zoomScale="75" zoomScaleNormal="75" workbookViewId="0">
      <selection activeCell="A5" sqref="A5:E5"/>
    </sheetView>
  </sheetViews>
  <sheetFormatPr defaultColWidth="9.140625" defaultRowHeight="21"/>
  <cols>
    <col min="1" max="3" width="19.140625" style="1" customWidth="1"/>
    <col min="4" max="4" width="74.85546875" style="1" customWidth="1"/>
    <col min="5" max="5" width="21.7109375" style="1" customWidth="1"/>
    <col min="6" max="6" width="10.28515625" style="1" customWidth="1"/>
    <col min="7" max="7" width="19.5703125" style="38" customWidth="1"/>
    <col min="8" max="8" width="9.140625" style="1"/>
    <col min="9" max="9" width="12.7109375" style="1" bestFit="1" customWidth="1"/>
    <col min="10" max="16384" width="9.140625" style="1"/>
  </cols>
  <sheetData>
    <row r="1" spans="1:9" ht="26.25">
      <c r="A1" s="288" t="s">
        <v>415</v>
      </c>
      <c r="B1" s="288"/>
      <c r="C1" s="288"/>
      <c r="D1" s="288"/>
      <c r="E1" s="288"/>
      <c r="F1" s="288"/>
      <c r="G1" s="288"/>
    </row>
    <row r="2" spans="1:9">
      <c r="A2" s="2"/>
      <c r="B2" s="2"/>
      <c r="C2" s="2"/>
      <c r="D2" s="2"/>
      <c r="E2" s="2"/>
      <c r="F2" s="2"/>
      <c r="G2" s="3"/>
    </row>
    <row r="3" spans="1:9" ht="47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</row>
    <row r="4" spans="1:9" ht="36" customHeight="1">
      <c r="A4" s="299" t="s">
        <v>8</v>
      </c>
      <c r="B4" s="299"/>
      <c r="C4" s="299"/>
      <c r="D4" s="299"/>
      <c r="E4" s="299"/>
      <c r="F4" s="6">
        <f>SUM(F5:F8)</f>
        <v>17</v>
      </c>
      <c r="G4" s="6">
        <f>SUM(G5:G8)</f>
        <v>27015600</v>
      </c>
      <c r="I4" s="16"/>
    </row>
    <row r="5" spans="1:9" ht="36" customHeight="1">
      <c r="A5" s="298" t="s">
        <v>9</v>
      </c>
      <c r="B5" s="298"/>
      <c r="C5" s="298"/>
      <c r="D5" s="298"/>
      <c r="E5" s="298"/>
      <c r="F5" s="7">
        <f>F9</f>
        <v>1</v>
      </c>
      <c r="G5" s="7">
        <f>G9</f>
        <v>499000</v>
      </c>
    </row>
    <row r="6" spans="1:9" ht="36" customHeight="1">
      <c r="A6" s="298" t="s">
        <v>10</v>
      </c>
      <c r="B6" s="298"/>
      <c r="C6" s="298"/>
      <c r="D6" s="298"/>
      <c r="E6" s="298"/>
      <c r="F6" s="7">
        <f>F11+F15+F19+F21+F25+F23</f>
        <v>10</v>
      </c>
      <c r="G6" s="7">
        <f>G11+G15+G19+G21+G25+G23</f>
        <v>18328700</v>
      </c>
    </row>
    <row r="7" spans="1:9" ht="36" customHeight="1">
      <c r="A7" s="298" t="s">
        <v>11</v>
      </c>
      <c r="B7" s="298"/>
      <c r="C7" s="298"/>
      <c r="D7" s="298"/>
      <c r="E7" s="298"/>
      <c r="F7" s="7">
        <f>F27+F29+F32+F34</f>
        <v>5</v>
      </c>
      <c r="G7" s="7">
        <f>G27+G29+G32+G34</f>
        <v>7792900</v>
      </c>
    </row>
    <row r="8" spans="1:9" ht="36" customHeight="1">
      <c r="A8" s="298" t="s">
        <v>12</v>
      </c>
      <c r="B8" s="298"/>
      <c r="C8" s="298"/>
      <c r="D8" s="298"/>
      <c r="E8" s="298"/>
      <c r="F8" s="7">
        <f>F36</f>
        <v>1</v>
      </c>
      <c r="G8" s="7">
        <f>G36</f>
        <v>395000</v>
      </c>
    </row>
    <row r="9" spans="1:9">
      <c r="A9" s="8" t="s">
        <v>13</v>
      </c>
      <c r="B9" s="8" t="s">
        <v>233</v>
      </c>
      <c r="C9" s="8"/>
      <c r="D9" s="296" t="s">
        <v>15</v>
      </c>
      <c r="E9" s="296"/>
      <c r="F9" s="8">
        <f>SUM(F10:F10)</f>
        <v>1</v>
      </c>
      <c r="G9" s="9">
        <f>SUM(G10:G10)</f>
        <v>499000</v>
      </c>
    </row>
    <row r="10" spans="1:9" ht="42">
      <c r="A10" s="10" t="s">
        <v>13</v>
      </c>
      <c r="B10" s="44" t="s">
        <v>233</v>
      </c>
      <c r="C10" s="10" t="s">
        <v>177</v>
      </c>
      <c r="D10" s="11" t="s">
        <v>416</v>
      </c>
      <c r="E10" s="12" t="s">
        <v>36</v>
      </c>
      <c r="F10" s="11">
        <v>1</v>
      </c>
      <c r="G10" s="13">
        <v>499000</v>
      </c>
    </row>
    <row r="11" spans="1:9">
      <c r="A11" s="17" t="s">
        <v>40</v>
      </c>
      <c r="B11" s="25" t="s">
        <v>41</v>
      </c>
      <c r="C11" s="8"/>
      <c r="D11" s="295" t="s">
        <v>15</v>
      </c>
      <c r="E11" s="295"/>
      <c r="F11" s="14">
        <f>F12+F13+F14</f>
        <v>3</v>
      </c>
      <c r="G11" s="15">
        <f>G12+G13+G14</f>
        <v>1443700</v>
      </c>
    </row>
    <row r="12" spans="1:9" ht="42">
      <c r="A12" s="18" t="s">
        <v>40</v>
      </c>
      <c r="B12" s="45" t="s">
        <v>41</v>
      </c>
      <c r="C12" s="19" t="s">
        <v>183</v>
      </c>
      <c r="D12" s="20" t="s">
        <v>417</v>
      </c>
      <c r="E12" s="21" t="s">
        <v>45</v>
      </c>
      <c r="F12" s="20">
        <v>1</v>
      </c>
      <c r="G12" s="22">
        <v>730000</v>
      </c>
    </row>
    <row r="13" spans="1:9" ht="42">
      <c r="A13" s="18" t="s">
        <v>40</v>
      </c>
      <c r="B13" s="45" t="s">
        <v>41</v>
      </c>
      <c r="C13" s="19" t="s">
        <v>177</v>
      </c>
      <c r="D13" s="20" t="s">
        <v>418</v>
      </c>
      <c r="E13" s="21" t="s">
        <v>45</v>
      </c>
      <c r="F13" s="20">
        <v>1</v>
      </c>
      <c r="G13" s="22">
        <v>608700</v>
      </c>
    </row>
    <row r="14" spans="1:9" ht="42">
      <c r="A14" s="18" t="s">
        <v>40</v>
      </c>
      <c r="B14" s="45" t="s">
        <v>41</v>
      </c>
      <c r="C14" s="19" t="s">
        <v>177</v>
      </c>
      <c r="D14" s="20" t="s">
        <v>419</v>
      </c>
      <c r="E14" s="21" t="s">
        <v>45</v>
      </c>
      <c r="F14" s="20">
        <v>1</v>
      </c>
      <c r="G14" s="22">
        <v>105000</v>
      </c>
    </row>
    <row r="15" spans="1:9">
      <c r="A15" s="17" t="s">
        <v>40</v>
      </c>
      <c r="B15" s="25" t="s">
        <v>317</v>
      </c>
      <c r="C15" s="8"/>
      <c r="D15" s="295" t="s">
        <v>15</v>
      </c>
      <c r="E15" s="295"/>
      <c r="F15" s="14">
        <f>F16+F17+F18</f>
        <v>3</v>
      </c>
      <c r="G15" s="15">
        <f>G16+G17+G18</f>
        <v>330000</v>
      </c>
    </row>
    <row r="16" spans="1:9" ht="42">
      <c r="A16" s="18" t="s">
        <v>40</v>
      </c>
      <c r="B16" s="45" t="s">
        <v>317</v>
      </c>
      <c r="C16" s="19" t="s">
        <v>177</v>
      </c>
      <c r="D16" s="20" t="s">
        <v>420</v>
      </c>
      <c r="E16" s="21" t="s">
        <v>411</v>
      </c>
      <c r="F16" s="20">
        <v>1</v>
      </c>
      <c r="G16" s="22">
        <v>130000</v>
      </c>
    </row>
    <row r="17" spans="1:7" ht="42">
      <c r="A17" s="18" t="s">
        <v>40</v>
      </c>
      <c r="B17" s="45" t="s">
        <v>317</v>
      </c>
      <c r="C17" s="19" t="s">
        <v>177</v>
      </c>
      <c r="D17" s="20" t="s">
        <v>421</v>
      </c>
      <c r="E17" s="21" t="s">
        <v>411</v>
      </c>
      <c r="F17" s="20">
        <v>1</v>
      </c>
      <c r="G17" s="22">
        <v>100000</v>
      </c>
    </row>
    <row r="18" spans="1:7" ht="42">
      <c r="A18" s="18" t="s">
        <v>40</v>
      </c>
      <c r="B18" s="45" t="s">
        <v>317</v>
      </c>
      <c r="C18" s="19" t="s">
        <v>177</v>
      </c>
      <c r="D18" s="20" t="s">
        <v>422</v>
      </c>
      <c r="E18" s="21" t="s">
        <v>411</v>
      </c>
      <c r="F18" s="20">
        <v>1</v>
      </c>
      <c r="G18" s="22">
        <v>100000</v>
      </c>
    </row>
    <row r="19" spans="1:7">
      <c r="A19" s="17" t="s">
        <v>40</v>
      </c>
      <c r="B19" s="25" t="s">
        <v>46</v>
      </c>
      <c r="C19" s="8"/>
      <c r="D19" s="295" t="s">
        <v>15</v>
      </c>
      <c r="E19" s="295"/>
      <c r="F19" s="14">
        <f>F20</f>
        <v>1</v>
      </c>
      <c r="G19" s="15">
        <f>G20</f>
        <v>9500000</v>
      </c>
    </row>
    <row r="20" spans="1:7" ht="48.75" customHeight="1">
      <c r="A20" s="18" t="s">
        <v>40</v>
      </c>
      <c r="B20" s="45" t="s">
        <v>46</v>
      </c>
      <c r="C20" s="54" t="s">
        <v>183</v>
      </c>
      <c r="D20" s="53" t="s">
        <v>423</v>
      </c>
      <c r="E20" s="21" t="s">
        <v>50</v>
      </c>
      <c r="F20" s="20">
        <v>1</v>
      </c>
      <c r="G20" s="22">
        <v>9500000</v>
      </c>
    </row>
    <row r="21" spans="1:7" ht="25.5" customHeight="1">
      <c r="A21" s="17" t="s">
        <v>40</v>
      </c>
      <c r="B21" s="25" t="s">
        <v>424</v>
      </c>
      <c r="C21" s="8"/>
      <c r="D21" s="295" t="s">
        <v>15</v>
      </c>
      <c r="E21" s="295"/>
      <c r="F21" s="14">
        <f>F22</f>
        <v>1</v>
      </c>
      <c r="G21" s="15">
        <f>G22</f>
        <v>4220000</v>
      </c>
    </row>
    <row r="22" spans="1:7" ht="48.75" customHeight="1">
      <c r="A22" s="18" t="s">
        <v>40</v>
      </c>
      <c r="B22" s="45" t="s">
        <v>424</v>
      </c>
      <c r="C22" s="54" t="s">
        <v>183</v>
      </c>
      <c r="D22" s="53" t="s">
        <v>425</v>
      </c>
      <c r="E22" s="21" t="s">
        <v>426</v>
      </c>
      <c r="F22" s="20">
        <v>1</v>
      </c>
      <c r="G22" s="22">
        <v>4220000</v>
      </c>
    </row>
    <row r="23" spans="1:7" ht="21.75" customHeight="1">
      <c r="A23" s="17" t="s">
        <v>40</v>
      </c>
      <c r="B23" s="25" t="s">
        <v>188</v>
      </c>
      <c r="C23" s="8"/>
      <c r="D23" s="295" t="s">
        <v>15</v>
      </c>
      <c r="E23" s="295"/>
      <c r="F23" s="14">
        <f>F24</f>
        <v>1</v>
      </c>
      <c r="G23" s="15">
        <f>G24</f>
        <v>1890000</v>
      </c>
    </row>
    <row r="24" spans="1:7" ht="48.75" customHeight="1">
      <c r="A24" s="18" t="s">
        <v>40</v>
      </c>
      <c r="B24" s="45" t="s">
        <v>188</v>
      </c>
      <c r="C24" s="54" t="s">
        <v>183</v>
      </c>
      <c r="D24" s="53" t="s">
        <v>435</v>
      </c>
      <c r="E24" s="21" t="s">
        <v>190</v>
      </c>
      <c r="F24" s="20">
        <v>1</v>
      </c>
      <c r="G24" s="22">
        <v>1890000</v>
      </c>
    </row>
    <row r="25" spans="1:7" ht="22.5" customHeight="1">
      <c r="A25" s="17" t="s">
        <v>40</v>
      </c>
      <c r="B25" s="25" t="s">
        <v>278</v>
      </c>
      <c r="C25" s="8"/>
      <c r="D25" s="295" t="s">
        <v>15</v>
      </c>
      <c r="E25" s="295"/>
      <c r="F25" s="14">
        <f>F26</f>
        <v>1</v>
      </c>
      <c r="G25" s="15">
        <f>G26</f>
        <v>945000</v>
      </c>
    </row>
    <row r="26" spans="1:7" ht="48.75" customHeight="1">
      <c r="A26" s="18" t="s">
        <v>40</v>
      </c>
      <c r="B26" s="45" t="s">
        <v>278</v>
      </c>
      <c r="C26" s="45" t="s">
        <v>177</v>
      </c>
      <c r="D26" s="55" t="s">
        <v>427</v>
      </c>
      <c r="E26" s="21" t="s">
        <v>280</v>
      </c>
      <c r="F26" s="20">
        <v>1</v>
      </c>
      <c r="G26" s="22">
        <v>945000</v>
      </c>
    </row>
    <row r="27" spans="1:7">
      <c r="A27" s="25" t="s">
        <v>63</v>
      </c>
      <c r="B27" s="25" t="s">
        <v>199</v>
      </c>
      <c r="C27" s="25"/>
      <c r="D27" s="297" t="s">
        <v>15</v>
      </c>
      <c r="E27" s="297"/>
      <c r="F27" s="25">
        <f>SUM(F28)</f>
        <v>1</v>
      </c>
      <c r="G27" s="26">
        <f>SUM(G28)</f>
        <v>5054400</v>
      </c>
    </row>
    <row r="28" spans="1:7" ht="42">
      <c r="A28" s="27" t="s">
        <v>63</v>
      </c>
      <c r="B28" s="27" t="s">
        <v>199</v>
      </c>
      <c r="C28" s="27" t="s">
        <v>183</v>
      </c>
      <c r="D28" s="28" t="s">
        <v>200</v>
      </c>
      <c r="E28" s="39" t="s">
        <v>201</v>
      </c>
      <c r="F28" s="27">
        <v>1</v>
      </c>
      <c r="G28" s="29">
        <v>5054400</v>
      </c>
    </row>
    <row r="29" spans="1:7">
      <c r="A29" s="25" t="s">
        <v>63</v>
      </c>
      <c r="B29" s="25" t="s">
        <v>126</v>
      </c>
      <c r="C29" s="25"/>
      <c r="D29" s="284"/>
      <c r="E29" s="285"/>
      <c r="F29" s="25">
        <f>F30+F31</f>
        <v>2</v>
      </c>
      <c r="G29" s="26">
        <f>G30+G31</f>
        <v>1080500</v>
      </c>
    </row>
    <row r="30" spans="1:7" ht="51" customHeight="1">
      <c r="A30" s="27" t="s">
        <v>63</v>
      </c>
      <c r="B30" s="27" t="s">
        <v>126</v>
      </c>
      <c r="C30" s="27" t="s">
        <v>177</v>
      </c>
      <c r="D30" s="28" t="s">
        <v>429</v>
      </c>
      <c r="E30" s="39" t="s">
        <v>128</v>
      </c>
      <c r="F30" s="27">
        <v>1</v>
      </c>
      <c r="G30" s="29">
        <v>507900</v>
      </c>
    </row>
    <row r="31" spans="1:7" ht="51" customHeight="1">
      <c r="A31" s="27" t="s">
        <v>63</v>
      </c>
      <c r="B31" s="27" t="s">
        <v>126</v>
      </c>
      <c r="C31" s="27" t="s">
        <v>177</v>
      </c>
      <c r="D31" s="28" t="s">
        <v>430</v>
      </c>
      <c r="E31" s="39" t="s">
        <v>128</v>
      </c>
      <c r="F31" s="27">
        <v>1</v>
      </c>
      <c r="G31" s="29">
        <v>572600</v>
      </c>
    </row>
    <row r="32" spans="1:7">
      <c r="A32" s="25" t="s">
        <v>63</v>
      </c>
      <c r="B32" s="25" t="s">
        <v>130</v>
      </c>
      <c r="C32" s="25"/>
      <c r="D32" s="284"/>
      <c r="E32" s="285"/>
      <c r="F32" s="25">
        <f>F33</f>
        <v>1</v>
      </c>
      <c r="G32" s="26">
        <f>G33</f>
        <v>210000</v>
      </c>
    </row>
    <row r="33" spans="1:7" ht="42">
      <c r="A33" s="27" t="s">
        <v>63</v>
      </c>
      <c r="B33" s="27" t="s">
        <v>130</v>
      </c>
      <c r="C33" s="27" t="s">
        <v>177</v>
      </c>
      <c r="D33" s="28" t="s">
        <v>431</v>
      </c>
      <c r="E33" s="39" t="s">
        <v>213</v>
      </c>
      <c r="F33" s="27">
        <v>1</v>
      </c>
      <c r="G33" s="29">
        <v>210000</v>
      </c>
    </row>
    <row r="34" spans="1:7">
      <c r="A34" s="25" t="s">
        <v>63</v>
      </c>
      <c r="B34" s="25" t="s">
        <v>428</v>
      </c>
      <c r="C34" s="25"/>
      <c r="D34" s="284"/>
      <c r="E34" s="285"/>
      <c r="F34" s="25">
        <f>F35</f>
        <v>1</v>
      </c>
      <c r="G34" s="26">
        <f>G35</f>
        <v>1448000</v>
      </c>
    </row>
    <row r="35" spans="1:7" ht="50.25" customHeight="1">
      <c r="A35" s="27" t="s">
        <v>63</v>
      </c>
      <c r="B35" s="27" t="s">
        <v>428</v>
      </c>
      <c r="C35" s="27" t="s">
        <v>177</v>
      </c>
      <c r="D35" s="28" t="s">
        <v>432</v>
      </c>
      <c r="E35" s="39" t="s">
        <v>433</v>
      </c>
      <c r="F35" s="27">
        <v>1</v>
      </c>
      <c r="G35" s="29">
        <v>1448000</v>
      </c>
    </row>
    <row r="36" spans="1:7">
      <c r="A36" s="8" t="s">
        <v>149</v>
      </c>
      <c r="B36" s="25" t="s">
        <v>172</v>
      </c>
      <c r="C36" s="8"/>
      <c r="D36" s="296" t="s">
        <v>15</v>
      </c>
      <c r="E36" s="296"/>
      <c r="F36" s="8">
        <f>F37</f>
        <v>1</v>
      </c>
      <c r="G36" s="9">
        <f>G37</f>
        <v>395000</v>
      </c>
    </row>
    <row r="37" spans="1:7" ht="42">
      <c r="A37" s="35" t="s">
        <v>149</v>
      </c>
      <c r="B37" s="46" t="s">
        <v>172</v>
      </c>
      <c r="C37" s="35" t="s">
        <v>177</v>
      </c>
      <c r="D37" s="36" t="s">
        <v>434</v>
      </c>
      <c r="E37" s="40" t="s">
        <v>174</v>
      </c>
      <c r="F37" s="35">
        <v>1</v>
      </c>
      <c r="G37" s="37">
        <v>395000</v>
      </c>
    </row>
  </sheetData>
  <mergeCells count="18">
    <mergeCell ref="A8:E8"/>
    <mergeCell ref="A1:G1"/>
    <mergeCell ref="A4:E4"/>
    <mergeCell ref="A5:E5"/>
    <mergeCell ref="A6:E6"/>
    <mergeCell ref="A7:E7"/>
    <mergeCell ref="D9:E9"/>
    <mergeCell ref="D11:E11"/>
    <mergeCell ref="D15:E15"/>
    <mergeCell ref="D19:E19"/>
    <mergeCell ref="D21:E21"/>
    <mergeCell ref="D23:E23"/>
    <mergeCell ref="D25:E25"/>
    <mergeCell ref="D32:E32"/>
    <mergeCell ref="D34:E34"/>
    <mergeCell ref="D36:E36"/>
    <mergeCell ref="D27:E27"/>
    <mergeCell ref="D29:E29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A1EAE-8B54-4AC9-9D3F-B51997B463B3}">
  <sheetPr filterMode="1">
    <tabColor theme="9" tint="0.39997558519241921"/>
  </sheetPr>
  <dimension ref="A1:I54"/>
  <sheetViews>
    <sheetView zoomScale="75" zoomScaleNormal="75" workbookViewId="0">
      <selection activeCell="F55" sqref="F55"/>
    </sheetView>
  </sheetViews>
  <sheetFormatPr defaultColWidth="9.140625" defaultRowHeight="21"/>
  <cols>
    <col min="1" max="3" width="19.140625" style="1" customWidth="1"/>
    <col min="4" max="4" width="74.85546875" style="1" customWidth="1"/>
    <col min="5" max="5" width="19.42578125" style="1" customWidth="1"/>
    <col min="6" max="6" width="10.28515625" style="1" customWidth="1"/>
    <col min="7" max="7" width="19.5703125" style="38" customWidth="1"/>
    <col min="8" max="8" width="9.85546875" style="1" bestFit="1" customWidth="1"/>
    <col min="9" max="9" width="13.85546875" style="1" bestFit="1" customWidth="1"/>
    <col min="10" max="16384" width="9.140625" style="1"/>
  </cols>
  <sheetData>
    <row r="1" spans="1:9" ht="26.25">
      <c r="A1" s="288" t="s">
        <v>229</v>
      </c>
      <c r="B1" s="288"/>
      <c r="C1" s="288"/>
      <c r="D1" s="288"/>
      <c r="E1" s="288"/>
      <c r="F1" s="288"/>
      <c r="G1" s="288"/>
    </row>
    <row r="2" spans="1:9">
      <c r="A2" s="2"/>
      <c r="B2" s="2"/>
      <c r="C2" s="2"/>
      <c r="D2" s="2"/>
      <c r="E2" s="2"/>
      <c r="F2" s="2"/>
      <c r="G2" s="3"/>
    </row>
    <row r="3" spans="1:9" ht="47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</row>
    <row r="4" spans="1:9" ht="36" hidden="1" customHeight="1">
      <c r="A4" s="299" t="s">
        <v>8</v>
      </c>
      <c r="B4" s="299"/>
      <c r="C4" s="299"/>
      <c r="D4" s="299"/>
      <c r="E4" s="299"/>
      <c r="F4" s="6">
        <f>F5+F6+F7+F8</f>
        <v>465</v>
      </c>
      <c r="G4" s="6">
        <f>G5+G6+G7+G8</f>
        <v>51430100</v>
      </c>
    </row>
    <row r="5" spans="1:9" ht="36" hidden="1" customHeight="1">
      <c r="A5" s="298" t="s">
        <v>9</v>
      </c>
      <c r="B5" s="298"/>
      <c r="C5" s="298"/>
      <c r="D5" s="298"/>
      <c r="E5" s="298"/>
      <c r="F5" s="7">
        <f>F9+F11+F13+F15+F17</f>
        <v>5</v>
      </c>
      <c r="G5" s="7">
        <f>G9+G11+G13+G15+G17</f>
        <v>5783700</v>
      </c>
    </row>
    <row r="6" spans="1:9" ht="36" hidden="1" customHeight="1">
      <c r="A6" s="298" t="s">
        <v>10</v>
      </c>
      <c r="B6" s="298"/>
      <c r="C6" s="298"/>
      <c r="D6" s="298"/>
      <c r="E6" s="298"/>
      <c r="F6" s="7">
        <f>F19+F21+F23+F26</f>
        <v>5</v>
      </c>
      <c r="G6" s="7">
        <f>G19+G21+G23+G26</f>
        <v>5542800</v>
      </c>
    </row>
    <row r="7" spans="1:9" ht="36" hidden="1" customHeight="1">
      <c r="A7" s="298" t="s">
        <v>11</v>
      </c>
      <c r="B7" s="298"/>
      <c r="C7" s="298"/>
      <c r="D7" s="298"/>
      <c r="E7" s="298"/>
      <c r="F7" s="7">
        <f>F28+F36+F38+F40+F42+F44</f>
        <v>451</v>
      </c>
      <c r="G7" s="7">
        <f>G28+G36+G38+G40+G42+G44</f>
        <v>35980900</v>
      </c>
    </row>
    <row r="8" spans="1:9" ht="36" hidden="1" customHeight="1">
      <c r="A8" s="298" t="s">
        <v>12</v>
      </c>
      <c r="B8" s="298"/>
      <c r="C8" s="298"/>
      <c r="D8" s="298"/>
      <c r="E8" s="298"/>
      <c r="F8" s="7">
        <f>F46+F48+F50+F52</f>
        <v>4</v>
      </c>
      <c r="G8" s="7">
        <f>G46+G48+G50+G52</f>
        <v>4122700</v>
      </c>
    </row>
    <row r="9" spans="1:9" hidden="1">
      <c r="A9" s="8" t="s">
        <v>13</v>
      </c>
      <c r="B9" s="25" t="s">
        <v>22</v>
      </c>
      <c r="C9" s="8"/>
      <c r="D9" s="295" t="s">
        <v>15</v>
      </c>
      <c r="E9" s="295"/>
      <c r="F9" s="14">
        <f>SUM(F10:F10)</f>
        <v>1</v>
      </c>
      <c r="G9" s="9">
        <f>SUM(G10:G10)</f>
        <v>1358000</v>
      </c>
    </row>
    <row r="10" spans="1:9" ht="69" customHeight="1">
      <c r="A10" s="44" t="s">
        <v>13</v>
      </c>
      <c r="B10" s="44" t="s">
        <v>22</v>
      </c>
      <c r="C10" s="10" t="s">
        <v>31</v>
      </c>
      <c r="D10" s="11" t="s">
        <v>225</v>
      </c>
      <c r="E10" s="42" t="s">
        <v>24</v>
      </c>
      <c r="F10" s="11">
        <v>1</v>
      </c>
      <c r="G10" s="43">
        <v>1358000</v>
      </c>
    </row>
    <row r="11" spans="1:9" hidden="1">
      <c r="A11" s="8" t="s">
        <v>13</v>
      </c>
      <c r="B11" s="25" t="s">
        <v>176</v>
      </c>
      <c r="C11" s="8"/>
      <c r="D11" s="295" t="s">
        <v>15</v>
      </c>
      <c r="E11" s="295"/>
      <c r="F11" s="14">
        <f>F12</f>
        <v>1</v>
      </c>
      <c r="G11" s="15">
        <f>G12</f>
        <v>885900</v>
      </c>
    </row>
    <row r="12" spans="1:9" ht="84">
      <c r="A12" s="10" t="s">
        <v>13</v>
      </c>
      <c r="B12" s="44" t="s">
        <v>176</v>
      </c>
      <c r="C12" s="10" t="s">
        <v>31</v>
      </c>
      <c r="D12" s="11" t="s">
        <v>227</v>
      </c>
      <c r="E12" s="12" t="s">
        <v>179</v>
      </c>
      <c r="F12" s="11">
        <v>1</v>
      </c>
      <c r="G12" s="13">
        <v>885900</v>
      </c>
    </row>
    <row r="13" spans="1:9" hidden="1">
      <c r="A13" s="8" t="s">
        <v>13</v>
      </c>
      <c r="B13" s="25" t="s">
        <v>30</v>
      </c>
      <c r="C13" s="8"/>
      <c r="D13" s="295" t="s">
        <v>15</v>
      </c>
      <c r="E13" s="295"/>
      <c r="F13" s="14">
        <f>SUM(F14:F14)</f>
        <v>1</v>
      </c>
      <c r="G13" s="9">
        <f>SUM(G14:G14)</f>
        <v>1090900</v>
      </c>
    </row>
    <row r="14" spans="1:9" ht="84">
      <c r="A14" s="10" t="s">
        <v>13</v>
      </c>
      <c r="B14" s="44" t="s">
        <v>30</v>
      </c>
      <c r="C14" s="10" t="s">
        <v>31</v>
      </c>
      <c r="D14" s="11" t="s">
        <v>228</v>
      </c>
      <c r="E14" s="12" t="s">
        <v>33</v>
      </c>
      <c r="F14" s="11">
        <v>1</v>
      </c>
      <c r="G14" s="13">
        <v>1090900</v>
      </c>
    </row>
    <row r="15" spans="1:9" hidden="1">
      <c r="A15" s="8" t="s">
        <v>13</v>
      </c>
      <c r="B15" s="25" t="s">
        <v>230</v>
      </c>
      <c r="C15" s="8"/>
      <c r="D15" s="296" t="s">
        <v>15</v>
      </c>
      <c r="E15" s="296"/>
      <c r="F15" s="8">
        <f>SUM(F16:F16)</f>
        <v>1</v>
      </c>
      <c r="G15" s="9">
        <f>SUM(G16:G16)</f>
        <v>1358000</v>
      </c>
    </row>
    <row r="16" spans="1:9" ht="63">
      <c r="A16" s="10" t="s">
        <v>13</v>
      </c>
      <c r="B16" s="44" t="s">
        <v>230</v>
      </c>
      <c r="C16" s="10" t="s">
        <v>31</v>
      </c>
      <c r="D16" s="11" t="s">
        <v>231</v>
      </c>
      <c r="E16" s="12" t="s">
        <v>232</v>
      </c>
      <c r="F16" s="11">
        <v>1</v>
      </c>
      <c r="G16" s="13">
        <v>1358000</v>
      </c>
      <c r="I16" s="16"/>
    </row>
    <row r="17" spans="1:9" hidden="1">
      <c r="A17" s="8" t="s">
        <v>13</v>
      </c>
      <c r="B17" s="25" t="s">
        <v>233</v>
      </c>
      <c r="C17" s="8"/>
      <c r="D17" s="296" t="s">
        <v>15</v>
      </c>
      <c r="E17" s="296"/>
      <c r="F17" s="8">
        <f>SUM(F18:F18)</f>
        <v>1</v>
      </c>
      <c r="G17" s="9">
        <f>SUM(G18:G18)</f>
        <v>1090900</v>
      </c>
      <c r="I17" s="16"/>
    </row>
    <row r="18" spans="1:9" ht="84">
      <c r="A18" s="10" t="s">
        <v>13</v>
      </c>
      <c r="B18" s="44" t="s">
        <v>34</v>
      </c>
      <c r="C18" s="10" t="s">
        <v>31</v>
      </c>
      <c r="D18" s="11" t="s">
        <v>234</v>
      </c>
      <c r="E18" s="12" t="s">
        <v>39</v>
      </c>
      <c r="F18" s="11">
        <v>1</v>
      </c>
      <c r="G18" s="13">
        <v>1090900</v>
      </c>
      <c r="I18" s="16"/>
    </row>
    <row r="19" spans="1:9" hidden="1">
      <c r="A19" s="17" t="s">
        <v>40</v>
      </c>
      <c r="B19" s="25" t="s">
        <v>188</v>
      </c>
      <c r="C19" s="8"/>
      <c r="D19" s="296" t="s">
        <v>15</v>
      </c>
      <c r="E19" s="296"/>
      <c r="F19" s="8">
        <f>SUM(F20:F20)</f>
        <v>1</v>
      </c>
      <c r="G19" s="9">
        <f>SUM(G20:G20)</f>
        <v>1358000</v>
      </c>
    </row>
    <row r="20" spans="1:9" ht="63">
      <c r="A20" s="18" t="s">
        <v>40</v>
      </c>
      <c r="B20" s="45" t="s">
        <v>188</v>
      </c>
      <c r="C20" s="19" t="s">
        <v>31</v>
      </c>
      <c r="D20" s="20" t="s">
        <v>235</v>
      </c>
      <c r="E20" s="21" t="s">
        <v>190</v>
      </c>
      <c r="F20" s="20">
        <v>1</v>
      </c>
      <c r="G20" s="22">
        <v>1358000</v>
      </c>
    </row>
    <row r="21" spans="1:9" hidden="1">
      <c r="A21" s="17" t="s">
        <v>40</v>
      </c>
      <c r="B21" s="25" t="s">
        <v>193</v>
      </c>
      <c r="C21" s="8"/>
      <c r="D21" s="296" t="s">
        <v>15</v>
      </c>
      <c r="E21" s="296"/>
      <c r="F21" s="14">
        <f>F22</f>
        <v>1</v>
      </c>
      <c r="G21" s="15">
        <f>G22</f>
        <v>1358000</v>
      </c>
    </row>
    <row r="22" spans="1:9" ht="84">
      <c r="A22" s="18" t="s">
        <v>40</v>
      </c>
      <c r="B22" s="45" t="s">
        <v>193</v>
      </c>
      <c r="C22" s="19" t="s">
        <v>31</v>
      </c>
      <c r="D22" s="20" t="s">
        <v>236</v>
      </c>
      <c r="E22" s="21" t="s">
        <v>195</v>
      </c>
      <c r="F22" s="20">
        <v>1</v>
      </c>
      <c r="G22" s="22">
        <v>1358000</v>
      </c>
    </row>
    <row r="23" spans="1:9" hidden="1">
      <c r="A23" s="17" t="s">
        <v>40</v>
      </c>
      <c r="B23" s="25" t="s">
        <v>237</v>
      </c>
      <c r="C23" s="8"/>
      <c r="D23" s="296" t="s">
        <v>15</v>
      </c>
      <c r="E23" s="296"/>
      <c r="F23" s="8">
        <f>F24+F25</f>
        <v>2</v>
      </c>
      <c r="G23" s="9">
        <f>G24+G25</f>
        <v>1940900</v>
      </c>
    </row>
    <row r="24" spans="1:9" ht="84">
      <c r="A24" s="18" t="s">
        <v>40</v>
      </c>
      <c r="B24" s="45" t="s">
        <v>237</v>
      </c>
      <c r="C24" s="19" t="s">
        <v>31</v>
      </c>
      <c r="D24" s="20" t="s">
        <v>238</v>
      </c>
      <c r="E24" s="21" t="s">
        <v>239</v>
      </c>
      <c r="F24" s="19">
        <v>1</v>
      </c>
      <c r="G24" s="22">
        <v>885900</v>
      </c>
    </row>
    <row r="25" spans="1:9" ht="84">
      <c r="A25" s="18" t="s">
        <v>40</v>
      </c>
      <c r="B25" s="45" t="s">
        <v>237</v>
      </c>
      <c r="C25" s="19" t="s">
        <v>31</v>
      </c>
      <c r="D25" s="20" t="s">
        <v>240</v>
      </c>
      <c r="E25" s="21" t="s">
        <v>239</v>
      </c>
      <c r="F25" s="19">
        <v>1</v>
      </c>
      <c r="G25" s="22">
        <v>1055000</v>
      </c>
    </row>
    <row r="26" spans="1:9" hidden="1">
      <c r="A26" s="17" t="s">
        <v>40</v>
      </c>
      <c r="B26" s="25" t="s">
        <v>241</v>
      </c>
      <c r="C26" s="8"/>
      <c r="D26" s="296" t="s">
        <v>15</v>
      </c>
      <c r="E26" s="296"/>
      <c r="F26" s="8">
        <f>F27</f>
        <v>1</v>
      </c>
      <c r="G26" s="24">
        <f>G27</f>
        <v>885900</v>
      </c>
    </row>
    <row r="27" spans="1:9" ht="84">
      <c r="A27" s="18" t="s">
        <v>40</v>
      </c>
      <c r="B27" s="45" t="s">
        <v>241</v>
      </c>
      <c r="C27" s="19" t="s">
        <v>31</v>
      </c>
      <c r="D27" s="20" t="s">
        <v>242</v>
      </c>
      <c r="E27" s="21" t="s">
        <v>243</v>
      </c>
      <c r="F27" s="19">
        <v>1</v>
      </c>
      <c r="G27" s="22">
        <v>885900</v>
      </c>
    </row>
    <row r="28" spans="1:9" hidden="1">
      <c r="A28" s="25" t="s">
        <v>63</v>
      </c>
      <c r="B28" s="25" t="s">
        <v>64</v>
      </c>
      <c r="C28" s="25"/>
      <c r="D28" s="297" t="s">
        <v>15</v>
      </c>
      <c r="E28" s="297"/>
      <c r="F28" s="25">
        <f>SUM(F29:F35)</f>
        <v>446</v>
      </c>
      <c r="G28" s="26">
        <f>SUM(G29:G35)</f>
        <v>30935300</v>
      </c>
    </row>
    <row r="29" spans="1:9" ht="63">
      <c r="A29" s="27" t="s">
        <v>63</v>
      </c>
      <c r="B29" s="27" t="s">
        <v>64</v>
      </c>
      <c r="C29" s="27" t="s">
        <v>31</v>
      </c>
      <c r="D29" s="28" t="s">
        <v>244</v>
      </c>
      <c r="E29" s="39" t="s">
        <v>245</v>
      </c>
      <c r="F29" s="27">
        <v>1</v>
      </c>
      <c r="G29" s="29">
        <v>1358000</v>
      </c>
      <c r="I29" s="16"/>
    </row>
    <row r="30" spans="1:9" ht="84">
      <c r="A30" s="27" t="s">
        <v>63</v>
      </c>
      <c r="B30" s="27" t="s">
        <v>64</v>
      </c>
      <c r="C30" s="27" t="s">
        <v>31</v>
      </c>
      <c r="D30" s="28" t="s">
        <v>246</v>
      </c>
      <c r="E30" s="39" t="s">
        <v>247</v>
      </c>
      <c r="F30" s="27">
        <v>8</v>
      </c>
      <c r="G30" s="29">
        <v>13312000</v>
      </c>
    </row>
    <row r="31" spans="1:9" ht="84">
      <c r="A31" s="27" t="s">
        <v>63</v>
      </c>
      <c r="B31" s="27" t="s">
        <v>64</v>
      </c>
      <c r="C31" s="27" t="s">
        <v>31</v>
      </c>
      <c r="D31" s="28" t="s">
        <v>246</v>
      </c>
      <c r="E31" s="39" t="s">
        <v>68</v>
      </c>
      <c r="F31" s="27">
        <v>1</v>
      </c>
      <c r="G31" s="29">
        <v>1664000</v>
      </c>
    </row>
    <row r="32" spans="1:9" ht="95.25" hidden="1" customHeight="1">
      <c r="A32" s="27" t="s">
        <v>63</v>
      </c>
      <c r="B32" s="27" t="s">
        <v>64</v>
      </c>
      <c r="C32" s="27" t="s">
        <v>75</v>
      </c>
      <c r="D32" s="28" t="s">
        <v>248</v>
      </c>
      <c r="E32" s="39" t="s">
        <v>70</v>
      </c>
      <c r="F32" s="27">
        <v>1</v>
      </c>
      <c r="G32" s="29">
        <v>499900</v>
      </c>
    </row>
    <row r="33" spans="1:9" ht="63" hidden="1">
      <c r="A33" s="27" t="s">
        <v>63</v>
      </c>
      <c r="B33" s="27" t="s">
        <v>64</v>
      </c>
      <c r="C33" s="27" t="s">
        <v>75</v>
      </c>
      <c r="D33" s="28" t="s">
        <v>249</v>
      </c>
      <c r="E33" s="39" t="s">
        <v>250</v>
      </c>
      <c r="F33" s="27">
        <v>1</v>
      </c>
      <c r="G33" s="29">
        <v>6463000</v>
      </c>
      <c r="I33" s="16"/>
    </row>
    <row r="34" spans="1:9" ht="84" hidden="1">
      <c r="A34" s="27" t="s">
        <v>63</v>
      </c>
      <c r="B34" s="27" t="s">
        <v>64</v>
      </c>
      <c r="C34" s="27" t="s">
        <v>75</v>
      </c>
      <c r="D34" s="28" t="s">
        <v>251</v>
      </c>
      <c r="E34" s="39" t="s">
        <v>77</v>
      </c>
      <c r="F34" s="27">
        <v>217</v>
      </c>
      <c r="G34" s="29">
        <v>6661900</v>
      </c>
      <c r="I34" s="16"/>
    </row>
    <row r="35" spans="1:9" ht="63" hidden="1">
      <c r="A35" s="27" t="s">
        <v>63</v>
      </c>
      <c r="B35" s="27" t="s">
        <v>64</v>
      </c>
      <c r="C35" s="27" t="s">
        <v>75</v>
      </c>
      <c r="D35" s="28" t="s">
        <v>252</v>
      </c>
      <c r="E35" s="39" t="s">
        <v>77</v>
      </c>
      <c r="F35" s="27">
        <v>217</v>
      </c>
      <c r="G35" s="29">
        <v>976500</v>
      </c>
    </row>
    <row r="36" spans="1:9" hidden="1">
      <c r="A36" s="25" t="s">
        <v>63</v>
      </c>
      <c r="B36" s="25" t="s">
        <v>253</v>
      </c>
      <c r="C36" s="25"/>
      <c r="D36" s="296" t="s">
        <v>15</v>
      </c>
      <c r="E36" s="296"/>
      <c r="F36" s="26">
        <f>F37</f>
        <v>1</v>
      </c>
      <c r="G36" s="26">
        <f>G37</f>
        <v>1090900</v>
      </c>
    </row>
    <row r="37" spans="1:9" ht="84">
      <c r="A37" s="27" t="s">
        <v>63</v>
      </c>
      <c r="B37" s="27" t="s">
        <v>253</v>
      </c>
      <c r="C37" s="27" t="s">
        <v>31</v>
      </c>
      <c r="D37" s="28" t="s">
        <v>254</v>
      </c>
      <c r="E37" s="39" t="s">
        <v>255</v>
      </c>
      <c r="F37" s="27">
        <v>1</v>
      </c>
      <c r="G37" s="29">
        <v>1090900</v>
      </c>
    </row>
    <row r="38" spans="1:9" hidden="1">
      <c r="A38" s="8" t="s">
        <v>63</v>
      </c>
      <c r="B38" s="25" t="s">
        <v>126</v>
      </c>
      <c r="C38" s="8"/>
      <c r="D38" s="296" t="s">
        <v>15</v>
      </c>
      <c r="E38" s="296"/>
      <c r="F38" s="8">
        <f>SUM(F39:F39)</f>
        <v>1</v>
      </c>
      <c r="G38" s="24">
        <f>SUM(G39:G39)</f>
        <v>885900</v>
      </c>
    </row>
    <row r="39" spans="1:9" ht="84">
      <c r="A39" s="30" t="s">
        <v>63</v>
      </c>
      <c r="B39" s="27" t="s">
        <v>126</v>
      </c>
      <c r="C39" s="30" t="s">
        <v>31</v>
      </c>
      <c r="D39" s="31" t="s">
        <v>256</v>
      </c>
      <c r="E39" s="33" t="s">
        <v>128</v>
      </c>
      <c r="F39" s="30">
        <v>1</v>
      </c>
      <c r="G39" s="32">
        <v>885900</v>
      </c>
    </row>
    <row r="40" spans="1:9" hidden="1">
      <c r="A40" s="8" t="s">
        <v>63</v>
      </c>
      <c r="B40" s="25" t="s">
        <v>257</v>
      </c>
      <c r="C40" s="8"/>
      <c r="D40" s="296" t="s">
        <v>15</v>
      </c>
      <c r="E40" s="296"/>
      <c r="F40" s="8">
        <f>F41</f>
        <v>1</v>
      </c>
      <c r="G40" s="9">
        <f>G41</f>
        <v>1090900</v>
      </c>
    </row>
    <row r="41" spans="1:9" ht="84">
      <c r="A41" s="30" t="s">
        <v>63</v>
      </c>
      <c r="B41" s="27" t="s">
        <v>257</v>
      </c>
      <c r="C41" s="30" t="s">
        <v>31</v>
      </c>
      <c r="D41" s="31" t="s">
        <v>258</v>
      </c>
      <c r="E41" s="34" t="s">
        <v>259</v>
      </c>
      <c r="F41" s="30">
        <v>1</v>
      </c>
      <c r="G41" s="32">
        <v>1090900</v>
      </c>
    </row>
    <row r="42" spans="1:9" hidden="1">
      <c r="A42" s="8" t="s">
        <v>63</v>
      </c>
      <c r="B42" s="25" t="s">
        <v>260</v>
      </c>
      <c r="C42" s="8"/>
      <c r="D42" s="296" t="s">
        <v>15</v>
      </c>
      <c r="E42" s="296"/>
      <c r="F42" s="8">
        <f>F43</f>
        <v>1</v>
      </c>
      <c r="G42" s="9">
        <f>G43</f>
        <v>885900</v>
      </c>
    </row>
    <row r="43" spans="1:9" ht="84">
      <c r="A43" s="30" t="s">
        <v>63</v>
      </c>
      <c r="B43" s="27" t="s">
        <v>260</v>
      </c>
      <c r="C43" s="30" t="s">
        <v>31</v>
      </c>
      <c r="D43" s="31" t="s">
        <v>261</v>
      </c>
      <c r="E43" s="34" t="s">
        <v>262</v>
      </c>
      <c r="F43" s="30">
        <v>1</v>
      </c>
      <c r="G43" s="32">
        <v>885900</v>
      </c>
    </row>
    <row r="44" spans="1:9" hidden="1">
      <c r="A44" s="8" t="s">
        <v>63</v>
      </c>
      <c r="B44" s="25" t="s">
        <v>263</v>
      </c>
      <c r="C44" s="8"/>
      <c r="D44" s="296" t="s">
        <v>15</v>
      </c>
      <c r="E44" s="296"/>
      <c r="F44" s="8">
        <f>F45</f>
        <v>1</v>
      </c>
      <c r="G44" s="9">
        <f>G45</f>
        <v>1092000</v>
      </c>
    </row>
    <row r="45" spans="1:9" ht="63">
      <c r="A45" s="30" t="s">
        <v>63</v>
      </c>
      <c r="B45" s="27" t="s">
        <v>263</v>
      </c>
      <c r="C45" s="30" t="s">
        <v>31</v>
      </c>
      <c r="D45" s="31" t="s">
        <v>264</v>
      </c>
      <c r="E45" s="34" t="s">
        <v>265</v>
      </c>
      <c r="F45" s="30">
        <v>1</v>
      </c>
      <c r="G45" s="32">
        <v>1092000</v>
      </c>
    </row>
    <row r="46" spans="1:9" hidden="1">
      <c r="A46" s="8" t="s">
        <v>149</v>
      </c>
      <c r="B46" s="25" t="s">
        <v>221</v>
      </c>
      <c r="C46" s="8"/>
      <c r="D46" s="296" t="s">
        <v>15</v>
      </c>
      <c r="E46" s="296"/>
      <c r="F46" s="8">
        <f>SUM(F47:F47)</f>
        <v>1</v>
      </c>
      <c r="G46" s="24">
        <f>SUM(G47:G47)</f>
        <v>1090900</v>
      </c>
    </row>
    <row r="47" spans="1:9" ht="84">
      <c r="A47" s="35" t="s">
        <v>149</v>
      </c>
      <c r="B47" s="46" t="s">
        <v>221</v>
      </c>
      <c r="C47" s="35" t="s">
        <v>31</v>
      </c>
      <c r="D47" s="36" t="s">
        <v>266</v>
      </c>
      <c r="E47" s="40" t="s">
        <v>223</v>
      </c>
      <c r="F47" s="35">
        <v>1</v>
      </c>
      <c r="G47" s="37">
        <v>1090900</v>
      </c>
    </row>
    <row r="48" spans="1:9" hidden="1">
      <c r="A48" s="8" t="s">
        <v>149</v>
      </c>
      <c r="B48" s="25" t="s">
        <v>154</v>
      </c>
      <c r="C48" s="8"/>
      <c r="D48" s="296" t="s">
        <v>15</v>
      </c>
      <c r="E48" s="296"/>
      <c r="F48" s="8">
        <f>SUM(F49:F49)</f>
        <v>1</v>
      </c>
      <c r="G48" s="9">
        <f>SUM(G49:G49)</f>
        <v>885900</v>
      </c>
    </row>
    <row r="49" spans="1:7" ht="84">
      <c r="A49" s="35" t="s">
        <v>149</v>
      </c>
      <c r="B49" s="46" t="s">
        <v>154</v>
      </c>
      <c r="C49" s="35" t="s">
        <v>31</v>
      </c>
      <c r="D49" s="36" t="s">
        <v>267</v>
      </c>
      <c r="E49" s="40" t="s">
        <v>156</v>
      </c>
      <c r="F49" s="35">
        <v>1</v>
      </c>
      <c r="G49" s="37">
        <v>885900</v>
      </c>
    </row>
    <row r="50" spans="1:7" hidden="1">
      <c r="A50" s="8" t="s">
        <v>149</v>
      </c>
      <c r="B50" s="25" t="s">
        <v>169</v>
      </c>
      <c r="C50" s="8"/>
      <c r="D50" s="296" t="s">
        <v>15</v>
      </c>
      <c r="E50" s="296"/>
      <c r="F50" s="8">
        <f>SUM(F51:F51)</f>
        <v>1</v>
      </c>
      <c r="G50" s="24">
        <f>SUM(G51:G51)</f>
        <v>1055000</v>
      </c>
    </row>
    <row r="51" spans="1:7" ht="63">
      <c r="A51" s="35" t="s">
        <v>149</v>
      </c>
      <c r="B51" s="46" t="s">
        <v>169</v>
      </c>
      <c r="C51" s="35" t="s">
        <v>31</v>
      </c>
      <c r="D51" s="36" t="s">
        <v>268</v>
      </c>
      <c r="E51" s="40" t="s">
        <v>171</v>
      </c>
      <c r="F51" s="35">
        <v>1</v>
      </c>
      <c r="G51" s="37">
        <v>1055000</v>
      </c>
    </row>
    <row r="52" spans="1:7" hidden="1">
      <c r="A52" s="8" t="s">
        <v>149</v>
      </c>
      <c r="B52" s="25" t="s">
        <v>172</v>
      </c>
      <c r="C52" s="8"/>
      <c r="D52" s="296" t="s">
        <v>15</v>
      </c>
      <c r="E52" s="296"/>
      <c r="F52" s="8">
        <f>SUM(F53:F53)</f>
        <v>1</v>
      </c>
      <c r="G52" s="24">
        <f>SUM(G53:G53)</f>
        <v>1090900</v>
      </c>
    </row>
    <row r="53" spans="1:7" ht="84" hidden="1">
      <c r="A53" s="35" t="s">
        <v>149</v>
      </c>
      <c r="B53" s="46" t="s">
        <v>172</v>
      </c>
      <c r="C53" s="35" t="s">
        <v>16</v>
      </c>
      <c r="D53" s="36" t="s">
        <v>269</v>
      </c>
      <c r="E53" s="40" t="s">
        <v>270</v>
      </c>
      <c r="F53" s="35">
        <v>1</v>
      </c>
      <c r="G53" s="37">
        <v>1090900</v>
      </c>
    </row>
    <row r="54" spans="1:7">
      <c r="F54" s="1">
        <f>SUBTOTAL(9,F4:F53)</f>
        <v>28</v>
      </c>
      <c r="G54" s="38">
        <f>SUBTOTAL(9,G4:G53)</f>
        <v>35737900</v>
      </c>
    </row>
  </sheetData>
  <autoFilter ref="A3:G53" xr:uid="{273A1EAE-8B54-4AC9-9D3F-B51997B463B3}">
    <filterColumn colId="2">
      <filters>
        <filter val="ยานพาหนะและขนส่ง"/>
      </filters>
    </filterColumn>
  </autoFilter>
  <mergeCells count="25">
    <mergeCell ref="D9:E9"/>
    <mergeCell ref="D11:E11"/>
    <mergeCell ref="D13:E13"/>
    <mergeCell ref="D15:E15"/>
    <mergeCell ref="A1:G1"/>
    <mergeCell ref="A4:E4"/>
    <mergeCell ref="A5:E5"/>
    <mergeCell ref="A6:E6"/>
    <mergeCell ref="A7:E7"/>
    <mergeCell ref="A8:E8"/>
    <mergeCell ref="D50:E50"/>
    <mergeCell ref="D52:E52"/>
    <mergeCell ref="D17:E17"/>
    <mergeCell ref="D42:E42"/>
    <mergeCell ref="D44:E44"/>
    <mergeCell ref="D40:E40"/>
    <mergeCell ref="D46:E46"/>
    <mergeCell ref="D48:E48"/>
    <mergeCell ref="D38:E38"/>
    <mergeCell ref="D28:E28"/>
    <mergeCell ref="D36:E36"/>
    <mergeCell ref="D19:E19"/>
    <mergeCell ref="D21:E21"/>
    <mergeCell ref="D23:E23"/>
    <mergeCell ref="D26:E26"/>
  </mergeCells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89AD5-8486-47F2-BD41-90E44786CE8C}">
  <sheetPr>
    <tabColor theme="9" tint="0.39997558519241921"/>
  </sheetPr>
  <dimension ref="A1:I52"/>
  <sheetViews>
    <sheetView zoomScale="75" zoomScaleNormal="75" workbookViewId="0">
      <selection activeCell="I3" sqref="I3"/>
    </sheetView>
  </sheetViews>
  <sheetFormatPr defaultColWidth="9.140625" defaultRowHeight="21"/>
  <cols>
    <col min="1" max="3" width="19.140625" style="1" customWidth="1"/>
    <col min="4" max="4" width="74.85546875" style="1" customWidth="1"/>
    <col min="5" max="5" width="21.7109375" style="1" customWidth="1"/>
    <col min="6" max="6" width="10.28515625" style="1" customWidth="1"/>
    <col min="7" max="7" width="19.5703125" style="38" customWidth="1"/>
    <col min="8" max="8" width="9.140625" style="1"/>
    <col min="9" max="9" width="12.7109375" style="1" bestFit="1" customWidth="1"/>
    <col min="10" max="16384" width="9.140625" style="1"/>
  </cols>
  <sheetData>
    <row r="1" spans="1:9" ht="26.25">
      <c r="A1" s="288" t="s">
        <v>310</v>
      </c>
      <c r="B1" s="288"/>
      <c r="C1" s="288"/>
      <c r="D1" s="288"/>
      <c r="E1" s="288"/>
      <c r="F1" s="288"/>
      <c r="G1" s="288"/>
    </row>
    <row r="2" spans="1:9">
      <c r="A2" s="2"/>
      <c r="B2" s="2"/>
      <c r="C2" s="2"/>
      <c r="D2" s="2"/>
      <c r="E2" s="2"/>
      <c r="F2" s="2"/>
      <c r="G2" s="3"/>
    </row>
    <row r="3" spans="1:9" ht="47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</row>
    <row r="4" spans="1:9" ht="36" customHeight="1">
      <c r="A4" s="299" t="s">
        <v>8</v>
      </c>
      <c r="B4" s="299"/>
      <c r="C4" s="299"/>
      <c r="D4" s="299"/>
      <c r="E4" s="299"/>
      <c r="F4" s="6">
        <f>SUM(F5:F8)</f>
        <v>26</v>
      </c>
      <c r="G4" s="6">
        <f>SUM(G5:G8)</f>
        <v>100712200</v>
      </c>
      <c r="I4" s="16"/>
    </row>
    <row r="5" spans="1:9" ht="36" customHeight="1">
      <c r="A5" s="298" t="s">
        <v>9</v>
      </c>
      <c r="B5" s="298"/>
      <c r="C5" s="298"/>
      <c r="D5" s="298"/>
      <c r="E5" s="298"/>
      <c r="F5" s="7">
        <f>F9</f>
        <v>1</v>
      </c>
      <c r="G5" s="7">
        <f>G9</f>
        <v>499000</v>
      </c>
    </row>
    <row r="6" spans="1:9" ht="36" customHeight="1">
      <c r="A6" s="298" t="s">
        <v>10</v>
      </c>
      <c r="B6" s="298"/>
      <c r="C6" s="298"/>
      <c r="D6" s="298"/>
      <c r="E6" s="298"/>
      <c r="F6" s="7">
        <f>F11+F14+F16+F18</f>
        <v>5</v>
      </c>
      <c r="G6" s="7">
        <f>G11+G14+G16+G18</f>
        <v>12108000</v>
      </c>
    </row>
    <row r="7" spans="1:9" ht="36" customHeight="1">
      <c r="A7" s="298" t="s">
        <v>11</v>
      </c>
      <c r="B7" s="298"/>
      <c r="C7" s="298"/>
      <c r="D7" s="298"/>
      <c r="E7" s="298"/>
      <c r="F7" s="7">
        <f>F20+F24+F26+F28+F30+F37+F39+F41+F43+F32</f>
        <v>15</v>
      </c>
      <c r="G7" s="7">
        <f>G20+G24+G26+G28+G30+G37+G39+G41+G43+G32</f>
        <v>77585700</v>
      </c>
    </row>
    <row r="8" spans="1:9" ht="36" customHeight="1">
      <c r="A8" s="298" t="s">
        <v>12</v>
      </c>
      <c r="B8" s="298"/>
      <c r="C8" s="298"/>
      <c r="D8" s="298"/>
      <c r="E8" s="298"/>
      <c r="F8" s="7">
        <f>F45+F47+F49</f>
        <v>5</v>
      </c>
      <c r="G8" s="7">
        <f>G45+G47+G49</f>
        <v>10519500</v>
      </c>
    </row>
    <row r="9" spans="1:9">
      <c r="A9" s="8" t="s">
        <v>13</v>
      </c>
      <c r="B9" s="8" t="s">
        <v>233</v>
      </c>
      <c r="C9" s="8"/>
      <c r="D9" s="296" t="s">
        <v>15</v>
      </c>
      <c r="E9" s="296"/>
      <c r="F9" s="8">
        <f>SUM(F10:F10)</f>
        <v>1</v>
      </c>
      <c r="G9" s="9">
        <f>SUM(G10:G10)</f>
        <v>499000</v>
      </c>
    </row>
    <row r="10" spans="1:9" ht="42">
      <c r="A10" s="10" t="s">
        <v>13</v>
      </c>
      <c r="B10" s="44" t="s">
        <v>233</v>
      </c>
      <c r="C10" s="10" t="s">
        <v>177</v>
      </c>
      <c r="D10" s="11" t="s">
        <v>271</v>
      </c>
      <c r="E10" s="12" t="s">
        <v>272</v>
      </c>
      <c r="F10" s="11">
        <v>1</v>
      </c>
      <c r="G10" s="13">
        <v>499000</v>
      </c>
    </row>
    <row r="11" spans="1:9">
      <c r="A11" s="17" t="s">
        <v>40</v>
      </c>
      <c r="B11" s="25" t="s">
        <v>46</v>
      </c>
      <c r="C11" s="8"/>
      <c r="D11" s="295" t="s">
        <v>15</v>
      </c>
      <c r="E11" s="295"/>
      <c r="F11" s="14">
        <f>F12+F13</f>
        <v>2</v>
      </c>
      <c r="G11" s="15">
        <f>G12+G13</f>
        <v>2390000</v>
      </c>
    </row>
    <row r="12" spans="1:9" ht="42">
      <c r="A12" s="18" t="s">
        <v>40</v>
      </c>
      <c r="B12" s="45" t="s">
        <v>46</v>
      </c>
      <c r="C12" s="19" t="s">
        <v>177</v>
      </c>
      <c r="D12" s="20" t="s">
        <v>274</v>
      </c>
      <c r="E12" s="21" t="s">
        <v>275</v>
      </c>
      <c r="F12" s="20">
        <v>1</v>
      </c>
      <c r="G12" s="22">
        <v>1200000</v>
      </c>
    </row>
    <row r="13" spans="1:9" ht="42">
      <c r="A13" s="18" t="s">
        <v>40</v>
      </c>
      <c r="B13" s="45" t="s">
        <v>46</v>
      </c>
      <c r="C13" s="19" t="s">
        <v>177</v>
      </c>
      <c r="D13" s="20" t="s">
        <v>276</v>
      </c>
      <c r="E13" s="21" t="s">
        <v>275</v>
      </c>
      <c r="F13" s="20">
        <v>1</v>
      </c>
      <c r="G13" s="22">
        <v>1190000</v>
      </c>
    </row>
    <row r="14" spans="1:9">
      <c r="A14" s="17" t="s">
        <v>40</v>
      </c>
      <c r="B14" s="25" t="s">
        <v>188</v>
      </c>
      <c r="C14" s="8"/>
      <c r="D14" s="295" t="s">
        <v>15</v>
      </c>
      <c r="E14" s="295"/>
      <c r="F14" s="14">
        <f>SUM(F15)</f>
        <v>1</v>
      </c>
      <c r="G14" s="15">
        <f>SUM(G15)</f>
        <v>8474000</v>
      </c>
    </row>
    <row r="15" spans="1:9" ht="42">
      <c r="A15" s="18" t="s">
        <v>40</v>
      </c>
      <c r="B15" s="45" t="s">
        <v>188</v>
      </c>
      <c r="C15" s="19" t="s">
        <v>183</v>
      </c>
      <c r="D15" s="20" t="s">
        <v>273</v>
      </c>
      <c r="E15" s="21" t="s">
        <v>190</v>
      </c>
      <c r="F15" s="20">
        <v>1</v>
      </c>
      <c r="G15" s="22">
        <v>8474000</v>
      </c>
    </row>
    <row r="16" spans="1:9">
      <c r="A16" s="17" t="s">
        <v>40</v>
      </c>
      <c r="B16" s="25" t="s">
        <v>54</v>
      </c>
      <c r="C16" s="8"/>
      <c r="D16" s="295" t="s">
        <v>15</v>
      </c>
      <c r="E16" s="295"/>
      <c r="F16" s="14">
        <f>SUM(F17:F17)</f>
        <v>1</v>
      </c>
      <c r="G16" s="15">
        <f>SUM(G17:G17)</f>
        <v>300000</v>
      </c>
    </row>
    <row r="17" spans="1:9" ht="42">
      <c r="A17" s="18" t="s">
        <v>40</v>
      </c>
      <c r="B17" s="45" t="s">
        <v>54</v>
      </c>
      <c r="C17" s="19" t="s">
        <v>177</v>
      </c>
      <c r="D17" s="20" t="s">
        <v>277</v>
      </c>
      <c r="E17" s="21" t="s">
        <v>56</v>
      </c>
      <c r="F17" s="20">
        <v>1</v>
      </c>
      <c r="G17" s="22">
        <v>300000</v>
      </c>
    </row>
    <row r="18" spans="1:9">
      <c r="A18" s="17" t="s">
        <v>40</v>
      </c>
      <c r="B18" s="25" t="s">
        <v>278</v>
      </c>
      <c r="C18" s="8"/>
      <c r="D18" s="295" t="s">
        <v>15</v>
      </c>
      <c r="E18" s="295"/>
      <c r="F18" s="14">
        <f>SUM(F19)</f>
        <v>1</v>
      </c>
      <c r="G18" s="15">
        <f>SUM(G19)</f>
        <v>944000</v>
      </c>
    </row>
    <row r="19" spans="1:9" ht="63">
      <c r="A19" s="18" t="s">
        <v>40</v>
      </c>
      <c r="B19" s="45" t="s">
        <v>278</v>
      </c>
      <c r="C19" s="19" t="s">
        <v>177</v>
      </c>
      <c r="D19" s="20" t="s">
        <v>279</v>
      </c>
      <c r="E19" s="21" t="s">
        <v>280</v>
      </c>
      <c r="F19" s="20">
        <v>1</v>
      </c>
      <c r="G19" s="22">
        <v>944000</v>
      </c>
    </row>
    <row r="20" spans="1:9">
      <c r="A20" s="25" t="s">
        <v>63</v>
      </c>
      <c r="B20" s="25" t="s">
        <v>64</v>
      </c>
      <c r="C20" s="25"/>
      <c r="D20" s="297" t="s">
        <v>15</v>
      </c>
      <c r="E20" s="297"/>
      <c r="F20" s="25">
        <f>F21+F22+F23</f>
        <v>3</v>
      </c>
      <c r="G20" s="26">
        <f>G21+G22+G23</f>
        <v>14298500</v>
      </c>
    </row>
    <row r="21" spans="1:9" ht="66.75" customHeight="1">
      <c r="A21" s="27" t="s">
        <v>63</v>
      </c>
      <c r="B21" s="27" t="s">
        <v>64</v>
      </c>
      <c r="C21" s="27" t="s">
        <v>177</v>
      </c>
      <c r="D21" s="28" t="s">
        <v>281</v>
      </c>
      <c r="E21" s="39" t="s">
        <v>247</v>
      </c>
      <c r="F21" s="27">
        <v>1</v>
      </c>
      <c r="G21" s="29">
        <v>6980000</v>
      </c>
    </row>
    <row r="22" spans="1:9" ht="63">
      <c r="A22" s="27" t="s">
        <v>63</v>
      </c>
      <c r="B22" s="27" t="s">
        <v>64</v>
      </c>
      <c r="C22" s="27" t="s">
        <v>177</v>
      </c>
      <c r="D22" s="28" t="s">
        <v>282</v>
      </c>
      <c r="E22" s="39" t="s">
        <v>66</v>
      </c>
      <c r="F22" s="27">
        <v>1</v>
      </c>
      <c r="G22" s="29">
        <v>5895000</v>
      </c>
      <c r="I22" s="16"/>
    </row>
    <row r="23" spans="1:9" ht="63">
      <c r="A23" s="27" t="s">
        <v>63</v>
      </c>
      <c r="B23" s="27" t="s">
        <v>64</v>
      </c>
      <c r="C23" s="27" t="s">
        <v>177</v>
      </c>
      <c r="D23" s="28" t="s">
        <v>283</v>
      </c>
      <c r="E23" s="39" t="s">
        <v>66</v>
      </c>
      <c r="F23" s="27">
        <v>1</v>
      </c>
      <c r="G23" s="29">
        <v>1423500</v>
      </c>
    </row>
    <row r="24" spans="1:9">
      <c r="A24" s="25" t="s">
        <v>63</v>
      </c>
      <c r="B24" s="25" t="s">
        <v>199</v>
      </c>
      <c r="C24" s="25"/>
      <c r="D24" s="297" t="s">
        <v>15</v>
      </c>
      <c r="E24" s="297"/>
      <c r="F24" s="25">
        <f>SUM(F25)</f>
        <v>1</v>
      </c>
      <c r="G24" s="26">
        <f>SUM(G25)</f>
        <v>23026000</v>
      </c>
    </row>
    <row r="25" spans="1:9" ht="42">
      <c r="A25" s="27" t="s">
        <v>63</v>
      </c>
      <c r="B25" s="27" t="s">
        <v>199</v>
      </c>
      <c r="C25" s="27" t="s">
        <v>183</v>
      </c>
      <c r="D25" s="28" t="s">
        <v>284</v>
      </c>
      <c r="E25" s="39" t="s">
        <v>201</v>
      </c>
      <c r="F25" s="27">
        <v>1</v>
      </c>
      <c r="G25" s="29">
        <v>23026000</v>
      </c>
    </row>
    <row r="26" spans="1:9">
      <c r="A26" s="25" t="s">
        <v>63</v>
      </c>
      <c r="B26" s="25" t="s">
        <v>285</v>
      </c>
      <c r="C26" s="25"/>
      <c r="D26" s="297" t="s">
        <v>15</v>
      </c>
      <c r="E26" s="297"/>
      <c r="F26" s="25">
        <f>SUM(F27)</f>
        <v>1</v>
      </c>
      <c r="G26" s="26">
        <f>SUM(G27)</f>
        <v>870000</v>
      </c>
    </row>
    <row r="27" spans="1:9" ht="42">
      <c r="A27" s="27" t="s">
        <v>63</v>
      </c>
      <c r="B27" s="27" t="s">
        <v>285</v>
      </c>
      <c r="C27" s="27" t="s">
        <v>177</v>
      </c>
      <c r="D27" s="28" t="s">
        <v>286</v>
      </c>
      <c r="E27" s="39" t="s">
        <v>287</v>
      </c>
      <c r="F27" s="27">
        <v>1</v>
      </c>
      <c r="G27" s="29">
        <v>870000</v>
      </c>
    </row>
    <row r="28" spans="1:9">
      <c r="A28" s="25" t="s">
        <v>63</v>
      </c>
      <c r="B28" s="25" t="s">
        <v>103</v>
      </c>
      <c r="C28" s="25"/>
      <c r="D28" s="284"/>
      <c r="E28" s="285"/>
      <c r="F28" s="25">
        <f>F29</f>
        <v>1</v>
      </c>
      <c r="G28" s="26">
        <f>G29</f>
        <v>239000</v>
      </c>
    </row>
    <row r="29" spans="1:9" ht="42">
      <c r="A29" s="27" t="s">
        <v>63</v>
      </c>
      <c r="B29" s="27" t="s">
        <v>103</v>
      </c>
      <c r="C29" s="27" t="s">
        <v>177</v>
      </c>
      <c r="D29" s="28" t="s">
        <v>288</v>
      </c>
      <c r="E29" s="39" t="s">
        <v>289</v>
      </c>
      <c r="F29" s="27">
        <v>1</v>
      </c>
      <c r="G29" s="29">
        <v>239000</v>
      </c>
    </row>
    <row r="30" spans="1:9">
      <c r="A30" s="25" t="s">
        <v>63</v>
      </c>
      <c r="B30" s="25" t="s">
        <v>205</v>
      </c>
      <c r="C30" s="25"/>
      <c r="D30" s="284"/>
      <c r="E30" s="285"/>
      <c r="F30" s="25">
        <f>F31</f>
        <v>1</v>
      </c>
      <c r="G30" s="26">
        <f>G31</f>
        <v>6160000</v>
      </c>
    </row>
    <row r="31" spans="1:9" ht="45" customHeight="1">
      <c r="A31" s="27" t="s">
        <v>63</v>
      </c>
      <c r="B31" s="27" t="s">
        <v>205</v>
      </c>
      <c r="C31" s="27" t="s">
        <v>177</v>
      </c>
      <c r="D31" s="28" t="s">
        <v>290</v>
      </c>
      <c r="E31" s="39" t="s">
        <v>291</v>
      </c>
      <c r="F31" s="27">
        <v>1</v>
      </c>
      <c r="G31" s="29">
        <v>6160000</v>
      </c>
      <c r="I31" s="16"/>
    </row>
    <row r="32" spans="1:9" ht="23.25" customHeight="1">
      <c r="A32" s="25" t="s">
        <v>63</v>
      </c>
      <c r="B32" s="25" t="s">
        <v>110</v>
      </c>
      <c r="C32" s="25"/>
      <c r="D32" s="284"/>
      <c r="E32" s="285"/>
      <c r="F32" s="25">
        <f>F33+F34+F35+F36</f>
        <v>4</v>
      </c>
      <c r="G32" s="26">
        <f>G33+G34+G35+G36</f>
        <v>30560000</v>
      </c>
      <c r="I32" s="16"/>
    </row>
    <row r="33" spans="1:9" ht="45" customHeight="1">
      <c r="A33" s="27" t="s">
        <v>63</v>
      </c>
      <c r="B33" s="27" t="s">
        <v>110</v>
      </c>
      <c r="C33" s="27" t="s">
        <v>177</v>
      </c>
      <c r="D33" s="28" t="s">
        <v>306</v>
      </c>
      <c r="E33" s="47" t="s">
        <v>117</v>
      </c>
      <c r="F33" s="27">
        <v>1</v>
      </c>
      <c r="G33" s="29">
        <v>1270000</v>
      </c>
      <c r="I33" s="16"/>
    </row>
    <row r="34" spans="1:9" ht="45" customHeight="1">
      <c r="A34" s="27" t="s">
        <v>63</v>
      </c>
      <c r="B34" s="27" t="s">
        <v>110</v>
      </c>
      <c r="C34" s="27" t="s">
        <v>177</v>
      </c>
      <c r="D34" s="28" t="s">
        <v>307</v>
      </c>
      <c r="E34" s="47" t="s">
        <v>117</v>
      </c>
      <c r="F34" s="27">
        <v>1</v>
      </c>
      <c r="G34" s="29">
        <v>14500000</v>
      </c>
      <c r="I34" s="16"/>
    </row>
    <row r="35" spans="1:9" ht="45" customHeight="1">
      <c r="A35" s="27" t="s">
        <v>63</v>
      </c>
      <c r="B35" s="27" t="s">
        <v>110</v>
      </c>
      <c r="C35" s="27" t="s">
        <v>177</v>
      </c>
      <c r="D35" s="28" t="s">
        <v>308</v>
      </c>
      <c r="E35" s="47" t="s">
        <v>117</v>
      </c>
      <c r="F35" s="27">
        <v>1</v>
      </c>
      <c r="G35" s="29">
        <v>1770000</v>
      </c>
      <c r="I35" s="16"/>
    </row>
    <row r="36" spans="1:9" ht="45" customHeight="1">
      <c r="A36" s="27" t="s">
        <v>63</v>
      </c>
      <c r="B36" s="27" t="s">
        <v>110</v>
      </c>
      <c r="C36" s="27" t="s">
        <v>177</v>
      </c>
      <c r="D36" s="28" t="s">
        <v>309</v>
      </c>
      <c r="E36" s="47" t="s">
        <v>117</v>
      </c>
      <c r="F36" s="27">
        <v>1</v>
      </c>
      <c r="G36" s="29">
        <v>13020000</v>
      </c>
      <c r="I36" s="16"/>
    </row>
    <row r="37" spans="1:9">
      <c r="A37" s="25" t="s">
        <v>63</v>
      </c>
      <c r="B37" s="25" t="s">
        <v>126</v>
      </c>
      <c r="C37" s="25"/>
      <c r="D37" s="284"/>
      <c r="E37" s="285"/>
      <c r="F37" s="25">
        <f>F38</f>
        <v>1</v>
      </c>
      <c r="G37" s="26">
        <f>G38</f>
        <v>640700</v>
      </c>
    </row>
    <row r="38" spans="1:9" ht="51" customHeight="1">
      <c r="A38" s="27" t="s">
        <v>63</v>
      </c>
      <c r="B38" s="27" t="s">
        <v>126</v>
      </c>
      <c r="C38" s="27" t="s">
        <v>177</v>
      </c>
      <c r="D38" s="28" t="s">
        <v>292</v>
      </c>
      <c r="E38" s="39" t="s">
        <v>128</v>
      </c>
      <c r="F38" s="27">
        <v>1</v>
      </c>
      <c r="G38" s="29">
        <v>640700</v>
      </c>
    </row>
    <row r="39" spans="1:9">
      <c r="A39" s="25" t="s">
        <v>63</v>
      </c>
      <c r="B39" s="25" t="s">
        <v>130</v>
      </c>
      <c r="C39" s="25"/>
      <c r="D39" s="284"/>
      <c r="E39" s="285"/>
      <c r="F39" s="25">
        <f>F40</f>
        <v>1</v>
      </c>
      <c r="G39" s="26">
        <f>G40</f>
        <v>1300000</v>
      </c>
    </row>
    <row r="40" spans="1:9" ht="42">
      <c r="A40" s="27" t="s">
        <v>63</v>
      </c>
      <c r="B40" s="27" t="s">
        <v>130</v>
      </c>
      <c r="C40" s="27" t="s">
        <v>177</v>
      </c>
      <c r="D40" s="28" t="s">
        <v>293</v>
      </c>
      <c r="E40" s="39" t="s">
        <v>294</v>
      </c>
      <c r="F40" s="27">
        <v>1</v>
      </c>
      <c r="G40" s="29">
        <v>1300000</v>
      </c>
    </row>
    <row r="41" spans="1:9">
      <c r="A41" s="25" t="s">
        <v>63</v>
      </c>
      <c r="B41" s="25" t="s">
        <v>133</v>
      </c>
      <c r="C41" s="25"/>
      <c r="D41" s="284"/>
      <c r="E41" s="285"/>
      <c r="F41" s="25">
        <f>F42</f>
        <v>1</v>
      </c>
      <c r="G41" s="26">
        <f>G42</f>
        <v>141500</v>
      </c>
    </row>
    <row r="42" spans="1:9" ht="42">
      <c r="A42" s="27" t="s">
        <v>63</v>
      </c>
      <c r="B42" s="27" t="s">
        <v>133</v>
      </c>
      <c r="C42" s="27" t="s">
        <v>177</v>
      </c>
      <c r="D42" s="28" t="s">
        <v>295</v>
      </c>
      <c r="E42" s="39" t="s">
        <v>135</v>
      </c>
      <c r="F42" s="27">
        <v>1</v>
      </c>
      <c r="G42" s="29">
        <v>141500</v>
      </c>
    </row>
    <row r="43" spans="1:9">
      <c r="A43" s="25" t="s">
        <v>63</v>
      </c>
      <c r="B43" s="25" t="s">
        <v>143</v>
      </c>
      <c r="C43" s="25"/>
      <c r="D43" s="284"/>
      <c r="E43" s="285"/>
      <c r="F43" s="25">
        <f>F44</f>
        <v>1</v>
      </c>
      <c r="G43" s="26">
        <f>G44</f>
        <v>350000</v>
      </c>
    </row>
    <row r="44" spans="1:9" ht="42">
      <c r="A44" s="27" t="s">
        <v>63</v>
      </c>
      <c r="B44" s="27" t="s">
        <v>143</v>
      </c>
      <c r="C44" s="27" t="s">
        <v>177</v>
      </c>
      <c r="D44" s="28" t="s">
        <v>296</v>
      </c>
      <c r="E44" s="39" t="s">
        <v>145</v>
      </c>
      <c r="F44" s="27">
        <v>1</v>
      </c>
      <c r="G44" s="29">
        <v>350000</v>
      </c>
    </row>
    <row r="45" spans="1:9">
      <c r="A45" s="8" t="s">
        <v>149</v>
      </c>
      <c r="B45" s="8" t="s">
        <v>157</v>
      </c>
      <c r="C45" s="8"/>
      <c r="D45" s="296" t="s">
        <v>15</v>
      </c>
      <c r="E45" s="296"/>
      <c r="F45" s="8">
        <f>SUM(F46:F46)</f>
        <v>1</v>
      </c>
      <c r="G45" s="9">
        <f>SUM(G46:G46)</f>
        <v>1089000</v>
      </c>
    </row>
    <row r="46" spans="1:9" ht="47.25" customHeight="1">
      <c r="A46" s="35" t="s">
        <v>149</v>
      </c>
      <c r="B46" s="35" t="s">
        <v>157</v>
      </c>
      <c r="C46" s="35" t="s">
        <v>177</v>
      </c>
      <c r="D46" s="36" t="s">
        <v>297</v>
      </c>
      <c r="E46" s="40" t="s">
        <v>159</v>
      </c>
      <c r="F46" s="35">
        <v>1</v>
      </c>
      <c r="G46" s="37">
        <v>1089000</v>
      </c>
    </row>
    <row r="47" spans="1:9">
      <c r="A47" s="8" t="s">
        <v>149</v>
      </c>
      <c r="B47" s="8" t="s">
        <v>298</v>
      </c>
      <c r="C47" s="8"/>
      <c r="D47" s="296" t="s">
        <v>15</v>
      </c>
      <c r="E47" s="296"/>
      <c r="F47" s="8">
        <f>SUM(F48:F48)</f>
        <v>1</v>
      </c>
      <c r="G47" s="9">
        <f>SUM(G48:G48)</f>
        <v>6860000</v>
      </c>
    </row>
    <row r="48" spans="1:9" ht="63">
      <c r="A48" s="35" t="s">
        <v>149</v>
      </c>
      <c r="B48" s="35" t="s">
        <v>298</v>
      </c>
      <c r="C48" s="35" t="s">
        <v>177</v>
      </c>
      <c r="D48" s="36" t="s">
        <v>299</v>
      </c>
      <c r="E48" s="40" t="s">
        <v>300</v>
      </c>
      <c r="F48" s="35">
        <v>1</v>
      </c>
      <c r="G48" s="37">
        <v>6860000</v>
      </c>
    </row>
    <row r="49" spans="1:9">
      <c r="A49" s="8" t="s">
        <v>149</v>
      </c>
      <c r="B49" s="8" t="s">
        <v>172</v>
      </c>
      <c r="C49" s="8"/>
      <c r="D49" s="296" t="s">
        <v>15</v>
      </c>
      <c r="E49" s="296"/>
      <c r="F49" s="8">
        <f>F50+F51+F52</f>
        <v>3</v>
      </c>
      <c r="G49" s="9">
        <f>G50+G51+G52</f>
        <v>2570500</v>
      </c>
    </row>
    <row r="50" spans="1:9" ht="42">
      <c r="A50" s="35" t="s">
        <v>149</v>
      </c>
      <c r="B50" s="35" t="s">
        <v>172</v>
      </c>
      <c r="C50" s="35" t="s">
        <v>177</v>
      </c>
      <c r="D50" s="36" t="s">
        <v>301</v>
      </c>
      <c r="E50" s="40" t="s">
        <v>304</v>
      </c>
      <c r="F50" s="35">
        <v>1</v>
      </c>
      <c r="G50" s="37">
        <v>909000</v>
      </c>
      <c r="I50" s="16"/>
    </row>
    <row r="51" spans="1:9" ht="42">
      <c r="A51" s="35" t="s">
        <v>149</v>
      </c>
      <c r="B51" s="35" t="s">
        <v>172</v>
      </c>
      <c r="C51" s="35" t="s">
        <v>177</v>
      </c>
      <c r="D51" s="36" t="s">
        <v>302</v>
      </c>
      <c r="E51" s="40" t="s">
        <v>304</v>
      </c>
      <c r="F51" s="35">
        <v>1</v>
      </c>
      <c r="G51" s="37">
        <v>1470000</v>
      </c>
    </row>
    <row r="52" spans="1:9" ht="42">
      <c r="A52" s="35" t="s">
        <v>149</v>
      </c>
      <c r="B52" s="35" t="s">
        <v>172</v>
      </c>
      <c r="C52" s="35" t="s">
        <v>177</v>
      </c>
      <c r="D52" s="36" t="s">
        <v>303</v>
      </c>
      <c r="E52" s="40" t="s">
        <v>305</v>
      </c>
      <c r="F52" s="35">
        <v>1</v>
      </c>
      <c r="G52" s="37">
        <v>191500</v>
      </c>
    </row>
  </sheetData>
  <mergeCells count="24">
    <mergeCell ref="D9:E9"/>
    <mergeCell ref="D11:E11"/>
    <mergeCell ref="A1:G1"/>
    <mergeCell ref="A4:E4"/>
    <mergeCell ref="A5:E5"/>
    <mergeCell ref="A6:E6"/>
    <mergeCell ref="A7:E7"/>
    <mergeCell ref="A8:E8"/>
    <mergeCell ref="D30:E30"/>
    <mergeCell ref="D28:E28"/>
    <mergeCell ref="D26:E26"/>
    <mergeCell ref="D14:E14"/>
    <mergeCell ref="D16:E16"/>
    <mergeCell ref="D18:E18"/>
    <mergeCell ref="D20:E20"/>
    <mergeCell ref="D24:E24"/>
    <mergeCell ref="D49:E49"/>
    <mergeCell ref="D32:E32"/>
    <mergeCell ref="D43:E43"/>
    <mergeCell ref="D45:E45"/>
    <mergeCell ref="D47:E47"/>
    <mergeCell ref="D41:E41"/>
    <mergeCell ref="D39:E39"/>
    <mergeCell ref="D37:E37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EF27A-DBD4-45C0-A0D3-BF5A7D48E110}">
  <sheetPr>
    <tabColor theme="4" tint="0.39997558519241921"/>
  </sheetPr>
  <dimension ref="A1:I119"/>
  <sheetViews>
    <sheetView zoomScale="75" zoomScaleNormal="75" zoomScaleSheetLayoutView="100" workbookViewId="0">
      <selection activeCell="F119" sqref="F119"/>
    </sheetView>
  </sheetViews>
  <sheetFormatPr defaultColWidth="9.140625" defaultRowHeight="21"/>
  <cols>
    <col min="1" max="3" width="19.140625" style="1" customWidth="1"/>
    <col min="4" max="4" width="74.85546875" style="1" customWidth="1"/>
    <col min="5" max="5" width="19.42578125" style="1" customWidth="1"/>
    <col min="6" max="6" width="10.28515625" style="1" customWidth="1"/>
    <col min="7" max="7" width="19.5703125" style="38" customWidth="1"/>
    <col min="8" max="8" width="9.85546875" style="1" bestFit="1" customWidth="1"/>
    <col min="9" max="9" width="13.85546875" style="1" bestFit="1" customWidth="1"/>
    <col min="10" max="16384" width="9.140625" style="1"/>
  </cols>
  <sheetData>
    <row r="1" spans="1:7" ht="26.25">
      <c r="A1" s="288" t="s">
        <v>0</v>
      </c>
      <c r="B1" s="288"/>
      <c r="C1" s="288"/>
      <c r="D1" s="288"/>
      <c r="E1" s="288"/>
      <c r="F1" s="288"/>
      <c r="G1" s="288"/>
    </row>
    <row r="2" spans="1:7">
      <c r="A2" s="2"/>
      <c r="B2" s="2"/>
      <c r="C2" s="2"/>
      <c r="D2" s="2"/>
      <c r="E2" s="2"/>
      <c r="F2" s="2"/>
      <c r="G2" s="3"/>
    </row>
    <row r="3" spans="1:7" ht="47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</row>
    <row r="4" spans="1:7" ht="36" customHeight="1">
      <c r="A4" s="299" t="s">
        <v>8</v>
      </c>
      <c r="B4" s="299"/>
      <c r="C4" s="299"/>
      <c r="D4" s="299"/>
      <c r="E4" s="299"/>
      <c r="F4" s="6">
        <f>F5+F6+F7+F8</f>
        <v>1088</v>
      </c>
      <c r="G4" s="6">
        <f>G5+G6+G7+G8</f>
        <v>214851800</v>
      </c>
    </row>
    <row r="5" spans="1:7" ht="36" customHeight="1">
      <c r="A5" s="298" t="s">
        <v>9</v>
      </c>
      <c r="B5" s="298"/>
      <c r="C5" s="298"/>
      <c r="D5" s="298"/>
      <c r="E5" s="298"/>
      <c r="F5" s="7">
        <f>F9+F12+F15+F17+F19</f>
        <v>18</v>
      </c>
      <c r="G5" s="7">
        <f>G9+G12+G15+G17+G19</f>
        <v>3330900</v>
      </c>
    </row>
    <row r="6" spans="1:7" ht="36" customHeight="1">
      <c r="A6" s="298" t="s">
        <v>10</v>
      </c>
      <c r="B6" s="298"/>
      <c r="C6" s="298"/>
      <c r="D6" s="298"/>
      <c r="E6" s="298"/>
      <c r="F6" s="7">
        <f>F23+F26+F29+F31+F33+F35</f>
        <v>19</v>
      </c>
      <c r="G6" s="7">
        <f>G23+G26+G29+G31+G33+G35</f>
        <v>6788700</v>
      </c>
    </row>
    <row r="7" spans="1:7" ht="36" customHeight="1">
      <c r="A7" s="298" t="s">
        <v>11</v>
      </c>
      <c r="B7" s="298"/>
      <c r="C7" s="298"/>
      <c r="D7" s="298"/>
      <c r="E7" s="298"/>
      <c r="F7" s="7">
        <f>F37+F71+F73+F75+F81+F83+F86+F89+F91+F93+F95+F98+F100</f>
        <v>1022</v>
      </c>
      <c r="G7" s="7">
        <f>G37+G71+G73+G75+G81+G83+G86+G89+G91+G93+G95+G98+G100</f>
        <v>198474100</v>
      </c>
    </row>
    <row r="8" spans="1:7" ht="36" customHeight="1">
      <c r="A8" s="298" t="s">
        <v>12</v>
      </c>
      <c r="B8" s="298"/>
      <c r="C8" s="298"/>
      <c r="D8" s="298"/>
      <c r="E8" s="298"/>
      <c r="F8" s="7">
        <f>F102+F105+F107+F109+F113+F115+F117</f>
        <v>29</v>
      </c>
      <c r="G8" s="7">
        <f>G102+G105+G107+G109+G113+G115+G117</f>
        <v>6258100</v>
      </c>
    </row>
    <row r="9" spans="1:7">
      <c r="A9" s="8" t="s">
        <v>13</v>
      </c>
      <c r="B9" s="300" t="s">
        <v>14</v>
      </c>
      <c r="C9" s="301"/>
      <c r="D9" s="296" t="s">
        <v>15</v>
      </c>
      <c r="E9" s="296"/>
      <c r="F9" s="8">
        <f>SUM(F10:F11)</f>
        <v>3</v>
      </c>
      <c r="G9" s="9">
        <f>SUM(G10:G11)</f>
        <v>118800</v>
      </c>
    </row>
    <row r="10" spans="1:7" ht="63">
      <c r="A10" s="10" t="s">
        <v>13</v>
      </c>
      <c r="B10" s="10" t="s">
        <v>14</v>
      </c>
      <c r="C10" s="10" t="s">
        <v>16</v>
      </c>
      <c r="D10" s="11" t="s">
        <v>17</v>
      </c>
      <c r="E10" s="12" t="s">
        <v>18</v>
      </c>
      <c r="F10" s="11">
        <v>2</v>
      </c>
      <c r="G10" s="13">
        <v>81800</v>
      </c>
    </row>
    <row r="11" spans="1:7" ht="42">
      <c r="A11" s="10" t="s">
        <v>13</v>
      </c>
      <c r="B11" s="10" t="s">
        <v>14</v>
      </c>
      <c r="C11" s="10" t="s">
        <v>19</v>
      </c>
      <c r="D11" s="11" t="s">
        <v>20</v>
      </c>
      <c r="E11" s="12" t="s">
        <v>21</v>
      </c>
      <c r="F11" s="11">
        <v>1</v>
      </c>
      <c r="G11" s="13">
        <v>37000</v>
      </c>
    </row>
    <row r="12" spans="1:7">
      <c r="A12" s="8" t="s">
        <v>13</v>
      </c>
      <c r="B12" s="8" t="s">
        <v>22</v>
      </c>
      <c r="C12" s="8"/>
      <c r="D12" s="295" t="s">
        <v>15</v>
      </c>
      <c r="E12" s="295"/>
      <c r="F12" s="14">
        <f>SUM(F13:F14)</f>
        <v>4</v>
      </c>
      <c r="G12" s="9">
        <f>SUM(G13:G14)</f>
        <v>163600</v>
      </c>
    </row>
    <row r="13" spans="1:7" ht="42">
      <c r="A13" s="10" t="s">
        <v>13</v>
      </c>
      <c r="B13" s="10" t="s">
        <v>22</v>
      </c>
      <c r="C13" s="10" t="s">
        <v>16</v>
      </c>
      <c r="D13" s="11" t="s">
        <v>23</v>
      </c>
      <c r="E13" s="12" t="s">
        <v>24</v>
      </c>
      <c r="F13" s="11">
        <v>1</v>
      </c>
      <c r="G13" s="13">
        <v>67000</v>
      </c>
    </row>
    <row r="14" spans="1:7" ht="63">
      <c r="A14" s="10" t="s">
        <v>13</v>
      </c>
      <c r="B14" s="10" t="s">
        <v>22</v>
      </c>
      <c r="C14" s="10" t="s">
        <v>16</v>
      </c>
      <c r="D14" s="11" t="s">
        <v>25</v>
      </c>
      <c r="E14" s="12" t="s">
        <v>26</v>
      </c>
      <c r="F14" s="11">
        <v>3</v>
      </c>
      <c r="G14" s="13">
        <v>96600</v>
      </c>
    </row>
    <row r="15" spans="1:7">
      <c r="A15" s="8" t="s">
        <v>13</v>
      </c>
      <c r="B15" s="8" t="s">
        <v>27</v>
      </c>
      <c r="C15" s="8"/>
      <c r="D15" s="295" t="s">
        <v>15</v>
      </c>
      <c r="E15" s="295"/>
      <c r="F15" s="14">
        <f>F16</f>
        <v>1</v>
      </c>
      <c r="G15" s="15">
        <f>G16</f>
        <v>67000</v>
      </c>
    </row>
    <row r="16" spans="1:7" ht="42">
      <c r="A16" s="10" t="s">
        <v>13</v>
      </c>
      <c r="B16" s="10" t="s">
        <v>27</v>
      </c>
      <c r="C16" s="10" t="s">
        <v>16</v>
      </c>
      <c r="D16" s="11" t="s">
        <v>28</v>
      </c>
      <c r="E16" s="12" t="s">
        <v>29</v>
      </c>
      <c r="F16" s="11">
        <v>1</v>
      </c>
      <c r="G16" s="13">
        <v>67000</v>
      </c>
    </row>
    <row r="17" spans="1:9">
      <c r="A17" s="8" t="s">
        <v>13</v>
      </c>
      <c r="B17" s="8" t="s">
        <v>30</v>
      </c>
      <c r="C17" s="8"/>
      <c r="D17" s="295" t="s">
        <v>15</v>
      </c>
      <c r="E17" s="295"/>
      <c r="F17" s="14">
        <f>SUM(F18:F18)</f>
        <v>1</v>
      </c>
      <c r="G17" s="9">
        <f>SUM(G18:G18)</f>
        <v>1369000</v>
      </c>
    </row>
    <row r="18" spans="1:9" ht="63">
      <c r="A18" s="10" t="s">
        <v>13</v>
      </c>
      <c r="B18" s="10" t="s">
        <v>30</v>
      </c>
      <c r="C18" s="10" t="s">
        <v>31</v>
      </c>
      <c r="D18" s="11" t="s">
        <v>32</v>
      </c>
      <c r="E18" s="12" t="s">
        <v>33</v>
      </c>
      <c r="F18" s="11">
        <v>1</v>
      </c>
      <c r="G18" s="13">
        <v>1369000</v>
      </c>
    </row>
    <row r="19" spans="1:9">
      <c r="A19" s="8" t="s">
        <v>13</v>
      </c>
      <c r="B19" s="8" t="s">
        <v>34</v>
      </c>
      <c r="C19" s="8"/>
      <c r="D19" s="296" t="s">
        <v>15</v>
      </c>
      <c r="E19" s="296"/>
      <c r="F19" s="8">
        <f>SUM(F20:F22)</f>
        <v>9</v>
      </c>
      <c r="G19" s="9">
        <f>SUM(G20:G22)</f>
        <v>1612500</v>
      </c>
    </row>
    <row r="20" spans="1:9" ht="84">
      <c r="A20" s="10" t="s">
        <v>13</v>
      </c>
      <c r="B20" s="10" t="s">
        <v>34</v>
      </c>
      <c r="C20" s="10" t="s">
        <v>31</v>
      </c>
      <c r="D20" s="11" t="s">
        <v>35</v>
      </c>
      <c r="E20" s="12" t="s">
        <v>36</v>
      </c>
      <c r="F20" s="11">
        <v>1</v>
      </c>
      <c r="G20" s="13">
        <v>1207900</v>
      </c>
      <c r="I20" s="16"/>
    </row>
    <row r="21" spans="1:9" ht="42">
      <c r="A21" s="10" t="s">
        <v>13</v>
      </c>
      <c r="B21" s="10" t="s">
        <v>34</v>
      </c>
      <c r="C21" s="10" t="s">
        <v>16</v>
      </c>
      <c r="D21" s="11" t="s">
        <v>37</v>
      </c>
      <c r="E21" s="12" t="s">
        <v>36</v>
      </c>
      <c r="F21" s="11">
        <v>2</v>
      </c>
      <c r="G21" s="13">
        <v>83000</v>
      </c>
    </row>
    <row r="22" spans="1:9" ht="63">
      <c r="A22" s="10" t="s">
        <v>13</v>
      </c>
      <c r="B22" s="10" t="s">
        <v>34</v>
      </c>
      <c r="C22" s="10" t="s">
        <v>16</v>
      </c>
      <c r="D22" s="11" t="s">
        <v>38</v>
      </c>
      <c r="E22" s="12" t="s">
        <v>39</v>
      </c>
      <c r="F22" s="11">
        <v>6</v>
      </c>
      <c r="G22" s="13">
        <v>321600</v>
      </c>
    </row>
    <row r="23" spans="1:9" ht="24.75" customHeight="1">
      <c r="A23" s="17" t="s">
        <v>40</v>
      </c>
      <c r="B23" s="8" t="s">
        <v>41</v>
      </c>
      <c r="C23" s="8"/>
      <c r="D23" s="295" t="s">
        <v>15</v>
      </c>
      <c r="E23" s="295"/>
      <c r="F23" s="14">
        <f>SUM(F24:F25)</f>
        <v>2</v>
      </c>
      <c r="G23" s="15">
        <f>SUM(G24:G25)</f>
        <v>2339900</v>
      </c>
    </row>
    <row r="24" spans="1:9" ht="63">
      <c r="A24" s="18" t="s">
        <v>40</v>
      </c>
      <c r="B24" s="19" t="s">
        <v>41</v>
      </c>
      <c r="C24" s="19" t="s">
        <v>31</v>
      </c>
      <c r="D24" s="20" t="s">
        <v>42</v>
      </c>
      <c r="E24" s="21" t="s">
        <v>43</v>
      </c>
      <c r="F24" s="20">
        <v>1</v>
      </c>
      <c r="G24" s="22">
        <v>1369000</v>
      </c>
    </row>
    <row r="25" spans="1:9" ht="84">
      <c r="A25" s="18" t="s">
        <v>40</v>
      </c>
      <c r="B25" s="19" t="s">
        <v>41</v>
      </c>
      <c r="C25" s="19" t="s">
        <v>31</v>
      </c>
      <c r="D25" s="20" t="s">
        <v>44</v>
      </c>
      <c r="E25" s="21" t="s">
        <v>45</v>
      </c>
      <c r="F25" s="20">
        <v>1</v>
      </c>
      <c r="G25" s="22">
        <v>970900</v>
      </c>
    </row>
    <row r="26" spans="1:9">
      <c r="A26" s="17" t="s">
        <v>40</v>
      </c>
      <c r="B26" s="8" t="s">
        <v>46</v>
      </c>
      <c r="C26" s="8"/>
      <c r="D26" s="296" t="s">
        <v>15</v>
      </c>
      <c r="E26" s="296"/>
      <c r="F26" s="8">
        <f>SUM(F27:F28)</f>
        <v>5</v>
      </c>
      <c r="G26" s="9">
        <f>SUM(G27:G28)</f>
        <v>2034500</v>
      </c>
    </row>
    <row r="27" spans="1:9" ht="84">
      <c r="A27" s="18" t="s">
        <v>40</v>
      </c>
      <c r="B27" s="19" t="s">
        <v>46</v>
      </c>
      <c r="C27" s="19" t="s">
        <v>31</v>
      </c>
      <c r="D27" s="20" t="s">
        <v>47</v>
      </c>
      <c r="E27" s="21" t="s">
        <v>48</v>
      </c>
      <c r="F27" s="20">
        <v>2</v>
      </c>
      <c r="G27" s="22">
        <v>1941800</v>
      </c>
    </row>
    <row r="28" spans="1:9" ht="63">
      <c r="A28" s="18" t="s">
        <v>40</v>
      </c>
      <c r="B28" s="19" t="s">
        <v>46</v>
      </c>
      <c r="C28" s="19" t="s">
        <v>16</v>
      </c>
      <c r="D28" s="20" t="s">
        <v>49</v>
      </c>
      <c r="E28" s="21" t="s">
        <v>50</v>
      </c>
      <c r="F28" s="20">
        <v>3</v>
      </c>
      <c r="G28" s="22">
        <v>92700</v>
      </c>
    </row>
    <row r="29" spans="1:9" ht="22.5" customHeight="1">
      <c r="A29" s="17" t="s">
        <v>40</v>
      </c>
      <c r="B29" s="8" t="s">
        <v>51</v>
      </c>
      <c r="C29" s="8"/>
      <c r="D29" s="296" t="s">
        <v>15</v>
      </c>
      <c r="E29" s="296"/>
      <c r="F29" s="8">
        <f>F30</f>
        <v>1</v>
      </c>
      <c r="G29" s="9">
        <f>G30</f>
        <v>970900</v>
      </c>
    </row>
    <row r="30" spans="1:9" ht="84">
      <c r="A30" s="18" t="s">
        <v>40</v>
      </c>
      <c r="B30" s="19" t="s">
        <v>51</v>
      </c>
      <c r="C30" s="19" t="s">
        <v>31</v>
      </c>
      <c r="D30" s="20" t="s">
        <v>52</v>
      </c>
      <c r="E30" s="21" t="s">
        <v>53</v>
      </c>
      <c r="F30" s="20">
        <v>1</v>
      </c>
      <c r="G30" s="22">
        <v>970900</v>
      </c>
    </row>
    <row r="31" spans="1:9">
      <c r="A31" s="17" t="s">
        <v>40</v>
      </c>
      <c r="B31" s="8" t="s">
        <v>54</v>
      </c>
      <c r="C31" s="8"/>
      <c r="D31" s="296" t="s">
        <v>15</v>
      </c>
      <c r="E31" s="296"/>
      <c r="F31" s="14">
        <f>F32</f>
        <v>5</v>
      </c>
      <c r="G31" s="15">
        <f>G32</f>
        <v>268000</v>
      </c>
    </row>
    <row r="32" spans="1:9" ht="63">
      <c r="A32" s="18" t="s">
        <v>40</v>
      </c>
      <c r="B32" s="19" t="s">
        <v>54</v>
      </c>
      <c r="C32" s="19" t="s">
        <v>16</v>
      </c>
      <c r="D32" s="20" t="s">
        <v>55</v>
      </c>
      <c r="E32" s="23" t="s">
        <v>56</v>
      </c>
      <c r="F32" s="20">
        <v>5</v>
      </c>
      <c r="G32" s="22">
        <v>268000</v>
      </c>
    </row>
    <row r="33" spans="1:9">
      <c r="A33" s="17" t="s">
        <v>40</v>
      </c>
      <c r="B33" s="8" t="s">
        <v>57</v>
      </c>
      <c r="C33" s="8"/>
      <c r="D33" s="296" t="s">
        <v>15</v>
      </c>
      <c r="E33" s="296"/>
      <c r="F33" s="8">
        <f>F34</f>
        <v>1</v>
      </c>
      <c r="G33" s="9">
        <f>G34</f>
        <v>970900</v>
      </c>
    </row>
    <row r="34" spans="1:9" ht="84">
      <c r="A34" s="18" t="s">
        <v>40</v>
      </c>
      <c r="B34" s="19" t="s">
        <v>57</v>
      </c>
      <c r="C34" s="19" t="s">
        <v>31</v>
      </c>
      <c r="D34" s="20" t="s">
        <v>58</v>
      </c>
      <c r="E34" s="21" t="s">
        <v>59</v>
      </c>
      <c r="F34" s="19">
        <v>1</v>
      </c>
      <c r="G34" s="22">
        <v>970900</v>
      </c>
    </row>
    <row r="35" spans="1:9">
      <c r="A35" s="17" t="s">
        <v>40</v>
      </c>
      <c r="B35" s="8" t="s">
        <v>60</v>
      </c>
      <c r="C35" s="8"/>
      <c r="D35" s="296" t="s">
        <v>15</v>
      </c>
      <c r="E35" s="296"/>
      <c r="F35" s="8">
        <f>F36</f>
        <v>5</v>
      </c>
      <c r="G35" s="24">
        <f>G36</f>
        <v>204500</v>
      </c>
    </row>
    <row r="36" spans="1:9" ht="63">
      <c r="A36" s="18" t="s">
        <v>40</v>
      </c>
      <c r="B36" s="19" t="s">
        <v>60</v>
      </c>
      <c r="C36" s="19" t="s">
        <v>16</v>
      </c>
      <c r="D36" s="20" t="s">
        <v>61</v>
      </c>
      <c r="E36" s="21" t="s">
        <v>62</v>
      </c>
      <c r="F36" s="19">
        <v>5</v>
      </c>
      <c r="G36" s="22">
        <v>204500</v>
      </c>
    </row>
    <row r="37" spans="1:9">
      <c r="A37" s="25" t="s">
        <v>63</v>
      </c>
      <c r="B37" s="25" t="s">
        <v>64</v>
      </c>
      <c r="C37" s="25"/>
      <c r="D37" s="297" t="s">
        <v>15</v>
      </c>
      <c r="E37" s="297"/>
      <c r="F37" s="25">
        <f>SUM(F38:F70)</f>
        <v>979</v>
      </c>
      <c r="G37" s="26">
        <f>SUM(G38:G70)</f>
        <v>188842900</v>
      </c>
    </row>
    <row r="38" spans="1:9" ht="84">
      <c r="A38" s="27" t="s">
        <v>63</v>
      </c>
      <c r="B38" s="27" t="s">
        <v>64</v>
      </c>
      <c r="C38" s="27" t="s">
        <v>31</v>
      </c>
      <c r="D38" s="28" t="s">
        <v>65</v>
      </c>
      <c r="E38" s="39" t="s">
        <v>66</v>
      </c>
      <c r="F38" s="27">
        <v>2</v>
      </c>
      <c r="G38" s="29">
        <v>1836000</v>
      </c>
      <c r="I38" s="16"/>
    </row>
    <row r="39" spans="1:9" ht="84">
      <c r="A39" s="27" t="s">
        <v>63</v>
      </c>
      <c r="B39" s="27" t="s">
        <v>64</v>
      </c>
      <c r="C39" s="27" t="s">
        <v>31</v>
      </c>
      <c r="D39" s="28" t="s">
        <v>67</v>
      </c>
      <c r="E39" s="39" t="s">
        <v>68</v>
      </c>
      <c r="F39" s="27">
        <v>1</v>
      </c>
      <c r="G39" s="29">
        <v>825000</v>
      </c>
    </row>
    <row r="40" spans="1:9" ht="84">
      <c r="A40" s="27" t="s">
        <v>63</v>
      </c>
      <c r="B40" s="27" t="s">
        <v>64</v>
      </c>
      <c r="C40" s="27" t="s">
        <v>31</v>
      </c>
      <c r="D40" s="28" t="s">
        <v>65</v>
      </c>
      <c r="E40" s="39" t="s">
        <v>69</v>
      </c>
      <c r="F40" s="27">
        <v>1</v>
      </c>
      <c r="G40" s="29">
        <v>918000</v>
      </c>
      <c r="I40" s="16"/>
    </row>
    <row r="41" spans="1:9" ht="95.25" customHeight="1">
      <c r="A41" s="27" t="s">
        <v>63</v>
      </c>
      <c r="B41" s="27" t="s">
        <v>64</v>
      </c>
      <c r="C41" s="27" t="s">
        <v>31</v>
      </c>
      <c r="D41" s="28" t="s">
        <v>65</v>
      </c>
      <c r="E41" s="39" t="s">
        <v>70</v>
      </c>
      <c r="F41" s="27">
        <v>1</v>
      </c>
      <c r="G41" s="29">
        <v>918000</v>
      </c>
      <c r="I41" s="16"/>
    </row>
    <row r="42" spans="1:9" ht="63">
      <c r="A42" s="27" t="s">
        <v>63</v>
      </c>
      <c r="B42" s="27" t="s">
        <v>64</v>
      </c>
      <c r="C42" s="27" t="s">
        <v>16</v>
      </c>
      <c r="D42" s="28" t="s">
        <v>71</v>
      </c>
      <c r="E42" s="39" t="s">
        <v>69</v>
      </c>
      <c r="F42" s="27">
        <v>1</v>
      </c>
      <c r="G42" s="29">
        <v>63000</v>
      </c>
      <c r="I42" s="16"/>
    </row>
    <row r="43" spans="1:9" ht="63">
      <c r="A43" s="27" t="s">
        <v>63</v>
      </c>
      <c r="B43" s="27" t="s">
        <v>64</v>
      </c>
      <c r="C43" s="27" t="s">
        <v>16</v>
      </c>
      <c r="D43" s="28" t="s">
        <v>72</v>
      </c>
      <c r="E43" s="39" t="s">
        <v>66</v>
      </c>
      <c r="F43" s="27">
        <v>1</v>
      </c>
      <c r="G43" s="29">
        <v>1375900</v>
      </c>
    </row>
    <row r="44" spans="1:9" ht="63">
      <c r="A44" s="27" t="s">
        <v>63</v>
      </c>
      <c r="B44" s="27" t="s">
        <v>64</v>
      </c>
      <c r="C44" s="27" t="s">
        <v>73</v>
      </c>
      <c r="D44" s="28" t="s">
        <v>74</v>
      </c>
      <c r="E44" s="39" t="s">
        <v>66</v>
      </c>
      <c r="F44" s="27">
        <v>2</v>
      </c>
      <c r="G44" s="29">
        <v>164000</v>
      </c>
    </row>
    <row r="45" spans="1:9" ht="42">
      <c r="A45" s="27" t="s">
        <v>63</v>
      </c>
      <c r="B45" s="27" t="s">
        <v>64</v>
      </c>
      <c r="C45" s="27" t="s">
        <v>75</v>
      </c>
      <c r="D45" s="28" t="s">
        <v>76</v>
      </c>
      <c r="E45" s="39" t="s">
        <v>77</v>
      </c>
      <c r="F45" s="27">
        <v>11</v>
      </c>
      <c r="G45" s="29">
        <v>715000</v>
      </c>
      <c r="I45" s="16"/>
    </row>
    <row r="46" spans="1:9" ht="63">
      <c r="A46" s="27" t="s">
        <v>63</v>
      </c>
      <c r="B46" s="27" t="s">
        <v>64</v>
      </c>
      <c r="C46" s="27" t="s">
        <v>75</v>
      </c>
      <c r="D46" s="28" t="s">
        <v>78</v>
      </c>
      <c r="E46" s="39" t="s">
        <v>77</v>
      </c>
      <c r="F46" s="27">
        <v>1</v>
      </c>
      <c r="G46" s="29">
        <v>1000000</v>
      </c>
    </row>
    <row r="47" spans="1:9" ht="63">
      <c r="A47" s="27" t="s">
        <v>63</v>
      </c>
      <c r="B47" s="27" t="s">
        <v>64</v>
      </c>
      <c r="C47" s="27" t="s">
        <v>75</v>
      </c>
      <c r="D47" s="28" t="s">
        <v>79</v>
      </c>
      <c r="E47" s="39" t="s">
        <v>77</v>
      </c>
      <c r="F47" s="27">
        <v>7</v>
      </c>
      <c r="G47" s="29">
        <v>3150000</v>
      </c>
    </row>
    <row r="48" spans="1:9" ht="63">
      <c r="A48" s="27" t="s">
        <v>63</v>
      </c>
      <c r="B48" s="27" t="s">
        <v>64</v>
      </c>
      <c r="C48" s="27" t="s">
        <v>75</v>
      </c>
      <c r="D48" s="28" t="s">
        <v>80</v>
      </c>
      <c r="E48" s="39" t="s">
        <v>77</v>
      </c>
      <c r="F48" s="27">
        <v>48</v>
      </c>
      <c r="G48" s="29">
        <v>1008000</v>
      </c>
    </row>
    <row r="49" spans="1:7" ht="63">
      <c r="A49" s="27" t="s">
        <v>63</v>
      </c>
      <c r="B49" s="27" t="s">
        <v>64</v>
      </c>
      <c r="C49" s="27" t="s">
        <v>75</v>
      </c>
      <c r="D49" s="28" t="s">
        <v>81</v>
      </c>
      <c r="E49" s="39" t="s">
        <v>77</v>
      </c>
      <c r="F49" s="27">
        <v>31</v>
      </c>
      <c r="G49" s="29">
        <v>403000</v>
      </c>
    </row>
    <row r="50" spans="1:7" ht="42">
      <c r="A50" s="27" t="s">
        <v>63</v>
      </c>
      <c r="B50" s="27" t="s">
        <v>64</v>
      </c>
      <c r="C50" s="27" t="s">
        <v>75</v>
      </c>
      <c r="D50" s="28" t="s">
        <v>82</v>
      </c>
      <c r="E50" s="39" t="s">
        <v>77</v>
      </c>
      <c r="F50" s="27">
        <v>1</v>
      </c>
      <c r="G50" s="29">
        <v>35000</v>
      </c>
    </row>
    <row r="51" spans="1:7" ht="42">
      <c r="A51" s="27" t="s">
        <v>63</v>
      </c>
      <c r="B51" s="27" t="s">
        <v>64</v>
      </c>
      <c r="C51" s="27" t="s">
        <v>75</v>
      </c>
      <c r="D51" s="28" t="s">
        <v>83</v>
      </c>
      <c r="E51" s="39" t="s">
        <v>77</v>
      </c>
      <c r="F51" s="27">
        <v>11</v>
      </c>
      <c r="G51" s="29">
        <v>121000</v>
      </c>
    </row>
    <row r="52" spans="1:7" ht="42">
      <c r="A52" s="27" t="s">
        <v>63</v>
      </c>
      <c r="B52" s="27" t="s">
        <v>64</v>
      </c>
      <c r="C52" s="27" t="s">
        <v>75</v>
      </c>
      <c r="D52" s="28" t="s">
        <v>84</v>
      </c>
      <c r="E52" s="39" t="s">
        <v>77</v>
      </c>
      <c r="F52" s="27">
        <v>1</v>
      </c>
      <c r="G52" s="29">
        <v>1800000</v>
      </c>
    </row>
    <row r="53" spans="1:7" ht="63">
      <c r="A53" s="27" t="s">
        <v>63</v>
      </c>
      <c r="B53" s="27" t="s">
        <v>64</v>
      </c>
      <c r="C53" s="27" t="s">
        <v>75</v>
      </c>
      <c r="D53" s="28" t="s">
        <v>85</v>
      </c>
      <c r="E53" s="39" t="s">
        <v>77</v>
      </c>
      <c r="F53" s="27">
        <v>1</v>
      </c>
      <c r="G53" s="29">
        <v>1000000</v>
      </c>
    </row>
    <row r="54" spans="1:7" ht="84">
      <c r="A54" s="27" t="s">
        <v>63</v>
      </c>
      <c r="B54" s="27" t="s">
        <v>64</v>
      </c>
      <c r="C54" s="27" t="s">
        <v>75</v>
      </c>
      <c r="D54" s="28" t="s">
        <v>86</v>
      </c>
      <c r="E54" s="39" t="s">
        <v>77</v>
      </c>
      <c r="F54" s="27">
        <v>154</v>
      </c>
      <c r="G54" s="29">
        <v>4727800</v>
      </c>
    </row>
    <row r="55" spans="1:7" ht="84">
      <c r="A55" s="27" t="s">
        <v>63</v>
      </c>
      <c r="B55" s="27" t="s">
        <v>64</v>
      </c>
      <c r="C55" s="27" t="s">
        <v>75</v>
      </c>
      <c r="D55" s="28" t="s">
        <v>87</v>
      </c>
      <c r="E55" s="39" t="s">
        <v>77</v>
      </c>
      <c r="F55" s="27">
        <v>1</v>
      </c>
      <c r="G55" s="29">
        <v>38700</v>
      </c>
    </row>
    <row r="56" spans="1:7" ht="63">
      <c r="A56" s="27" t="s">
        <v>63</v>
      </c>
      <c r="B56" s="27" t="s">
        <v>64</v>
      </c>
      <c r="C56" s="27" t="s">
        <v>75</v>
      </c>
      <c r="D56" s="28" t="s">
        <v>88</v>
      </c>
      <c r="E56" s="39" t="s">
        <v>77</v>
      </c>
      <c r="F56" s="27">
        <v>1</v>
      </c>
      <c r="G56" s="29">
        <v>30700</v>
      </c>
    </row>
    <row r="57" spans="1:7" ht="63">
      <c r="A57" s="27" t="s">
        <v>63</v>
      </c>
      <c r="B57" s="27" t="s">
        <v>64</v>
      </c>
      <c r="C57" s="27" t="s">
        <v>75</v>
      </c>
      <c r="D57" s="28" t="s">
        <v>89</v>
      </c>
      <c r="E57" s="39" t="s">
        <v>77</v>
      </c>
      <c r="F57" s="27">
        <v>87</v>
      </c>
      <c r="G57" s="29">
        <v>2453400</v>
      </c>
    </row>
    <row r="58" spans="1:7" ht="63">
      <c r="A58" s="27" t="s">
        <v>63</v>
      </c>
      <c r="B58" s="27" t="s">
        <v>64</v>
      </c>
      <c r="C58" s="27" t="s">
        <v>75</v>
      </c>
      <c r="D58" s="28" t="s">
        <v>90</v>
      </c>
      <c r="E58" s="39" t="s">
        <v>77</v>
      </c>
      <c r="F58" s="27">
        <v>121</v>
      </c>
      <c r="G58" s="29">
        <v>1076900</v>
      </c>
    </row>
    <row r="59" spans="1:7" ht="63">
      <c r="A59" s="27" t="s">
        <v>63</v>
      </c>
      <c r="B59" s="27" t="s">
        <v>64</v>
      </c>
      <c r="C59" s="27" t="s">
        <v>75</v>
      </c>
      <c r="D59" s="28" t="s">
        <v>91</v>
      </c>
      <c r="E59" s="39" t="s">
        <v>77</v>
      </c>
      <c r="F59" s="27">
        <v>10</v>
      </c>
      <c r="G59" s="29">
        <v>110000</v>
      </c>
    </row>
    <row r="60" spans="1:7" ht="42">
      <c r="A60" s="27" t="s">
        <v>63</v>
      </c>
      <c r="B60" s="27" t="s">
        <v>64</v>
      </c>
      <c r="C60" s="27" t="s">
        <v>75</v>
      </c>
      <c r="D60" s="28" t="s">
        <v>92</v>
      </c>
      <c r="E60" s="39" t="s">
        <v>77</v>
      </c>
      <c r="F60" s="27">
        <v>2</v>
      </c>
      <c r="G60" s="29">
        <v>20000</v>
      </c>
    </row>
    <row r="61" spans="1:7" ht="42">
      <c r="A61" s="27" t="s">
        <v>63</v>
      </c>
      <c r="B61" s="27" t="s">
        <v>64</v>
      </c>
      <c r="C61" s="27" t="s">
        <v>75</v>
      </c>
      <c r="D61" s="28" t="s">
        <v>93</v>
      </c>
      <c r="E61" s="39" t="s">
        <v>77</v>
      </c>
      <c r="F61" s="27">
        <v>2</v>
      </c>
      <c r="G61" s="29">
        <v>32000</v>
      </c>
    </row>
    <row r="62" spans="1:7" ht="63">
      <c r="A62" s="27" t="s">
        <v>63</v>
      </c>
      <c r="B62" s="27" t="s">
        <v>64</v>
      </c>
      <c r="C62" s="27" t="s">
        <v>75</v>
      </c>
      <c r="D62" s="28" t="s">
        <v>94</v>
      </c>
      <c r="E62" s="39" t="s">
        <v>77</v>
      </c>
      <c r="F62" s="27">
        <v>80</v>
      </c>
      <c r="G62" s="29">
        <v>1280000</v>
      </c>
    </row>
    <row r="63" spans="1:7" ht="63">
      <c r="A63" s="27" t="s">
        <v>63</v>
      </c>
      <c r="B63" s="27" t="s">
        <v>64</v>
      </c>
      <c r="C63" s="27" t="s">
        <v>75</v>
      </c>
      <c r="D63" s="28" t="s">
        <v>95</v>
      </c>
      <c r="E63" s="39" t="s">
        <v>77</v>
      </c>
      <c r="F63" s="27">
        <v>243</v>
      </c>
      <c r="G63" s="29">
        <v>1093500</v>
      </c>
    </row>
    <row r="64" spans="1:7" ht="63">
      <c r="A64" s="27" t="s">
        <v>63</v>
      </c>
      <c r="B64" s="27" t="s">
        <v>64</v>
      </c>
      <c r="C64" s="27" t="s">
        <v>75</v>
      </c>
      <c r="D64" s="28" t="s">
        <v>96</v>
      </c>
      <c r="E64" s="39" t="s">
        <v>77</v>
      </c>
      <c r="F64" s="27">
        <v>76</v>
      </c>
      <c r="G64" s="29">
        <v>1976000</v>
      </c>
    </row>
    <row r="65" spans="1:9" ht="63">
      <c r="A65" s="27" t="s">
        <v>63</v>
      </c>
      <c r="B65" s="27" t="s">
        <v>64</v>
      </c>
      <c r="C65" s="27" t="s">
        <v>75</v>
      </c>
      <c r="D65" s="28" t="s">
        <v>97</v>
      </c>
      <c r="E65" s="39" t="s">
        <v>77</v>
      </c>
      <c r="F65" s="27">
        <v>76</v>
      </c>
      <c r="G65" s="29">
        <v>1672000</v>
      </c>
    </row>
    <row r="66" spans="1:9" ht="63">
      <c r="A66" s="27" t="s">
        <v>63</v>
      </c>
      <c r="B66" s="27" t="s">
        <v>64</v>
      </c>
      <c r="C66" s="27" t="s">
        <v>75</v>
      </c>
      <c r="D66" s="28" t="s">
        <v>98</v>
      </c>
      <c r="E66" s="39" t="s">
        <v>77</v>
      </c>
      <c r="F66" s="27">
        <v>1</v>
      </c>
      <c r="G66" s="29">
        <v>4500000</v>
      </c>
    </row>
    <row r="67" spans="1:9" ht="84">
      <c r="A67" s="27" t="s">
        <v>63</v>
      </c>
      <c r="B67" s="27" t="s">
        <v>64</v>
      </c>
      <c r="C67" s="27" t="s">
        <v>75</v>
      </c>
      <c r="D67" s="28" t="s">
        <v>99</v>
      </c>
      <c r="E67" s="39" t="s">
        <v>70</v>
      </c>
      <c r="F67" s="27">
        <v>1</v>
      </c>
      <c r="G67" s="29">
        <v>2500000</v>
      </c>
    </row>
    <row r="68" spans="1:9" ht="63">
      <c r="A68" s="27" t="s">
        <v>63</v>
      </c>
      <c r="B68" s="27" t="s">
        <v>64</v>
      </c>
      <c r="C68" s="27" t="s">
        <v>75</v>
      </c>
      <c r="D68" s="28" t="s">
        <v>100</v>
      </c>
      <c r="E68" s="39" t="s">
        <v>77</v>
      </c>
      <c r="F68" s="27">
        <v>1</v>
      </c>
      <c r="G68" s="29">
        <v>40000000</v>
      </c>
    </row>
    <row r="69" spans="1:9" ht="63">
      <c r="A69" s="27" t="s">
        <v>63</v>
      </c>
      <c r="B69" s="27" t="s">
        <v>64</v>
      </c>
      <c r="C69" s="27" t="s">
        <v>75</v>
      </c>
      <c r="D69" s="28" t="s">
        <v>101</v>
      </c>
      <c r="E69" s="39" t="s">
        <v>77</v>
      </c>
      <c r="F69" s="27">
        <v>1</v>
      </c>
      <c r="G69" s="29">
        <v>97000000</v>
      </c>
    </row>
    <row r="70" spans="1:9" ht="63">
      <c r="A70" s="27" t="s">
        <v>63</v>
      </c>
      <c r="B70" s="27" t="s">
        <v>64</v>
      </c>
      <c r="C70" s="27" t="s">
        <v>75</v>
      </c>
      <c r="D70" s="28" t="s">
        <v>102</v>
      </c>
      <c r="E70" s="39" t="s">
        <v>69</v>
      </c>
      <c r="F70" s="27">
        <v>1</v>
      </c>
      <c r="G70" s="29">
        <v>15000000</v>
      </c>
    </row>
    <row r="71" spans="1:9">
      <c r="A71" s="25" t="s">
        <v>63</v>
      </c>
      <c r="B71" s="25" t="s">
        <v>103</v>
      </c>
      <c r="C71" s="25"/>
      <c r="D71" s="296" t="s">
        <v>15</v>
      </c>
      <c r="E71" s="296"/>
      <c r="F71" s="25">
        <f>SUM(F72:F72)</f>
        <v>1</v>
      </c>
      <c r="G71" s="26">
        <f>SUM(G72:G72)</f>
        <v>730400</v>
      </c>
    </row>
    <row r="72" spans="1:9" ht="42">
      <c r="A72" s="27" t="s">
        <v>63</v>
      </c>
      <c r="B72" s="27" t="s">
        <v>103</v>
      </c>
      <c r="C72" s="27" t="s">
        <v>104</v>
      </c>
      <c r="D72" s="28" t="s">
        <v>105</v>
      </c>
      <c r="E72" s="27" t="s">
        <v>106</v>
      </c>
      <c r="F72" s="27">
        <v>1</v>
      </c>
      <c r="G72" s="29">
        <v>730400</v>
      </c>
    </row>
    <row r="73" spans="1:9">
      <c r="A73" s="25" t="s">
        <v>63</v>
      </c>
      <c r="B73" s="25" t="s">
        <v>107</v>
      </c>
      <c r="C73" s="25"/>
      <c r="D73" s="296" t="s">
        <v>15</v>
      </c>
      <c r="E73" s="296"/>
      <c r="F73" s="26">
        <f>F74</f>
        <v>1</v>
      </c>
      <c r="G73" s="26">
        <f>G74</f>
        <v>67000</v>
      </c>
    </row>
    <row r="74" spans="1:9" ht="42">
      <c r="A74" s="27" t="s">
        <v>63</v>
      </c>
      <c r="B74" s="27" t="s">
        <v>107</v>
      </c>
      <c r="C74" s="27" t="s">
        <v>16</v>
      </c>
      <c r="D74" s="28" t="s">
        <v>108</v>
      </c>
      <c r="E74" s="27" t="s">
        <v>109</v>
      </c>
      <c r="F74" s="27">
        <v>1</v>
      </c>
      <c r="G74" s="29">
        <v>67000</v>
      </c>
    </row>
    <row r="75" spans="1:9">
      <c r="A75" s="8" t="s">
        <v>63</v>
      </c>
      <c r="B75" s="8" t="s">
        <v>110</v>
      </c>
      <c r="C75" s="8"/>
      <c r="D75" s="296" t="s">
        <v>15</v>
      </c>
      <c r="E75" s="296"/>
      <c r="F75" s="8">
        <f>SUM(F76:F80)</f>
        <v>15</v>
      </c>
      <c r="G75" s="24">
        <f>SUM(G76:G80)</f>
        <v>2292700</v>
      </c>
    </row>
    <row r="76" spans="1:9" ht="63">
      <c r="A76" s="30" t="s">
        <v>63</v>
      </c>
      <c r="B76" s="30" t="s">
        <v>110</v>
      </c>
      <c r="C76" s="30" t="s">
        <v>31</v>
      </c>
      <c r="D76" s="31" t="s">
        <v>111</v>
      </c>
      <c r="E76" s="30" t="s">
        <v>112</v>
      </c>
      <c r="F76" s="30">
        <v>1</v>
      </c>
      <c r="G76" s="32">
        <v>1369000</v>
      </c>
    </row>
    <row r="77" spans="1:9" ht="64.5" customHeight="1">
      <c r="A77" s="30" t="s">
        <v>63</v>
      </c>
      <c r="B77" s="30" t="s">
        <v>110</v>
      </c>
      <c r="C77" s="30" t="s">
        <v>19</v>
      </c>
      <c r="D77" s="31" t="s">
        <v>113</v>
      </c>
      <c r="E77" s="30" t="s">
        <v>114</v>
      </c>
      <c r="F77" s="30">
        <v>2</v>
      </c>
      <c r="G77" s="32">
        <v>120200</v>
      </c>
      <c r="I77" s="16"/>
    </row>
    <row r="78" spans="1:9" ht="48.75" customHeight="1">
      <c r="A78" s="30" t="s">
        <v>63</v>
      </c>
      <c r="B78" s="30" t="s">
        <v>110</v>
      </c>
      <c r="C78" s="30" t="s">
        <v>104</v>
      </c>
      <c r="D78" s="31" t="s">
        <v>115</v>
      </c>
      <c r="E78" s="30" t="s">
        <v>114</v>
      </c>
      <c r="F78" s="30">
        <v>1</v>
      </c>
      <c r="G78" s="32">
        <v>396100</v>
      </c>
    </row>
    <row r="79" spans="1:9" ht="42">
      <c r="A79" s="30" t="s">
        <v>63</v>
      </c>
      <c r="B79" s="30" t="s">
        <v>110</v>
      </c>
      <c r="C79" s="30" t="s">
        <v>16</v>
      </c>
      <c r="D79" s="31" t="s">
        <v>116</v>
      </c>
      <c r="E79" s="30" t="s">
        <v>117</v>
      </c>
      <c r="F79" s="30">
        <v>4</v>
      </c>
      <c r="G79" s="32">
        <v>182000</v>
      </c>
      <c r="I79" s="16"/>
    </row>
    <row r="80" spans="1:9" ht="42">
      <c r="A80" s="30" t="s">
        <v>63</v>
      </c>
      <c r="B80" s="30" t="s">
        <v>110</v>
      </c>
      <c r="C80" s="30" t="s">
        <v>16</v>
      </c>
      <c r="D80" s="31" t="s">
        <v>118</v>
      </c>
      <c r="E80" s="30" t="s">
        <v>117</v>
      </c>
      <c r="F80" s="30">
        <v>7</v>
      </c>
      <c r="G80" s="32">
        <v>225400</v>
      </c>
    </row>
    <row r="81" spans="1:7">
      <c r="A81" s="8" t="s">
        <v>63</v>
      </c>
      <c r="B81" s="8" t="s">
        <v>119</v>
      </c>
      <c r="C81" s="8"/>
      <c r="D81" s="296" t="s">
        <v>15</v>
      </c>
      <c r="E81" s="296"/>
      <c r="F81" s="8">
        <f>SUM(F82:F82)</f>
        <v>1</v>
      </c>
      <c r="G81" s="24">
        <f>SUM(G82:G82)</f>
        <v>970900</v>
      </c>
    </row>
    <row r="82" spans="1:7" ht="84">
      <c r="A82" s="30" t="s">
        <v>63</v>
      </c>
      <c r="B82" s="30" t="s">
        <v>119</v>
      </c>
      <c r="C82" s="30" t="s">
        <v>31</v>
      </c>
      <c r="D82" s="31" t="s">
        <v>120</v>
      </c>
      <c r="E82" s="33" t="s">
        <v>121</v>
      </c>
      <c r="F82" s="30">
        <v>1</v>
      </c>
      <c r="G82" s="32">
        <v>970900</v>
      </c>
    </row>
    <row r="83" spans="1:7">
      <c r="A83" s="8" t="s">
        <v>63</v>
      </c>
      <c r="B83" s="8" t="s">
        <v>122</v>
      </c>
      <c r="C83" s="8"/>
      <c r="D83" s="296" t="s">
        <v>15</v>
      </c>
      <c r="E83" s="296"/>
      <c r="F83" s="8">
        <f>SUM(F84:F85)</f>
        <v>6</v>
      </c>
      <c r="G83" s="24">
        <f>SUM(G84:G85)</f>
        <v>276200</v>
      </c>
    </row>
    <row r="84" spans="1:7" ht="63">
      <c r="A84" s="30" t="s">
        <v>63</v>
      </c>
      <c r="B84" s="30" t="s">
        <v>122</v>
      </c>
      <c r="C84" s="30" t="s">
        <v>16</v>
      </c>
      <c r="D84" s="31" t="s">
        <v>123</v>
      </c>
      <c r="E84" s="33" t="s">
        <v>124</v>
      </c>
      <c r="F84" s="30">
        <v>2</v>
      </c>
      <c r="G84" s="32">
        <v>61800</v>
      </c>
    </row>
    <row r="85" spans="1:7" ht="63">
      <c r="A85" s="30" t="s">
        <v>63</v>
      </c>
      <c r="B85" s="30" t="s">
        <v>122</v>
      </c>
      <c r="C85" s="30" t="s">
        <v>16</v>
      </c>
      <c r="D85" s="31" t="s">
        <v>125</v>
      </c>
      <c r="E85" s="33" t="s">
        <v>124</v>
      </c>
      <c r="F85" s="30">
        <v>4</v>
      </c>
      <c r="G85" s="32">
        <v>214400</v>
      </c>
    </row>
    <row r="86" spans="1:7">
      <c r="A86" s="8" t="s">
        <v>63</v>
      </c>
      <c r="B86" s="8" t="s">
        <v>126</v>
      </c>
      <c r="C86" s="8"/>
      <c r="D86" s="296" t="s">
        <v>15</v>
      </c>
      <c r="E86" s="296"/>
      <c r="F86" s="8">
        <f>SUM(F87:F88)</f>
        <v>8</v>
      </c>
      <c r="G86" s="24">
        <f>SUM(G87:G88)</f>
        <v>383400</v>
      </c>
    </row>
    <row r="87" spans="1:7" ht="63">
      <c r="A87" s="30" t="s">
        <v>63</v>
      </c>
      <c r="B87" s="30" t="s">
        <v>126</v>
      </c>
      <c r="C87" s="30" t="s">
        <v>16</v>
      </c>
      <c r="D87" s="31" t="s">
        <v>127</v>
      </c>
      <c r="E87" s="33" t="s">
        <v>128</v>
      </c>
      <c r="F87" s="30">
        <v>2</v>
      </c>
      <c r="G87" s="32">
        <v>61800</v>
      </c>
    </row>
    <row r="88" spans="1:7" ht="63">
      <c r="A88" s="30" t="s">
        <v>63</v>
      </c>
      <c r="B88" s="30" t="s">
        <v>126</v>
      </c>
      <c r="C88" s="30" t="s">
        <v>16</v>
      </c>
      <c r="D88" s="31" t="s">
        <v>129</v>
      </c>
      <c r="E88" s="33" t="s">
        <v>128</v>
      </c>
      <c r="F88" s="30">
        <v>6</v>
      </c>
      <c r="G88" s="32">
        <v>321600</v>
      </c>
    </row>
    <row r="89" spans="1:7">
      <c r="A89" s="8" t="s">
        <v>63</v>
      </c>
      <c r="B89" s="8" t="s">
        <v>130</v>
      </c>
      <c r="C89" s="8"/>
      <c r="D89" s="296" t="s">
        <v>15</v>
      </c>
      <c r="E89" s="296"/>
      <c r="F89" s="8">
        <f>SUM(F90:F90)</f>
        <v>5</v>
      </c>
      <c r="G89" s="24">
        <f>SUM(G90:G90)</f>
        <v>292500</v>
      </c>
    </row>
    <row r="90" spans="1:7" ht="63">
      <c r="A90" s="30" t="s">
        <v>63</v>
      </c>
      <c r="B90" s="30" t="s">
        <v>130</v>
      </c>
      <c r="C90" s="30" t="s">
        <v>16</v>
      </c>
      <c r="D90" s="31" t="s">
        <v>131</v>
      </c>
      <c r="E90" s="34" t="s">
        <v>132</v>
      </c>
      <c r="F90" s="30">
        <v>5</v>
      </c>
      <c r="G90" s="32">
        <v>292500</v>
      </c>
    </row>
    <row r="91" spans="1:7">
      <c r="A91" s="8" t="s">
        <v>63</v>
      </c>
      <c r="B91" s="8" t="s">
        <v>133</v>
      </c>
      <c r="C91" s="8"/>
      <c r="D91" s="296" t="s">
        <v>15</v>
      </c>
      <c r="E91" s="296"/>
      <c r="F91" s="8">
        <f>F92</f>
        <v>1</v>
      </c>
      <c r="G91" s="24">
        <f>G92</f>
        <v>58500</v>
      </c>
    </row>
    <row r="92" spans="1:7" ht="63">
      <c r="A92" s="30" t="s">
        <v>63</v>
      </c>
      <c r="B92" s="30" t="s">
        <v>133</v>
      </c>
      <c r="C92" s="30" t="s">
        <v>16</v>
      </c>
      <c r="D92" s="31" t="s">
        <v>134</v>
      </c>
      <c r="E92" s="34" t="s">
        <v>135</v>
      </c>
      <c r="F92" s="30">
        <v>1</v>
      </c>
      <c r="G92" s="32">
        <v>58500</v>
      </c>
    </row>
    <row r="93" spans="1:7">
      <c r="A93" s="8" t="s">
        <v>63</v>
      </c>
      <c r="B93" s="8" t="s">
        <v>136</v>
      </c>
      <c r="C93" s="8"/>
      <c r="D93" s="296" t="s">
        <v>15</v>
      </c>
      <c r="E93" s="296"/>
      <c r="F93" s="8">
        <f>SUM(F94:F94)</f>
        <v>1</v>
      </c>
      <c r="G93" s="24">
        <f>SUM(G94:G94)</f>
        <v>1369000</v>
      </c>
    </row>
    <row r="94" spans="1:7" ht="63">
      <c r="A94" s="30" t="s">
        <v>63</v>
      </c>
      <c r="B94" s="30" t="s">
        <v>136</v>
      </c>
      <c r="C94" s="30" t="s">
        <v>31</v>
      </c>
      <c r="D94" s="31" t="s">
        <v>137</v>
      </c>
      <c r="E94" s="30" t="s">
        <v>138</v>
      </c>
      <c r="F94" s="30">
        <v>1</v>
      </c>
      <c r="G94" s="32">
        <v>1369000</v>
      </c>
    </row>
    <row r="95" spans="1:7">
      <c r="A95" s="8" t="s">
        <v>63</v>
      </c>
      <c r="B95" s="8" t="s">
        <v>139</v>
      </c>
      <c r="C95" s="8"/>
      <c r="D95" s="296" t="s">
        <v>15</v>
      </c>
      <c r="E95" s="296"/>
      <c r="F95" s="8">
        <f>SUM(F96:F97)</f>
        <v>2</v>
      </c>
      <c r="G95" s="24">
        <f>SUM(G96:G97)</f>
        <v>1011800</v>
      </c>
    </row>
    <row r="96" spans="1:7" ht="84">
      <c r="A96" s="30" t="s">
        <v>63</v>
      </c>
      <c r="B96" s="30" t="s">
        <v>139</v>
      </c>
      <c r="C96" s="30" t="s">
        <v>31</v>
      </c>
      <c r="D96" s="31" t="s">
        <v>140</v>
      </c>
      <c r="E96" s="30" t="s">
        <v>141</v>
      </c>
      <c r="F96" s="30">
        <v>1</v>
      </c>
      <c r="G96" s="32">
        <v>970900</v>
      </c>
    </row>
    <row r="97" spans="1:8" ht="63">
      <c r="A97" s="30" t="s">
        <v>63</v>
      </c>
      <c r="B97" s="30" t="s">
        <v>139</v>
      </c>
      <c r="C97" s="30" t="s">
        <v>16</v>
      </c>
      <c r="D97" s="31" t="s">
        <v>142</v>
      </c>
      <c r="E97" s="30" t="s">
        <v>141</v>
      </c>
      <c r="F97" s="30">
        <v>1</v>
      </c>
      <c r="G97" s="32">
        <v>40900</v>
      </c>
    </row>
    <row r="98" spans="1:8">
      <c r="A98" s="8" t="s">
        <v>63</v>
      </c>
      <c r="B98" s="8" t="s">
        <v>143</v>
      </c>
      <c r="C98" s="8"/>
      <c r="D98" s="296" t="s">
        <v>15</v>
      </c>
      <c r="E98" s="296"/>
      <c r="F98" s="8">
        <f>SUM(F99:F99)</f>
        <v>1</v>
      </c>
      <c r="G98" s="24">
        <f>SUM(G99:G99)</f>
        <v>1207900</v>
      </c>
    </row>
    <row r="99" spans="1:8" ht="84">
      <c r="A99" s="30" t="s">
        <v>63</v>
      </c>
      <c r="B99" s="30" t="s">
        <v>143</v>
      </c>
      <c r="C99" s="30" t="s">
        <v>31</v>
      </c>
      <c r="D99" s="31" t="s">
        <v>144</v>
      </c>
      <c r="E99" s="30" t="s">
        <v>145</v>
      </c>
      <c r="F99" s="30">
        <v>1</v>
      </c>
      <c r="G99" s="32">
        <v>1207900</v>
      </c>
    </row>
    <row r="100" spans="1:8">
      <c r="A100" s="8" t="s">
        <v>63</v>
      </c>
      <c r="B100" s="8" t="s">
        <v>146</v>
      </c>
      <c r="C100" s="8"/>
      <c r="D100" s="296" t="s">
        <v>15</v>
      </c>
      <c r="E100" s="296"/>
      <c r="F100" s="8">
        <f>F101</f>
        <v>1</v>
      </c>
      <c r="G100" s="9">
        <f>G101</f>
        <v>970900</v>
      </c>
    </row>
    <row r="101" spans="1:8" ht="84">
      <c r="A101" s="30" t="s">
        <v>63</v>
      </c>
      <c r="B101" s="30" t="s">
        <v>146</v>
      </c>
      <c r="C101" s="30" t="s">
        <v>31</v>
      </c>
      <c r="D101" s="31" t="s">
        <v>147</v>
      </c>
      <c r="E101" s="30" t="s">
        <v>148</v>
      </c>
      <c r="F101" s="30">
        <v>1</v>
      </c>
      <c r="G101" s="32">
        <v>970900</v>
      </c>
    </row>
    <row r="102" spans="1:8">
      <c r="A102" s="8" t="s">
        <v>149</v>
      </c>
      <c r="B102" s="8" t="s">
        <v>150</v>
      </c>
      <c r="C102" s="8"/>
      <c r="D102" s="296" t="s">
        <v>15</v>
      </c>
      <c r="E102" s="296"/>
      <c r="F102" s="8">
        <f>SUM(F103:F104)</f>
        <v>6</v>
      </c>
      <c r="G102" s="24">
        <f>SUM(G103:G104)</f>
        <v>1637000</v>
      </c>
    </row>
    <row r="103" spans="1:8" ht="63">
      <c r="A103" s="35" t="s">
        <v>149</v>
      </c>
      <c r="B103" s="35" t="s">
        <v>150</v>
      </c>
      <c r="C103" s="35" t="s">
        <v>31</v>
      </c>
      <c r="D103" s="36" t="s">
        <v>151</v>
      </c>
      <c r="E103" s="35" t="s">
        <v>152</v>
      </c>
      <c r="F103" s="35">
        <v>1</v>
      </c>
      <c r="G103" s="37">
        <v>1369000</v>
      </c>
    </row>
    <row r="104" spans="1:8" ht="63">
      <c r="A104" s="35" t="s">
        <v>149</v>
      </c>
      <c r="B104" s="35" t="s">
        <v>150</v>
      </c>
      <c r="C104" s="35" t="s">
        <v>16</v>
      </c>
      <c r="D104" s="36" t="s">
        <v>153</v>
      </c>
      <c r="E104" s="35" t="s">
        <v>152</v>
      </c>
      <c r="F104" s="35">
        <v>5</v>
      </c>
      <c r="G104" s="37">
        <v>268000</v>
      </c>
    </row>
    <row r="105" spans="1:8">
      <c r="A105" s="8" t="s">
        <v>149</v>
      </c>
      <c r="B105" s="8" t="s">
        <v>154</v>
      </c>
      <c r="C105" s="8"/>
      <c r="D105" s="296" t="s">
        <v>15</v>
      </c>
      <c r="E105" s="296"/>
      <c r="F105" s="8">
        <f>SUM(F106:F106)</f>
        <v>1</v>
      </c>
      <c r="G105" s="9">
        <f>SUM(G106:G106)</f>
        <v>1207900</v>
      </c>
    </row>
    <row r="106" spans="1:8" ht="84">
      <c r="A106" s="35" t="s">
        <v>149</v>
      </c>
      <c r="B106" s="35" t="s">
        <v>154</v>
      </c>
      <c r="C106" s="35" t="s">
        <v>31</v>
      </c>
      <c r="D106" s="36" t="s">
        <v>155</v>
      </c>
      <c r="E106" s="35" t="s">
        <v>156</v>
      </c>
      <c r="F106" s="35">
        <v>1</v>
      </c>
      <c r="G106" s="37">
        <v>1207900</v>
      </c>
    </row>
    <row r="107" spans="1:8">
      <c r="A107" s="8" t="s">
        <v>149</v>
      </c>
      <c r="B107" s="8" t="s">
        <v>157</v>
      </c>
      <c r="C107" s="8"/>
      <c r="D107" s="296" t="s">
        <v>15</v>
      </c>
      <c r="E107" s="296"/>
      <c r="F107" s="8">
        <f>F108</f>
        <v>1</v>
      </c>
      <c r="G107" s="9">
        <f>G108</f>
        <v>1207900</v>
      </c>
    </row>
    <row r="108" spans="1:8" ht="84">
      <c r="A108" s="35" t="s">
        <v>149</v>
      </c>
      <c r="B108" s="35" t="s">
        <v>157</v>
      </c>
      <c r="C108" s="35" t="s">
        <v>31</v>
      </c>
      <c r="D108" s="36" t="s">
        <v>158</v>
      </c>
      <c r="E108" s="35" t="s">
        <v>159</v>
      </c>
      <c r="F108" s="35">
        <v>1</v>
      </c>
      <c r="G108" s="37">
        <v>1207900</v>
      </c>
    </row>
    <row r="109" spans="1:8">
      <c r="A109" s="8" t="s">
        <v>149</v>
      </c>
      <c r="B109" s="8" t="s">
        <v>160</v>
      </c>
      <c r="C109" s="8"/>
      <c r="D109" s="296" t="s">
        <v>15</v>
      </c>
      <c r="E109" s="296"/>
      <c r="F109" s="8">
        <f>SUM(F110:F112)</f>
        <v>11</v>
      </c>
      <c r="G109" s="24">
        <f>SUM(G110:G112)</f>
        <v>430100</v>
      </c>
    </row>
    <row r="110" spans="1:8" ht="63">
      <c r="A110" s="35" t="s">
        <v>149</v>
      </c>
      <c r="B110" s="35" t="s">
        <v>160</v>
      </c>
      <c r="C110" s="35" t="s">
        <v>16</v>
      </c>
      <c r="D110" s="36" t="s">
        <v>161</v>
      </c>
      <c r="E110" s="35" t="s">
        <v>162</v>
      </c>
      <c r="F110" s="35">
        <v>3</v>
      </c>
      <c r="G110" s="37">
        <v>96600</v>
      </c>
    </row>
    <row r="111" spans="1:8" ht="63">
      <c r="A111" s="35" t="s">
        <v>149</v>
      </c>
      <c r="B111" s="35" t="s">
        <v>160</v>
      </c>
      <c r="C111" s="35" t="s">
        <v>16</v>
      </c>
      <c r="D111" s="36" t="s">
        <v>163</v>
      </c>
      <c r="E111" s="35" t="s">
        <v>164</v>
      </c>
      <c r="F111" s="35">
        <v>7</v>
      </c>
      <c r="G111" s="37">
        <v>286300</v>
      </c>
      <c r="H111" s="16"/>
    </row>
    <row r="112" spans="1:8" ht="63">
      <c r="A112" s="35" t="s">
        <v>149</v>
      </c>
      <c r="B112" s="35" t="s">
        <v>160</v>
      </c>
      <c r="C112" s="35" t="s">
        <v>16</v>
      </c>
      <c r="D112" s="36" t="s">
        <v>165</v>
      </c>
      <c r="E112" s="35" t="s">
        <v>164</v>
      </c>
      <c r="F112" s="35">
        <v>1</v>
      </c>
      <c r="G112" s="37">
        <v>47200</v>
      </c>
    </row>
    <row r="113" spans="1:7">
      <c r="A113" s="8" t="s">
        <v>149</v>
      </c>
      <c r="B113" s="8" t="s">
        <v>166</v>
      </c>
      <c r="C113" s="8"/>
      <c r="D113" s="296" t="s">
        <v>15</v>
      </c>
      <c r="E113" s="296"/>
      <c r="F113" s="8">
        <f>F114</f>
        <v>6</v>
      </c>
      <c r="G113" s="24">
        <f>G114</f>
        <v>245400</v>
      </c>
    </row>
    <row r="114" spans="1:7" ht="63">
      <c r="A114" s="35" t="s">
        <v>149</v>
      </c>
      <c r="B114" s="35" t="s">
        <v>166</v>
      </c>
      <c r="C114" s="35" t="s">
        <v>16</v>
      </c>
      <c r="D114" s="36" t="s">
        <v>167</v>
      </c>
      <c r="E114" s="35" t="s">
        <v>168</v>
      </c>
      <c r="F114" s="35">
        <v>6</v>
      </c>
      <c r="G114" s="37">
        <v>245400</v>
      </c>
    </row>
    <row r="115" spans="1:7">
      <c r="A115" s="8" t="s">
        <v>149</v>
      </c>
      <c r="B115" s="8" t="s">
        <v>169</v>
      </c>
      <c r="C115" s="8"/>
      <c r="D115" s="296" t="s">
        <v>15</v>
      </c>
      <c r="E115" s="296"/>
      <c r="F115" s="8">
        <f>SUM(F116:F116)</f>
        <v>1</v>
      </c>
      <c r="G115" s="24">
        <f>SUM(G116:G116)</f>
        <v>1369000</v>
      </c>
    </row>
    <row r="116" spans="1:7" ht="63">
      <c r="A116" s="35" t="s">
        <v>149</v>
      </c>
      <c r="B116" s="35" t="s">
        <v>169</v>
      </c>
      <c r="C116" s="35" t="s">
        <v>31</v>
      </c>
      <c r="D116" s="36" t="s">
        <v>170</v>
      </c>
      <c r="E116" s="35" t="s">
        <v>171</v>
      </c>
      <c r="F116" s="35">
        <v>1</v>
      </c>
      <c r="G116" s="37">
        <v>1369000</v>
      </c>
    </row>
    <row r="117" spans="1:7">
      <c r="A117" s="8" t="s">
        <v>149</v>
      </c>
      <c r="B117" s="8" t="s">
        <v>172</v>
      </c>
      <c r="C117" s="8"/>
      <c r="D117" s="296" t="s">
        <v>15</v>
      </c>
      <c r="E117" s="296"/>
      <c r="F117" s="8">
        <f>SUM(F118:F118)</f>
        <v>3</v>
      </c>
      <c r="G117" s="24">
        <f>SUM(G118:G118)</f>
        <v>160800</v>
      </c>
    </row>
    <row r="118" spans="1:7" ht="63">
      <c r="A118" s="35" t="s">
        <v>149</v>
      </c>
      <c r="B118" s="35" t="s">
        <v>172</v>
      </c>
      <c r="C118" s="35" t="s">
        <v>16</v>
      </c>
      <c r="D118" s="36" t="s">
        <v>173</v>
      </c>
      <c r="E118" s="35" t="s">
        <v>174</v>
      </c>
      <c r="F118" s="35">
        <v>3</v>
      </c>
      <c r="G118" s="37">
        <v>160800</v>
      </c>
    </row>
    <row r="119" spans="1:7">
      <c r="F119" s="1">
        <f>SUBTOTAL(9,F4:F118)</f>
        <v>4352</v>
      </c>
      <c r="G119" s="38">
        <f>SUBTOTAL(9,G4:G118)</f>
        <v>859407200</v>
      </c>
    </row>
  </sheetData>
  <autoFilter ref="A3:G118" xr:uid="{121EF27A-DBD4-45C0-A0D3-BF5A7D48E110}"/>
  <mergeCells count="38">
    <mergeCell ref="A8:E8"/>
    <mergeCell ref="A1:G1"/>
    <mergeCell ref="A4:E4"/>
    <mergeCell ref="A5:E5"/>
    <mergeCell ref="A6:E6"/>
    <mergeCell ref="A7:E7"/>
    <mergeCell ref="D35:E35"/>
    <mergeCell ref="B9:C9"/>
    <mergeCell ref="D9:E9"/>
    <mergeCell ref="D12:E12"/>
    <mergeCell ref="D15:E15"/>
    <mergeCell ref="D17:E17"/>
    <mergeCell ref="D19:E19"/>
    <mergeCell ref="D23:E23"/>
    <mergeCell ref="D26:E26"/>
    <mergeCell ref="D29:E29"/>
    <mergeCell ref="D31:E31"/>
    <mergeCell ref="D33:E33"/>
    <mergeCell ref="D98:E98"/>
    <mergeCell ref="D37:E37"/>
    <mergeCell ref="D71:E71"/>
    <mergeCell ref="D73:E73"/>
    <mergeCell ref="D75:E75"/>
    <mergeCell ref="D81:E81"/>
    <mergeCell ref="D83:E83"/>
    <mergeCell ref="D86:E86"/>
    <mergeCell ref="D89:E89"/>
    <mergeCell ref="D91:E91"/>
    <mergeCell ref="D93:E93"/>
    <mergeCell ref="D95:E95"/>
    <mergeCell ref="D115:E115"/>
    <mergeCell ref="D117:E117"/>
    <mergeCell ref="D100:E100"/>
    <mergeCell ref="D102:E102"/>
    <mergeCell ref="D105:E105"/>
    <mergeCell ref="D107:E107"/>
    <mergeCell ref="D109:E109"/>
    <mergeCell ref="D113:E113"/>
  </mergeCells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7F5FE-FC04-4632-BB95-74B9C0BA2E3D}">
  <sheetPr>
    <tabColor rgb="FF7030A0"/>
  </sheetPr>
  <dimension ref="A1:BH456"/>
  <sheetViews>
    <sheetView topLeftCell="B1" zoomScale="70" zoomScaleNormal="70" zoomScaleSheetLayoutView="78" workbookViewId="0">
      <pane xSplit="6" ySplit="1" topLeftCell="H2" activePane="bottomRight" state="frozen"/>
      <selection activeCell="B1" sqref="B1"/>
      <selection pane="topRight" activeCell="H1" sqref="H1"/>
      <selection pane="bottomLeft" activeCell="B3" sqref="B3"/>
      <selection pane="bottomRight" activeCell="L455" sqref="L455"/>
    </sheetView>
  </sheetViews>
  <sheetFormatPr defaultRowHeight="23.25"/>
  <cols>
    <col min="1" max="1" width="6.5703125" style="83" hidden="1" customWidth="1"/>
    <col min="2" max="2" width="9.140625" style="76"/>
    <col min="3" max="3" width="16.5703125" style="77" bestFit="1" customWidth="1"/>
    <col min="4" max="4" width="15.140625" style="77" bestFit="1" customWidth="1"/>
    <col min="5" max="5" width="15.42578125" style="77" bestFit="1" customWidth="1"/>
    <col min="6" max="6" width="15.140625" style="77" bestFit="1" customWidth="1"/>
    <col min="7" max="7" width="47.85546875" style="77" bestFit="1" customWidth="1"/>
    <col min="8" max="8" width="15.85546875" style="77" customWidth="1"/>
    <col min="9" max="9" width="10.85546875" style="77" bestFit="1" customWidth="1"/>
    <col min="10" max="10" width="9.5703125" style="82" customWidth="1"/>
    <col min="11" max="11" width="8" style="82" customWidth="1"/>
    <col min="12" max="12" width="16.140625" style="81" bestFit="1" customWidth="1"/>
    <col min="13" max="13" width="15.7109375" style="79" bestFit="1" customWidth="1"/>
    <col min="14" max="14" width="7.140625" style="79" customWidth="1"/>
    <col min="15" max="15" width="9.5703125" style="79" customWidth="1"/>
    <col min="16" max="16" width="8.85546875" style="79" customWidth="1"/>
    <col min="17" max="17" width="8.5703125" style="80" customWidth="1"/>
    <col min="18" max="18" width="9.42578125" style="79" customWidth="1"/>
    <col min="19" max="19" width="21.85546875" style="79" bestFit="1" customWidth="1"/>
    <col min="20" max="20" width="19.42578125" style="78" customWidth="1"/>
    <col min="21" max="21" width="54.85546875" style="77" customWidth="1"/>
    <col min="22" max="22" width="17.28515625" style="76" customWidth="1"/>
    <col min="23" max="16384" width="9.140625" style="76"/>
  </cols>
  <sheetData>
    <row r="1" spans="1:60" s="136" customFormat="1" ht="84">
      <c r="A1" s="127" t="s">
        <v>1277</v>
      </c>
      <c r="B1" s="175" t="s">
        <v>1276</v>
      </c>
      <c r="C1" s="175" t="s">
        <v>1275</v>
      </c>
      <c r="D1" s="175" t="s">
        <v>1274</v>
      </c>
      <c r="E1" s="175" t="s">
        <v>1142</v>
      </c>
      <c r="F1" s="175" t="s">
        <v>1273</v>
      </c>
      <c r="G1" s="175" t="s">
        <v>4</v>
      </c>
      <c r="H1" s="175" t="s">
        <v>5</v>
      </c>
      <c r="I1" s="175"/>
      <c r="J1" s="175" t="s">
        <v>2</v>
      </c>
      <c r="K1" s="175" t="s">
        <v>1</v>
      </c>
      <c r="L1" s="174" t="s">
        <v>1272</v>
      </c>
      <c r="M1" s="175" t="s">
        <v>1271</v>
      </c>
      <c r="N1" s="175" t="s">
        <v>1270</v>
      </c>
      <c r="O1" s="175" t="s">
        <v>1269</v>
      </c>
      <c r="P1" s="175" t="s">
        <v>1268</v>
      </c>
      <c r="Q1" s="175" t="s">
        <v>1267</v>
      </c>
      <c r="R1" s="175" t="s">
        <v>1266</v>
      </c>
      <c r="S1" s="175" t="s">
        <v>1265</v>
      </c>
      <c r="T1" s="174" t="s">
        <v>1264</v>
      </c>
      <c r="U1" s="173" t="s">
        <v>1263</v>
      </c>
      <c r="V1" s="137"/>
      <c r="W1" s="137"/>
      <c r="X1" s="137"/>
      <c r="Y1" s="137"/>
      <c r="Z1" s="137"/>
      <c r="AA1" s="137"/>
      <c r="AB1" s="137"/>
      <c r="AC1" s="137"/>
      <c r="AD1" s="137"/>
      <c r="AE1" s="137"/>
      <c r="AF1" s="137"/>
      <c r="AG1" s="137"/>
      <c r="AH1" s="137"/>
      <c r="AI1" s="137"/>
      <c r="AJ1" s="137"/>
      <c r="AK1" s="137"/>
      <c r="AL1" s="137"/>
      <c r="AM1" s="137"/>
      <c r="AN1" s="137"/>
      <c r="AO1" s="137"/>
      <c r="AP1" s="137"/>
      <c r="AQ1" s="137"/>
      <c r="AR1" s="137"/>
      <c r="AS1" s="137"/>
      <c r="AT1" s="137"/>
      <c r="AU1" s="137"/>
      <c r="AV1" s="137"/>
      <c r="AW1" s="137"/>
      <c r="AX1" s="137"/>
      <c r="AY1" s="137"/>
      <c r="AZ1" s="137"/>
      <c r="BA1" s="137"/>
      <c r="BB1" s="137"/>
      <c r="BC1" s="137"/>
      <c r="BD1" s="137"/>
      <c r="BE1" s="137"/>
      <c r="BF1" s="137"/>
      <c r="BG1" s="137"/>
      <c r="BH1" s="137"/>
    </row>
    <row r="2" spans="1:60" s="136" customFormat="1" ht="147">
      <c r="A2" s="127"/>
      <c r="B2" s="110" t="s">
        <v>447</v>
      </c>
      <c r="C2" s="118" t="s">
        <v>527</v>
      </c>
      <c r="D2" s="118" t="s">
        <v>621</v>
      </c>
      <c r="E2" s="118" t="s">
        <v>620</v>
      </c>
      <c r="F2" s="118" t="s">
        <v>1255</v>
      </c>
      <c r="G2" s="118" t="s">
        <v>1262</v>
      </c>
      <c r="H2" s="113" t="s">
        <v>66</v>
      </c>
      <c r="I2" s="113"/>
      <c r="J2" s="113" t="s">
        <v>64</v>
      </c>
      <c r="K2" s="113" t="s">
        <v>63</v>
      </c>
      <c r="L2" s="121">
        <f>M2*T2</f>
        <v>5028000</v>
      </c>
      <c r="M2" s="116">
        <f>Q2+R2</f>
        <v>3</v>
      </c>
      <c r="N2" s="113" t="s">
        <v>533</v>
      </c>
      <c r="O2" s="114"/>
      <c r="P2" s="114"/>
      <c r="Q2" s="113">
        <v>3</v>
      </c>
      <c r="R2" s="113"/>
      <c r="S2" s="113" t="s">
        <v>1261</v>
      </c>
      <c r="T2" s="120">
        <v>1676000</v>
      </c>
      <c r="U2" s="111" t="s">
        <v>1260</v>
      </c>
      <c r="V2" s="137"/>
      <c r="W2" s="137"/>
      <c r="X2" s="137"/>
      <c r="Y2" s="137"/>
      <c r="Z2" s="137"/>
      <c r="AA2" s="137"/>
      <c r="AB2" s="137"/>
      <c r="AC2" s="137"/>
      <c r="AD2" s="137"/>
      <c r="AE2" s="137"/>
      <c r="AF2" s="137"/>
      <c r="AG2" s="137"/>
      <c r="AH2" s="137"/>
      <c r="AI2" s="137"/>
      <c r="AJ2" s="137"/>
      <c r="AK2" s="137"/>
      <c r="AL2" s="137"/>
      <c r="AM2" s="137"/>
      <c r="AN2" s="137"/>
      <c r="AO2" s="137"/>
      <c r="AP2" s="137"/>
      <c r="AQ2" s="137"/>
      <c r="AR2" s="137"/>
      <c r="AS2" s="137"/>
      <c r="AT2" s="137"/>
      <c r="AU2" s="137"/>
      <c r="AV2" s="137"/>
      <c r="AW2" s="137"/>
      <c r="AX2" s="137"/>
      <c r="AY2" s="137"/>
      <c r="AZ2" s="137"/>
      <c r="BA2" s="137"/>
      <c r="BB2" s="137"/>
      <c r="BC2" s="137"/>
      <c r="BD2" s="137"/>
      <c r="BE2" s="137"/>
      <c r="BF2" s="137"/>
      <c r="BG2" s="137"/>
      <c r="BH2" s="137"/>
    </row>
    <row r="3" spans="1:60" s="136" customFormat="1" ht="126">
      <c r="A3" s="127"/>
      <c r="B3" s="110" t="s">
        <v>447</v>
      </c>
      <c r="C3" s="118" t="s">
        <v>527</v>
      </c>
      <c r="D3" s="118" t="s">
        <v>621</v>
      </c>
      <c r="E3" s="118" t="s">
        <v>620</v>
      </c>
      <c r="F3" s="118" t="s">
        <v>1255</v>
      </c>
      <c r="G3" s="118" t="s">
        <v>1152</v>
      </c>
      <c r="H3" s="113" t="s">
        <v>66</v>
      </c>
      <c r="I3" s="113"/>
      <c r="J3" s="113" t="s">
        <v>64</v>
      </c>
      <c r="K3" s="113" t="s">
        <v>63</v>
      </c>
      <c r="L3" s="121">
        <f>M3*T3</f>
        <v>2996000</v>
      </c>
      <c r="M3" s="116">
        <f>Q3+R3</f>
        <v>2</v>
      </c>
      <c r="N3" s="113" t="s">
        <v>533</v>
      </c>
      <c r="O3" s="114"/>
      <c r="P3" s="114" t="s">
        <v>472</v>
      </c>
      <c r="Q3" s="113">
        <v>2</v>
      </c>
      <c r="R3" s="113"/>
      <c r="S3" s="113" t="s">
        <v>1259</v>
      </c>
      <c r="T3" s="120">
        <v>1498000</v>
      </c>
      <c r="U3" s="111" t="s">
        <v>1258</v>
      </c>
      <c r="V3" s="137"/>
      <c r="W3" s="137"/>
      <c r="X3" s="137"/>
      <c r="Y3" s="137"/>
      <c r="Z3" s="137"/>
      <c r="AA3" s="137"/>
      <c r="AB3" s="137"/>
      <c r="AC3" s="137"/>
      <c r="AD3" s="137"/>
      <c r="AE3" s="137"/>
      <c r="AF3" s="137"/>
      <c r="AG3" s="137"/>
      <c r="AH3" s="137"/>
      <c r="AI3" s="137"/>
      <c r="AJ3" s="137"/>
      <c r="AK3" s="137"/>
      <c r="AL3" s="137"/>
      <c r="AM3" s="137"/>
      <c r="AN3" s="137"/>
      <c r="AO3" s="137"/>
      <c r="AP3" s="137"/>
      <c r="AQ3" s="137"/>
      <c r="AR3" s="137"/>
      <c r="AS3" s="137"/>
      <c r="AT3" s="137"/>
      <c r="AU3" s="137"/>
      <c r="AV3" s="137"/>
      <c r="AW3" s="137"/>
      <c r="AX3" s="137"/>
      <c r="AY3" s="137"/>
      <c r="AZ3" s="137"/>
      <c r="BA3" s="137"/>
      <c r="BB3" s="137"/>
      <c r="BC3" s="137"/>
      <c r="BD3" s="137"/>
      <c r="BE3" s="137"/>
      <c r="BF3" s="137"/>
      <c r="BG3" s="137"/>
      <c r="BH3" s="137"/>
    </row>
    <row r="4" spans="1:60" s="136" customFormat="1" ht="126">
      <c r="A4" s="127"/>
      <c r="B4" s="110" t="s">
        <v>447</v>
      </c>
      <c r="C4" s="118" t="s">
        <v>527</v>
      </c>
      <c r="D4" s="118" t="s">
        <v>621</v>
      </c>
      <c r="E4" s="118" t="s">
        <v>620</v>
      </c>
      <c r="F4" s="118" t="s">
        <v>1255</v>
      </c>
      <c r="G4" s="118" t="s">
        <v>1152</v>
      </c>
      <c r="H4" s="113" t="s">
        <v>66</v>
      </c>
      <c r="I4" s="113"/>
      <c r="J4" s="113" t="s">
        <v>64</v>
      </c>
      <c r="K4" s="113" t="s">
        <v>63</v>
      </c>
      <c r="L4" s="121">
        <f>M4*T4</f>
        <v>1498000</v>
      </c>
      <c r="M4" s="116">
        <f>Q4+R4</f>
        <v>1</v>
      </c>
      <c r="N4" s="113" t="s">
        <v>533</v>
      </c>
      <c r="O4" s="114"/>
      <c r="P4" s="114" t="s">
        <v>472</v>
      </c>
      <c r="Q4" s="113">
        <v>1</v>
      </c>
      <c r="R4" s="113"/>
      <c r="S4" s="113" t="s">
        <v>1257</v>
      </c>
      <c r="T4" s="120">
        <v>1498000</v>
      </c>
      <c r="U4" s="111" t="s">
        <v>1256</v>
      </c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</row>
    <row r="5" spans="1:60" s="124" customFormat="1" ht="139.5">
      <c r="A5" s="127"/>
      <c r="B5" s="92" t="s">
        <v>447</v>
      </c>
      <c r="C5" s="100" t="s">
        <v>555</v>
      </c>
      <c r="D5" s="100" t="s">
        <v>621</v>
      </c>
      <c r="E5" s="100" t="s">
        <v>620</v>
      </c>
      <c r="F5" s="100" t="s">
        <v>1255</v>
      </c>
      <c r="G5" s="100" t="s">
        <v>1254</v>
      </c>
      <c r="H5" s="96" t="s">
        <v>66</v>
      </c>
      <c r="I5" s="96"/>
      <c r="J5" s="96" t="s">
        <v>64</v>
      </c>
      <c r="K5" s="96" t="s">
        <v>63</v>
      </c>
      <c r="L5" s="99">
        <f>M5*T5</f>
        <v>172000</v>
      </c>
      <c r="M5" s="98">
        <f>Q5+R5</f>
        <v>8</v>
      </c>
      <c r="N5" s="96" t="s">
        <v>558</v>
      </c>
      <c r="O5" s="97" t="s">
        <v>472</v>
      </c>
      <c r="P5" s="97"/>
      <c r="Q5" s="96"/>
      <c r="R5" s="96">
        <v>8</v>
      </c>
      <c r="S5" s="96"/>
      <c r="T5" s="95">
        <v>21500</v>
      </c>
      <c r="U5" s="131" t="s">
        <v>1253</v>
      </c>
      <c r="V5" s="125"/>
      <c r="W5" s="125"/>
      <c r="X5" s="125"/>
      <c r="Y5" s="125"/>
      <c r="Z5" s="125"/>
      <c r="AA5" s="125"/>
      <c r="AB5" s="125"/>
      <c r="AC5" s="125"/>
      <c r="AD5" s="125"/>
      <c r="AE5" s="125"/>
      <c r="AF5" s="125"/>
      <c r="AG5" s="125"/>
      <c r="AH5" s="125"/>
      <c r="AI5" s="125"/>
      <c r="AJ5" s="125"/>
      <c r="AK5" s="125"/>
      <c r="AL5" s="125"/>
      <c r="AM5" s="125"/>
      <c r="AN5" s="125"/>
      <c r="AO5" s="125"/>
      <c r="AP5" s="125"/>
      <c r="AQ5" s="125"/>
      <c r="AR5" s="125"/>
      <c r="AS5" s="125"/>
      <c r="AT5" s="125"/>
      <c r="AU5" s="125"/>
      <c r="AV5" s="125"/>
      <c r="AW5" s="125"/>
      <c r="AX5" s="125"/>
      <c r="AY5" s="125"/>
      <c r="AZ5" s="125"/>
      <c r="BA5" s="125"/>
      <c r="BB5" s="125"/>
      <c r="BC5" s="125"/>
      <c r="BD5" s="125"/>
      <c r="BE5" s="125"/>
      <c r="BF5" s="125"/>
      <c r="BG5" s="125"/>
      <c r="BH5" s="125"/>
    </row>
    <row r="6" spans="1:60" s="136" customFormat="1" ht="189">
      <c r="A6" s="127"/>
      <c r="B6" s="110" t="s">
        <v>447</v>
      </c>
      <c r="C6" s="118" t="s">
        <v>527</v>
      </c>
      <c r="D6" s="118" t="s">
        <v>1167</v>
      </c>
      <c r="E6" s="118" t="s">
        <v>1166</v>
      </c>
      <c r="F6" s="118" t="s">
        <v>1165</v>
      </c>
      <c r="G6" s="118" t="s">
        <v>1152</v>
      </c>
      <c r="H6" s="113" t="s">
        <v>70</v>
      </c>
      <c r="I6" s="113"/>
      <c r="J6" s="113" t="s">
        <v>64</v>
      </c>
      <c r="K6" s="113" t="s">
        <v>63</v>
      </c>
      <c r="L6" s="121">
        <v>1498000</v>
      </c>
      <c r="M6" s="116">
        <v>1</v>
      </c>
      <c r="N6" s="113" t="s">
        <v>533</v>
      </c>
      <c r="O6" s="114"/>
      <c r="P6" s="114" t="s">
        <v>472</v>
      </c>
      <c r="Q6" s="113">
        <v>1</v>
      </c>
      <c r="R6" s="113"/>
      <c r="S6" s="113" t="s">
        <v>1252</v>
      </c>
      <c r="T6" s="120">
        <v>1498000</v>
      </c>
      <c r="U6" s="111" t="s">
        <v>1251</v>
      </c>
      <c r="V6" s="137"/>
      <c r="W6" s="137"/>
      <c r="X6" s="137"/>
      <c r="Y6" s="137"/>
      <c r="Z6" s="137"/>
      <c r="AA6" s="137"/>
      <c r="AB6" s="137"/>
      <c r="AC6" s="137"/>
      <c r="AD6" s="137"/>
      <c r="AE6" s="137"/>
      <c r="AF6" s="137"/>
      <c r="AG6" s="137"/>
      <c r="AH6" s="137"/>
      <c r="AI6" s="137"/>
      <c r="AJ6" s="137"/>
      <c r="AK6" s="137"/>
      <c r="AL6" s="137"/>
      <c r="AM6" s="137"/>
      <c r="AN6" s="137"/>
      <c r="AO6" s="137"/>
      <c r="AP6" s="137"/>
      <c r="AQ6" s="137"/>
      <c r="AR6" s="137"/>
      <c r="AS6" s="137"/>
      <c r="AT6" s="137"/>
      <c r="AU6" s="137"/>
      <c r="AV6" s="137"/>
      <c r="AW6" s="137"/>
      <c r="AX6" s="137"/>
      <c r="AY6" s="137"/>
      <c r="AZ6" s="137"/>
      <c r="BA6" s="137"/>
      <c r="BB6" s="137"/>
      <c r="BC6" s="137"/>
      <c r="BD6" s="137"/>
      <c r="BE6" s="137"/>
      <c r="BF6" s="137"/>
      <c r="BG6" s="137"/>
      <c r="BH6" s="137"/>
    </row>
    <row r="7" spans="1:60" s="136" customFormat="1" ht="189">
      <c r="A7" s="127"/>
      <c r="B7" s="110" t="s">
        <v>447</v>
      </c>
      <c r="C7" s="118" t="s">
        <v>527</v>
      </c>
      <c r="D7" s="118" t="s">
        <v>1167</v>
      </c>
      <c r="E7" s="118" t="s">
        <v>1166</v>
      </c>
      <c r="F7" s="118" t="s">
        <v>1165</v>
      </c>
      <c r="G7" s="118" t="s">
        <v>1152</v>
      </c>
      <c r="H7" s="113" t="s">
        <v>70</v>
      </c>
      <c r="I7" s="113"/>
      <c r="J7" s="113" t="s">
        <v>64</v>
      </c>
      <c r="K7" s="113" t="s">
        <v>63</v>
      </c>
      <c r="L7" s="121">
        <v>1498000</v>
      </c>
      <c r="M7" s="116">
        <v>1</v>
      </c>
      <c r="N7" s="113" t="s">
        <v>533</v>
      </c>
      <c r="O7" s="114"/>
      <c r="P7" s="114" t="s">
        <v>472</v>
      </c>
      <c r="Q7" s="113">
        <v>1</v>
      </c>
      <c r="R7" s="113"/>
      <c r="S7" s="113" t="s">
        <v>1250</v>
      </c>
      <c r="T7" s="120">
        <v>1498000</v>
      </c>
      <c r="U7" s="111" t="s">
        <v>1249</v>
      </c>
      <c r="V7" s="137"/>
      <c r="W7" s="137"/>
      <c r="X7" s="137"/>
      <c r="Y7" s="137"/>
      <c r="Z7" s="137"/>
      <c r="AA7" s="137"/>
      <c r="AB7" s="137"/>
      <c r="AC7" s="137"/>
      <c r="AD7" s="137"/>
      <c r="AE7" s="137"/>
      <c r="AF7" s="137"/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7"/>
      <c r="AY7" s="137"/>
      <c r="AZ7" s="137"/>
      <c r="BA7" s="137"/>
      <c r="BB7" s="137"/>
      <c r="BC7" s="137"/>
      <c r="BD7" s="137"/>
      <c r="BE7" s="137"/>
      <c r="BF7" s="137"/>
      <c r="BG7" s="137"/>
      <c r="BH7" s="137"/>
    </row>
    <row r="8" spans="1:60" s="136" customFormat="1" ht="189">
      <c r="A8" s="127"/>
      <c r="B8" s="110" t="s">
        <v>447</v>
      </c>
      <c r="C8" s="118" t="s">
        <v>527</v>
      </c>
      <c r="D8" s="118" t="s">
        <v>1167</v>
      </c>
      <c r="E8" s="118" t="s">
        <v>1166</v>
      </c>
      <c r="F8" s="118" t="s">
        <v>1165</v>
      </c>
      <c r="G8" s="118" t="s">
        <v>1152</v>
      </c>
      <c r="H8" s="113" t="s">
        <v>70</v>
      </c>
      <c r="I8" s="113"/>
      <c r="J8" s="113" t="s">
        <v>64</v>
      </c>
      <c r="K8" s="113" t="s">
        <v>63</v>
      </c>
      <c r="L8" s="121">
        <v>1498000</v>
      </c>
      <c r="M8" s="116">
        <v>1</v>
      </c>
      <c r="N8" s="113" t="s">
        <v>533</v>
      </c>
      <c r="O8" s="114"/>
      <c r="P8" s="114" t="s">
        <v>472</v>
      </c>
      <c r="Q8" s="113">
        <v>1</v>
      </c>
      <c r="R8" s="113"/>
      <c r="S8" s="113" t="s">
        <v>1248</v>
      </c>
      <c r="T8" s="120">
        <v>1498000</v>
      </c>
      <c r="U8" s="111" t="s">
        <v>1247</v>
      </c>
      <c r="V8" s="137"/>
      <c r="W8" s="137"/>
      <c r="X8" s="137"/>
      <c r="Y8" s="137"/>
      <c r="Z8" s="137"/>
      <c r="AA8" s="137"/>
      <c r="AB8" s="137"/>
      <c r="AC8" s="137"/>
      <c r="AD8" s="137"/>
      <c r="AE8" s="137"/>
      <c r="AF8" s="137"/>
      <c r="AG8" s="137"/>
      <c r="AH8" s="137"/>
      <c r="AI8" s="137"/>
      <c r="AJ8" s="137"/>
      <c r="AK8" s="137"/>
      <c r="AL8" s="137"/>
      <c r="AM8" s="137"/>
      <c r="AN8" s="137"/>
      <c r="AO8" s="137"/>
      <c r="AP8" s="137"/>
      <c r="AQ8" s="137"/>
      <c r="AR8" s="137"/>
      <c r="AS8" s="137"/>
      <c r="AT8" s="137"/>
      <c r="AU8" s="137"/>
      <c r="AV8" s="137"/>
      <c r="AW8" s="137"/>
      <c r="AX8" s="137"/>
      <c r="AY8" s="137"/>
      <c r="AZ8" s="137"/>
      <c r="BA8" s="137"/>
      <c r="BB8" s="137"/>
      <c r="BC8" s="137"/>
      <c r="BD8" s="137"/>
      <c r="BE8" s="137"/>
      <c r="BF8" s="137"/>
      <c r="BG8" s="137"/>
      <c r="BH8" s="137"/>
    </row>
    <row r="9" spans="1:60" s="136" customFormat="1" ht="189">
      <c r="A9" s="127"/>
      <c r="B9" s="110" t="s">
        <v>447</v>
      </c>
      <c r="C9" s="118" t="s">
        <v>527</v>
      </c>
      <c r="D9" s="118" t="s">
        <v>1167</v>
      </c>
      <c r="E9" s="118" t="s">
        <v>1166</v>
      </c>
      <c r="F9" s="118" t="s">
        <v>1165</v>
      </c>
      <c r="G9" s="118" t="s">
        <v>1246</v>
      </c>
      <c r="H9" s="113" t="s">
        <v>70</v>
      </c>
      <c r="I9" s="113"/>
      <c r="J9" s="113" t="s">
        <v>64</v>
      </c>
      <c r="K9" s="113" t="s">
        <v>63</v>
      </c>
      <c r="L9" s="121">
        <v>1172000</v>
      </c>
      <c r="M9" s="116">
        <v>1</v>
      </c>
      <c r="N9" s="113" t="s">
        <v>533</v>
      </c>
      <c r="O9" s="114" t="s">
        <v>472</v>
      </c>
      <c r="P9" s="114"/>
      <c r="Q9" s="113">
        <v>1</v>
      </c>
      <c r="R9" s="113"/>
      <c r="S9" s="113" t="s">
        <v>1245</v>
      </c>
      <c r="T9" s="120">
        <v>1172000</v>
      </c>
      <c r="U9" s="111" t="s">
        <v>1244</v>
      </c>
      <c r="V9" s="137"/>
      <c r="W9" s="137"/>
      <c r="X9" s="137"/>
      <c r="Y9" s="137"/>
      <c r="Z9" s="137"/>
      <c r="AA9" s="137"/>
      <c r="AB9" s="137"/>
      <c r="AC9" s="137"/>
      <c r="AD9" s="137"/>
      <c r="AE9" s="137"/>
      <c r="AF9" s="137"/>
      <c r="AG9" s="137"/>
      <c r="AH9" s="137"/>
      <c r="AI9" s="137"/>
      <c r="AJ9" s="137"/>
      <c r="AK9" s="137"/>
      <c r="AL9" s="137"/>
      <c r="AM9" s="137"/>
      <c r="AN9" s="137"/>
      <c r="AO9" s="137"/>
      <c r="AP9" s="137"/>
      <c r="AQ9" s="137"/>
      <c r="AR9" s="137"/>
      <c r="AS9" s="137"/>
      <c r="AT9" s="137"/>
      <c r="AU9" s="137"/>
      <c r="AV9" s="137"/>
      <c r="AW9" s="137"/>
      <c r="AX9" s="137"/>
      <c r="AY9" s="137"/>
      <c r="AZ9" s="137"/>
      <c r="BA9" s="137"/>
      <c r="BB9" s="137"/>
      <c r="BC9" s="137"/>
      <c r="BD9" s="137"/>
      <c r="BE9" s="137"/>
      <c r="BF9" s="137"/>
      <c r="BG9" s="137"/>
      <c r="BH9" s="137"/>
    </row>
    <row r="10" spans="1:60" s="136" customFormat="1" ht="189">
      <c r="A10" s="127"/>
      <c r="B10" s="110" t="s">
        <v>447</v>
      </c>
      <c r="C10" s="118" t="s">
        <v>527</v>
      </c>
      <c r="D10" s="118" t="s">
        <v>1167</v>
      </c>
      <c r="E10" s="118" t="s">
        <v>1166</v>
      </c>
      <c r="F10" s="118" t="s">
        <v>1165</v>
      </c>
      <c r="G10" s="118" t="s">
        <v>1243</v>
      </c>
      <c r="H10" s="113" t="s">
        <v>70</v>
      </c>
      <c r="I10" s="113"/>
      <c r="J10" s="113" t="s">
        <v>64</v>
      </c>
      <c r="K10" s="113" t="s">
        <v>63</v>
      </c>
      <c r="L10" s="121">
        <v>35900</v>
      </c>
      <c r="M10" s="116">
        <v>1</v>
      </c>
      <c r="N10" s="113" t="s">
        <v>629</v>
      </c>
      <c r="O10" s="114" t="s">
        <v>472</v>
      </c>
      <c r="P10" s="114"/>
      <c r="Q10" s="113">
        <v>1</v>
      </c>
      <c r="R10" s="113"/>
      <c r="S10" s="169" t="s">
        <v>1242</v>
      </c>
      <c r="T10" s="120">
        <v>35900</v>
      </c>
      <c r="U10" s="111" t="s">
        <v>1241</v>
      </c>
      <c r="V10" s="137"/>
      <c r="W10" s="137"/>
      <c r="X10" s="137"/>
      <c r="Y10" s="137"/>
      <c r="Z10" s="137"/>
      <c r="AA10" s="137"/>
      <c r="AB10" s="137"/>
      <c r="AC10" s="137"/>
      <c r="AD10" s="137"/>
      <c r="AE10" s="137"/>
      <c r="AF10" s="137"/>
      <c r="AG10" s="137"/>
      <c r="AH10" s="137"/>
      <c r="AI10" s="137"/>
      <c r="AJ10" s="137"/>
      <c r="AK10" s="137"/>
      <c r="AL10" s="137"/>
      <c r="AM10" s="137"/>
      <c r="AN10" s="137"/>
      <c r="AO10" s="137"/>
      <c r="AP10" s="137"/>
      <c r="AQ10" s="137"/>
      <c r="AR10" s="137"/>
      <c r="AS10" s="137"/>
      <c r="AT10" s="137"/>
      <c r="AU10" s="137"/>
      <c r="AV10" s="137"/>
      <c r="AW10" s="137"/>
      <c r="AX10" s="137"/>
      <c r="AY10" s="137"/>
      <c r="AZ10" s="137"/>
      <c r="BA10" s="137"/>
      <c r="BB10" s="137"/>
      <c r="BC10" s="137"/>
      <c r="BD10" s="137"/>
      <c r="BE10" s="137"/>
      <c r="BF10" s="137"/>
      <c r="BG10" s="137"/>
      <c r="BH10" s="137"/>
    </row>
    <row r="11" spans="1:60" s="124" customFormat="1" ht="162.75">
      <c r="A11" s="127"/>
      <c r="B11" s="92" t="s">
        <v>447</v>
      </c>
      <c r="C11" s="100" t="s">
        <v>538</v>
      </c>
      <c r="D11" s="100" t="s">
        <v>1167</v>
      </c>
      <c r="E11" s="100" t="s">
        <v>1166</v>
      </c>
      <c r="F11" s="100" t="s">
        <v>1165</v>
      </c>
      <c r="G11" s="100" t="s">
        <v>1240</v>
      </c>
      <c r="H11" s="96" t="s">
        <v>114</v>
      </c>
      <c r="I11" s="96"/>
      <c r="J11" s="96" t="s">
        <v>110</v>
      </c>
      <c r="K11" s="96" t="s">
        <v>63</v>
      </c>
      <c r="L11" s="99">
        <v>51000</v>
      </c>
      <c r="M11" s="98">
        <v>3</v>
      </c>
      <c r="N11" s="96" t="s">
        <v>558</v>
      </c>
      <c r="O11" s="97" t="s">
        <v>472</v>
      </c>
      <c r="P11" s="97"/>
      <c r="Q11" s="96">
        <v>3</v>
      </c>
      <c r="R11" s="96"/>
      <c r="S11" s="96" t="s">
        <v>1239</v>
      </c>
      <c r="T11" s="95">
        <v>17000</v>
      </c>
      <c r="U11" s="94" t="s">
        <v>1238</v>
      </c>
      <c r="V11" s="125"/>
      <c r="W11" s="125"/>
      <c r="X11" s="125"/>
      <c r="Y11" s="125"/>
      <c r="Z11" s="125"/>
      <c r="AA11" s="125"/>
      <c r="AB11" s="125"/>
      <c r="AC11" s="125"/>
      <c r="AD11" s="125"/>
      <c r="AE11" s="125"/>
      <c r="AF11" s="125"/>
      <c r="AG11" s="125"/>
      <c r="AH11" s="125"/>
      <c r="AI11" s="125"/>
      <c r="AJ11" s="125"/>
      <c r="AK11" s="125"/>
      <c r="AL11" s="125"/>
      <c r="AM11" s="125"/>
      <c r="AN11" s="125"/>
      <c r="AO11" s="125"/>
      <c r="AP11" s="125"/>
      <c r="AQ11" s="125"/>
      <c r="AR11" s="125"/>
      <c r="AS11" s="125"/>
      <c r="AT11" s="125"/>
      <c r="AU11" s="125"/>
      <c r="AV11" s="125"/>
      <c r="AW11" s="125"/>
      <c r="AX11" s="125"/>
      <c r="AY11" s="125"/>
      <c r="AZ11" s="125"/>
      <c r="BA11" s="125"/>
      <c r="BB11" s="125"/>
      <c r="BC11" s="125"/>
      <c r="BD11" s="125"/>
      <c r="BE11" s="125"/>
      <c r="BF11" s="125"/>
      <c r="BG11" s="125"/>
      <c r="BH11" s="125"/>
    </row>
    <row r="12" spans="1:60" s="124" customFormat="1" ht="186">
      <c r="A12" s="127"/>
      <c r="B12" s="92" t="s">
        <v>447</v>
      </c>
      <c r="C12" s="100" t="s">
        <v>538</v>
      </c>
      <c r="D12" s="100" t="s">
        <v>1167</v>
      </c>
      <c r="E12" s="100" t="s">
        <v>1166</v>
      </c>
      <c r="F12" s="100" t="s">
        <v>1165</v>
      </c>
      <c r="G12" s="100" t="s">
        <v>1237</v>
      </c>
      <c r="H12" s="96" t="s">
        <v>114</v>
      </c>
      <c r="I12" s="96"/>
      <c r="J12" s="96" t="s">
        <v>110</v>
      </c>
      <c r="K12" s="96" t="s">
        <v>63</v>
      </c>
      <c r="L12" s="99">
        <v>19000</v>
      </c>
      <c r="M12" s="98">
        <v>2</v>
      </c>
      <c r="N12" s="96" t="s">
        <v>558</v>
      </c>
      <c r="O12" s="97" t="s">
        <v>472</v>
      </c>
      <c r="P12" s="97"/>
      <c r="Q12" s="107"/>
      <c r="R12" s="96">
        <v>2</v>
      </c>
      <c r="S12" s="96"/>
      <c r="T12" s="95">
        <v>9500</v>
      </c>
      <c r="U12" s="94" t="s">
        <v>1236</v>
      </c>
      <c r="V12" s="125"/>
      <c r="W12" s="125"/>
      <c r="X12" s="125"/>
      <c r="Y12" s="125"/>
      <c r="Z12" s="125"/>
      <c r="AA12" s="125"/>
      <c r="AB12" s="125"/>
      <c r="AC12" s="125"/>
      <c r="AD12" s="125"/>
      <c r="AE12" s="125"/>
      <c r="AF12" s="125"/>
      <c r="AG12" s="125"/>
      <c r="AH12" s="125"/>
      <c r="AI12" s="125"/>
      <c r="AJ12" s="125"/>
      <c r="AK12" s="125"/>
      <c r="AL12" s="125"/>
      <c r="AM12" s="125"/>
      <c r="AN12" s="125"/>
      <c r="AO12" s="125"/>
      <c r="AP12" s="125"/>
      <c r="AQ12" s="125"/>
      <c r="AR12" s="125"/>
      <c r="AS12" s="125"/>
      <c r="AT12" s="125"/>
      <c r="AU12" s="125"/>
      <c r="AV12" s="125"/>
      <c r="AW12" s="125"/>
      <c r="AX12" s="125"/>
      <c r="AY12" s="125"/>
      <c r="AZ12" s="125"/>
      <c r="BA12" s="125"/>
      <c r="BB12" s="125"/>
      <c r="BC12" s="125"/>
      <c r="BD12" s="125"/>
      <c r="BE12" s="125"/>
      <c r="BF12" s="125"/>
      <c r="BG12" s="125"/>
      <c r="BH12" s="125"/>
    </row>
    <row r="13" spans="1:60" s="124" customFormat="1" ht="209.25">
      <c r="A13" s="127"/>
      <c r="B13" s="92" t="s">
        <v>447</v>
      </c>
      <c r="C13" s="100" t="s">
        <v>538</v>
      </c>
      <c r="D13" s="100" t="s">
        <v>1167</v>
      </c>
      <c r="E13" s="100" t="s">
        <v>1166</v>
      </c>
      <c r="F13" s="100" t="s">
        <v>1165</v>
      </c>
      <c r="G13" s="100" t="s">
        <v>1235</v>
      </c>
      <c r="H13" s="96" t="s">
        <v>114</v>
      </c>
      <c r="I13" s="96"/>
      <c r="J13" s="96" t="s">
        <v>110</v>
      </c>
      <c r="K13" s="96" t="s">
        <v>63</v>
      </c>
      <c r="L13" s="99">
        <v>102400</v>
      </c>
      <c r="M13" s="98">
        <v>8</v>
      </c>
      <c r="N13" s="96" t="s">
        <v>558</v>
      </c>
      <c r="O13" s="97"/>
      <c r="P13" s="97" t="s">
        <v>472</v>
      </c>
      <c r="Q13" s="107"/>
      <c r="R13" s="96">
        <v>8</v>
      </c>
      <c r="S13" s="96"/>
      <c r="T13" s="95">
        <v>12800</v>
      </c>
      <c r="U13" s="94" t="s">
        <v>1234</v>
      </c>
      <c r="V13" s="125"/>
      <c r="W13" s="125"/>
      <c r="X13" s="125"/>
      <c r="Y13" s="125"/>
      <c r="Z13" s="125"/>
      <c r="AA13" s="125"/>
      <c r="AB13" s="125"/>
      <c r="AC13" s="125"/>
      <c r="AD13" s="125"/>
      <c r="AE13" s="125"/>
      <c r="AF13" s="125"/>
      <c r="AG13" s="125"/>
      <c r="AH13" s="125"/>
      <c r="AI13" s="125"/>
      <c r="AJ13" s="125"/>
      <c r="AK13" s="125"/>
      <c r="AL13" s="125"/>
      <c r="AM13" s="125"/>
      <c r="AN13" s="125"/>
      <c r="AO13" s="125"/>
      <c r="AP13" s="125"/>
      <c r="AQ13" s="125"/>
      <c r="AR13" s="125"/>
      <c r="AS13" s="125"/>
      <c r="AT13" s="125"/>
      <c r="AU13" s="125"/>
      <c r="AV13" s="125"/>
      <c r="AW13" s="125"/>
      <c r="AX13" s="125"/>
      <c r="AY13" s="125"/>
      <c r="AZ13" s="125"/>
      <c r="BA13" s="125"/>
      <c r="BB13" s="125"/>
      <c r="BC13" s="125"/>
      <c r="BD13" s="125"/>
      <c r="BE13" s="125"/>
      <c r="BF13" s="125"/>
      <c r="BG13" s="125"/>
      <c r="BH13" s="125"/>
    </row>
    <row r="14" spans="1:60" s="124" customFormat="1" ht="232.5">
      <c r="A14" s="127"/>
      <c r="B14" s="92" t="s">
        <v>447</v>
      </c>
      <c r="C14" s="100" t="s">
        <v>555</v>
      </c>
      <c r="D14" s="100" t="s">
        <v>1167</v>
      </c>
      <c r="E14" s="100" t="s">
        <v>1166</v>
      </c>
      <c r="F14" s="100" t="s">
        <v>1165</v>
      </c>
      <c r="G14" s="100" t="s">
        <v>1233</v>
      </c>
      <c r="H14" s="96" t="s">
        <v>114</v>
      </c>
      <c r="I14" s="96"/>
      <c r="J14" s="96" t="s">
        <v>110</v>
      </c>
      <c r="K14" s="96" t="s">
        <v>63</v>
      </c>
      <c r="L14" s="99">
        <v>236000</v>
      </c>
      <c r="M14" s="98">
        <v>5</v>
      </c>
      <c r="N14" s="96" t="s">
        <v>558</v>
      </c>
      <c r="O14" s="97" t="s">
        <v>472</v>
      </c>
      <c r="P14" s="97"/>
      <c r="Q14" s="96">
        <v>5</v>
      </c>
      <c r="R14" s="96"/>
      <c r="S14" s="96" t="s">
        <v>1232</v>
      </c>
      <c r="T14" s="95">
        <v>47200</v>
      </c>
      <c r="U14" s="94" t="s">
        <v>1231</v>
      </c>
      <c r="V14" s="125"/>
      <c r="W14" s="125"/>
      <c r="X14" s="125"/>
      <c r="Y14" s="125"/>
      <c r="Z14" s="125"/>
      <c r="AA14" s="125"/>
      <c r="AB14" s="125"/>
      <c r="AC14" s="125"/>
      <c r="AD14" s="125"/>
      <c r="AE14" s="125"/>
      <c r="AF14" s="125"/>
      <c r="AG14" s="125"/>
      <c r="AH14" s="125"/>
      <c r="AI14" s="125"/>
      <c r="AJ14" s="125"/>
      <c r="AK14" s="125"/>
      <c r="AL14" s="125"/>
      <c r="AM14" s="125"/>
      <c r="AN14" s="125"/>
      <c r="AO14" s="125"/>
      <c r="AP14" s="125"/>
      <c r="AQ14" s="125"/>
      <c r="AR14" s="125"/>
      <c r="AS14" s="125"/>
      <c r="AT14" s="125"/>
      <c r="AU14" s="125"/>
      <c r="AV14" s="125"/>
      <c r="AW14" s="125"/>
      <c r="AX14" s="125"/>
      <c r="AY14" s="125"/>
      <c r="AZ14" s="125"/>
      <c r="BA14" s="125"/>
      <c r="BB14" s="125"/>
      <c r="BC14" s="125"/>
      <c r="BD14" s="125"/>
      <c r="BE14" s="125"/>
      <c r="BF14" s="125"/>
      <c r="BG14" s="125"/>
      <c r="BH14" s="125"/>
    </row>
    <row r="15" spans="1:60" s="136" customFormat="1" ht="189">
      <c r="A15" s="127"/>
      <c r="B15" s="110" t="s">
        <v>447</v>
      </c>
      <c r="C15" s="118" t="s">
        <v>527</v>
      </c>
      <c r="D15" s="118" t="s">
        <v>1167</v>
      </c>
      <c r="E15" s="118" t="s">
        <v>1166</v>
      </c>
      <c r="F15" s="118" t="s">
        <v>1165</v>
      </c>
      <c r="G15" s="118" t="s">
        <v>1230</v>
      </c>
      <c r="H15" s="113" t="s">
        <v>114</v>
      </c>
      <c r="I15" s="113"/>
      <c r="J15" s="113" t="s">
        <v>110</v>
      </c>
      <c r="K15" s="113" t="s">
        <v>63</v>
      </c>
      <c r="L15" s="121">
        <v>1329000</v>
      </c>
      <c r="M15" s="116">
        <v>1</v>
      </c>
      <c r="N15" s="113" t="s">
        <v>533</v>
      </c>
      <c r="O15" s="114"/>
      <c r="P15" s="114" t="s">
        <v>472</v>
      </c>
      <c r="Q15" s="113">
        <v>1</v>
      </c>
      <c r="R15" s="113"/>
      <c r="S15" s="113" t="s">
        <v>1229</v>
      </c>
      <c r="T15" s="120">
        <v>1329000</v>
      </c>
      <c r="U15" s="111" t="s">
        <v>1228</v>
      </c>
      <c r="V15" s="137"/>
      <c r="W15" s="137"/>
      <c r="X15" s="137"/>
      <c r="Y15" s="137"/>
      <c r="Z15" s="137"/>
      <c r="AA15" s="137"/>
      <c r="AB15" s="137"/>
      <c r="AC15" s="137"/>
      <c r="AD15" s="137"/>
      <c r="AE15" s="137"/>
      <c r="AF15" s="137"/>
      <c r="AG15" s="137"/>
      <c r="AH15" s="137"/>
      <c r="AI15" s="137"/>
      <c r="AJ15" s="137"/>
      <c r="AK15" s="137"/>
      <c r="AL15" s="137"/>
      <c r="AM15" s="137"/>
      <c r="AN15" s="137"/>
      <c r="AO15" s="137"/>
      <c r="AP15" s="137"/>
      <c r="AQ15" s="137"/>
      <c r="AR15" s="137"/>
      <c r="AS15" s="137"/>
      <c r="AT15" s="137"/>
      <c r="AU15" s="137"/>
      <c r="AV15" s="137"/>
      <c r="AW15" s="137"/>
      <c r="AX15" s="137"/>
      <c r="AY15" s="137"/>
      <c r="AZ15" s="137"/>
      <c r="BA15" s="137"/>
      <c r="BB15" s="137"/>
      <c r="BC15" s="137"/>
      <c r="BD15" s="137"/>
      <c r="BE15" s="137"/>
      <c r="BF15" s="137"/>
      <c r="BG15" s="137"/>
      <c r="BH15" s="137"/>
    </row>
    <row r="16" spans="1:60" s="124" customFormat="1" ht="162.75">
      <c r="A16" s="127"/>
      <c r="B16" s="92" t="s">
        <v>447</v>
      </c>
      <c r="C16" s="100" t="s">
        <v>477</v>
      </c>
      <c r="D16" s="100" t="s">
        <v>1167</v>
      </c>
      <c r="E16" s="100" t="s">
        <v>1166</v>
      </c>
      <c r="F16" s="100" t="s">
        <v>1165</v>
      </c>
      <c r="G16" s="100" t="s">
        <v>1227</v>
      </c>
      <c r="H16" s="96" t="s">
        <v>21</v>
      </c>
      <c r="I16" s="96"/>
      <c r="J16" s="96" t="s">
        <v>14</v>
      </c>
      <c r="K16" s="96" t="s">
        <v>13</v>
      </c>
      <c r="L16" s="99">
        <v>39900</v>
      </c>
      <c r="M16" s="98">
        <v>1</v>
      </c>
      <c r="N16" s="96" t="s">
        <v>558</v>
      </c>
      <c r="O16" s="97"/>
      <c r="P16" s="97" t="s">
        <v>472</v>
      </c>
      <c r="Q16" s="107"/>
      <c r="R16" s="96">
        <v>1</v>
      </c>
      <c r="S16" s="96"/>
      <c r="T16" s="95">
        <v>39900</v>
      </c>
      <c r="U16" s="94" t="s">
        <v>1226</v>
      </c>
      <c r="V16" s="125"/>
      <c r="W16" s="125"/>
      <c r="X16" s="125"/>
      <c r="Y16" s="125"/>
      <c r="Z16" s="125"/>
      <c r="AA16" s="125"/>
      <c r="AB16" s="125"/>
      <c r="AC16" s="125"/>
      <c r="AD16" s="125"/>
      <c r="AE16" s="125"/>
      <c r="AF16" s="125"/>
      <c r="AG16" s="125"/>
      <c r="AH16" s="125"/>
      <c r="AI16" s="125"/>
      <c r="AJ16" s="125"/>
      <c r="AK16" s="125"/>
      <c r="AL16" s="125"/>
      <c r="AM16" s="125"/>
      <c r="AN16" s="125"/>
      <c r="AO16" s="125"/>
      <c r="AP16" s="125"/>
      <c r="AQ16" s="125"/>
      <c r="AR16" s="125"/>
      <c r="AS16" s="125"/>
      <c r="AT16" s="125"/>
      <c r="AU16" s="125"/>
      <c r="AV16" s="125"/>
      <c r="AW16" s="125"/>
      <c r="AX16" s="125"/>
      <c r="AY16" s="125"/>
      <c r="AZ16" s="125"/>
      <c r="BA16" s="125"/>
      <c r="BB16" s="125"/>
      <c r="BC16" s="125"/>
      <c r="BD16" s="125"/>
      <c r="BE16" s="125"/>
      <c r="BF16" s="125"/>
      <c r="BG16" s="125"/>
      <c r="BH16" s="125"/>
    </row>
    <row r="17" spans="1:60" s="136" customFormat="1" ht="189">
      <c r="A17" s="127"/>
      <c r="B17" s="110" t="s">
        <v>447</v>
      </c>
      <c r="C17" s="118" t="s">
        <v>527</v>
      </c>
      <c r="D17" s="118" t="s">
        <v>1167</v>
      </c>
      <c r="E17" s="118" t="s">
        <v>1166</v>
      </c>
      <c r="F17" s="118" t="s">
        <v>1165</v>
      </c>
      <c r="G17" s="118" t="s">
        <v>1225</v>
      </c>
      <c r="H17" s="113" t="s">
        <v>21</v>
      </c>
      <c r="I17" s="113"/>
      <c r="J17" s="113" t="s">
        <v>14</v>
      </c>
      <c r="K17" s="113" t="s">
        <v>13</v>
      </c>
      <c r="L17" s="121">
        <v>1207900</v>
      </c>
      <c r="M17" s="116">
        <v>1</v>
      </c>
      <c r="N17" s="113" t="s">
        <v>533</v>
      </c>
      <c r="O17" s="114" t="s">
        <v>472</v>
      </c>
      <c r="P17" s="114"/>
      <c r="Q17" s="113">
        <v>1</v>
      </c>
      <c r="R17" s="113"/>
      <c r="S17" s="169" t="s">
        <v>1224</v>
      </c>
      <c r="T17" s="120">
        <v>1207900</v>
      </c>
      <c r="U17" s="111" t="s">
        <v>1223</v>
      </c>
      <c r="V17" s="137"/>
      <c r="W17" s="137"/>
      <c r="X17" s="137"/>
      <c r="Y17" s="137"/>
      <c r="Z17" s="137"/>
      <c r="AA17" s="137"/>
      <c r="AB17" s="137"/>
      <c r="AC17" s="137"/>
      <c r="AD17" s="137"/>
      <c r="AE17" s="137"/>
      <c r="AF17" s="137"/>
      <c r="AG17" s="137"/>
      <c r="AH17" s="137"/>
      <c r="AI17" s="137"/>
      <c r="AJ17" s="137"/>
      <c r="AK17" s="137"/>
      <c r="AL17" s="137"/>
      <c r="AM17" s="137"/>
      <c r="AN17" s="137"/>
      <c r="AO17" s="137"/>
      <c r="AP17" s="137"/>
      <c r="AQ17" s="137"/>
      <c r="AR17" s="137"/>
      <c r="AS17" s="137"/>
      <c r="AT17" s="137"/>
      <c r="AU17" s="137"/>
      <c r="AV17" s="137"/>
      <c r="AW17" s="137"/>
      <c r="AX17" s="137"/>
      <c r="AY17" s="137"/>
      <c r="AZ17" s="137"/>
      <c r="BA17" s="137"/>
      <c r="BB17" s="137"/>
      <c r="BC17" s="137"/>
      <c r="BD17" s="137"/>
      <c r="BE17" s="137"/>
      <c r="BF17" s="137"/>
      <c r="BG17" s="137"/>
      <c r="BH17" s="137"/>
    </row>
    <row r="18" spans="1:60" s="136" customFormat="1" ht="189">
      <c r="A18" s="127"/>
      <c r="B18" s="110" t="s">
        <v>447</v>
      </c>
      <c r="C18" s="118" t="s">
        <v>527</v>
      </c>
      <c r="D18" s="118" t="s">
        <v>1167</v>
      </c>
      <c r="E18" s="118" t="s">
        <v>1166</v>
      </c>
      <c r="F18" s="118" t="s">
        <v>1165</v>
      </c>
      <c r="G18" s="118" t="s">
        <v>1222</v>
      </c>
      <c r="H18" s="113" t="s">
        <v>21</v>
      </c>
      <c r="I18" s="113"/>
      <c r="J18" s="113" t="s">
        <v>14</v>
      </c>
      <c r="K18" s="113" t="s">
        <v>13</v>
      </c>
      <c r="L18" s="121">
        <v>1500000</v>
      </c>
      <c r="M18" s="116">
        <v>1</v>
      </c>
      <c r="N18" s="113" t="s">
        <v>533</v>
      </c>
      <c r="O18" s="114"/>
      <c r="P18" s="114" t="s">
        <v>472</v>
      </c>
      <c r="Q18" s="113">
        <v>1</v>
      </c>
      <c r="R18" s="113"/>
      <c r="S18" s="169" t="s">
        <v>1221</v>
      </c>
      <c r="T18" s="120">
        <v>1500000</v>
      </c>
      <c r="U18" s="111" t="s">
        <v>1220</v>
      </c>
      <c r="V18" s="137"/>
      <c r="W18" s="137"/>
      <c r="X18" s="137"/>
      <c r="Y18" s="137"/>
      <c r="Z18" s="137"/>
      <c r="AA18" s="137"/>
      <c r="AB18" s="137"/>
      <c r="AC18" s="137"/>
      <c r="AD18" s="137"/>
      <c r="AE18" s="137"/>
      <c r="AF18" s="137"/>
      <c r="AG18" s="137"/>
      <c r="AH18" s="137"/>
      <c r="AI18" s="137"/>
      <c r="AJ18" s="137"/>
      <c r="AK18" s="137"/>
      <c r="AL18" s="137"/>
      <c r="AM18" s="137"/>
      <c r="AN18" s="137"/>
      <c r="AO18" s="137"/>
      <c r="AP18" s="137"/>
      <c r="AQ18" s="137"/>
      <c r="AR18" s="137"/>
      <c r="AS18" s="137"/>
      <c r="AT18" s="137"/>
      <c r="AU18" s="137"/>
      <c r="AV18" s="137"/>
      <c r="AW18" s="137"/>
      <c r="AX18" s="137"/>
      <c r="AY18" s="137"/>
      <c r="AZ18" s="137"/>
      <c r="BA18" s="137"/>
      <c r="BB18" s="137"/>
      <c r="BC18" s="137"/>
      <c r="BD18" s="137"/>
      <c r="BE18" s="137"/>
      <c r="BF18" s="137"/>
      <c r="BG18" s="137"/>
      <c r="BH18" s="137"/>
    </row>
    <row r="19" spans="1:60" s="124" customFormat="1" ht="162.75">
      <c r="A19" s="127"/>
      <c r="B19" s="92" t="s">
        <v>447</v>
      </c>
      <c r="C19" s="100" t="s">
        <v>538</v>
      </c>
      <c r="D19" s="100" t="s">
        <v>1167</v>
      </c>
      <c r="E19" s="100" t="s">
        <v>1166</v>
      </c>
      <c r="F19" s="100" t="s">
        <v>1165</v>
      </c>
      <c r="G19" s="100" t="s">
        <v>1219</v>
      </c>
      <c r="H19" s="96" t="s">
        <v>21</v>
      </c>
      <c r="I19" s="96"/>
      <c r="J19" s="96" t="s">
        <v>14</v>
      </c>
      <c r="K19" s="96" t="s">
        <v>13</v>
      </c>
      <c r="L19" s="99">
        <v>8500</v>
      </c>
      <c r="M19" s="98">
        <v>1</v>
      </c>
      <c r="N19" s="96" t="s">
        <v>561</v>
      </c>
      <c r="O19" s="97" t="s">
        <v>472</v>
      </c>
      <c r="P19" s="97"/>
      <c r="Q19" s="96">
        <v>1</v>
      </c>
      <c r="R19" s="96"/>
      <c r="S19" s="172" t="s">
        <v>1218</v>
      </c>
      <c r="T19" s="95">
        <v>8500</v>
      </c>
      <c r="U19" s="94" t="s">
        <v>1217</v>
      </c>
      <c r="V19" s="125"/>
      <c r="W19" s="125"/>
      <c r="X19" s="125"/>
      <c r="Y19" s="125"/>
      <c r="Z19" s="125"/>
      <c r="AA19" s="125"/>
      <c r="AB19" s="125"/>
      <c r="AC19" s="125"/>
      <c r="AD19" s="125"/>
      <c r="AE19" s="125"/>
      <c r="AF19" s="125"/>
      <c r="AG19" s="125"/>
      <c r="AH19" s="125"/>
      <c r="AI19" s="125"/>
      <c r="AJ19" s="125"/>
      <c r="AK19" s="125"/>
      <c r="AL19" s="125"/>
      <c r="AM19" s="125"/>
      <c r="AN19" s="125"/>
      <c r="AO19" s="125"/>
      <c r="AP19" s="125"/>
      <c r="AQ19" s="125"/>
      <c r="AR19" s="125"/>
      <c r="AS19" s="125"/>
      <c r="AT19" s="125"/>
      <c r="AU19" s="125"/>
      <c r="AV19" s="125"/>
      <c r="AW19" s="125"/>
      <c r="AX19" s="125"/>
      <c r="AY19" s="125"/>
      <c r="AZ19" s="125"/>
      <c r="BA19" s="125"/>
      <c r="BB19" s="125"/>
      <c r="BC19" s="125"/>
      <c r="BD19" s="125"/>
      <c r="BE19" s="125"/>
      <c r="BF19" s="125"/>
      <c r="BG19" s="125"/>
      <c r="BH19" s="125"/>
    </row>
    <row r="20" spans="1:60" s="124" customFormat="1" ht="232.5">
      <c r="A20" s="127"/>
      <c r="B20" s="92" t="s">
        <v>447</v>
      </c>
      <c r="C20" s="100" t="s">
        <v>538</v>
      </c>
      <c r="D20" s="100" t="s">
        <v>1167</v>
      </c>
      <c r="E20" s="100" t="s">
        <v>1166</v>
      </c>
      <c r="F20" s="100" t="s">
        <v>1165</v>
      </c>
      <c r="G20" s="100" t="s">
        <v>1216</v>
      </c>
      <c r="H20" s="96" t="s">
        <v>21</v>
      </c>
      <c r="I20" s="96"/>
      <c r="J20" s="96" t="s">
        <v>14</v>
      </c>
      <c r="K20" s="96" t="s">
        <v>13</v>
      </c>
      <c r="L20" s="99">
        <v>192600</v>
      </c>
      <c r="M20" s="98">
        <v>1</v>
      </c>
      <c r="N20" s="96" t="s">
        <v>821</v>
      </c>
      <c r="O20" s="97"/>
      <c r="P20" s="97" t="s">
        <v>472</v>
      </c>
      <c r="Q20" s="107"/>
      <c r="R20" s="96">
        <v>1</v>
      </c>
      <c r="S20" s="96"/>
      <c r="T20" s="95">
        <v>192600</v>
      </c>
      <c r="U20" s="94" t="s">
        <v>1215</v>
      </c>
      <c r="V20" s="125"/>
      <c r="W20" s="125"/>
      <c r="X20" s="125"/>
      <c r="Y20" s="125"/>
      <c r="Z20" s="125"/>
      <c r="AA20" s="125"/>
      <c r="AB20" s="125"/>
      <c r="AC20" s="125"/>
      <c r="AD20" s="125"/>
      <c r="AE20" s="125"/>
      <c r="AF20" s="125"/>
      <c r="AG20" s="125"/>
      <c r="AH20" s="125"/>
      <c r="AI20" s="125"/>
      <c r="AJ20" s="125"/>
      <c r="AK20" s="125"/>
      <c r="AL20" s="125"/>
      <c r="AM20" s="125"/>
      <c r="AN20" s="125"/>
      <c r="AO20" s="125"/>
      <c r="AP20" s="125"/>
      <c r="AQ20" s="125"/>
      <c r="AR20" s="125"/>
      <c r="AS20" s="125"/>
      <c r="AT20" s="125"/>
      <c r="AU20" s="125"/>
      <c r="AV20" s="125"/>
      <c r="AW20" s="125"/>
      <c r="AX20" s="125"/>
      <c r="AY20" s="125"/>
      <c r="AZ20" s="125"/>
      <c r="BA20" s="125"/>
      <c r="BB20" s="125"/>
      <c r="BC20" s="125"/>
      <c r="BD20" s="125"/>
      <c r="BE20" s="125"/>
      <c r="BF20" s="125"/>
      <c r="BG20" s="125"/>
      <c r="BH20" s="125"/>
    </row>
    <row r="21" spans="1:60" s="124" customFormat="1" ht="409.5">
      <c r="A21" s="127"/>
      <c r="B21" s="92" t="s">
        <v>447</v>
      </c>
      <c r="C21" s="100" t="s">
        <v>555</v>
      </c>
      <c r="D21" s="100" t="s">
        <v>1167</v>
      </c>
      <c r="E21" s="100" t="s">
        <v>1166</v>
      </c>
      <c r="F21" s="100" t="s">
        <v>1165</v>
      </c>
      <c r="G21" s="100" t="s">
        <v>1214</v>
      </c>
      <c r="H21" s="96" t="s">
        <v>162</v>
      </c>
      <c r="I21" s="96"/>
      <c r="J21" s="96" t="s">
        <v>160</v>
      </c>
      <c r="K21" s="96" t="s">
        <v>149</v>
      </c>
      <c r="L21" s="99">
        <v>40800</v>
      </c>
      <c r="M21" s="98">
        <v>24</v>
      </c>
      <c r="N21" s="96" t="s">
        <v>934</v>
      </c>
      <c r="O21" s="97"/>
      <c r="P21" s="97" t="s">
        <v>472</v>
      </c>
      <c r="Q21" s="96">
        <v>24</v>
      </c>
      <c r="R21" s="96"/>
      <c r="S21" s="96" t="s">
        <v>1213</v>
      </c>
      <c r="T21" s="95">
        <v>1700</v>
      </c>
      <c r="U21" s="94" t="s">
        <v>1212</v>
      </c>
      <c r="V21" s="125"/>
      <c r="W21" s="125"/>
      <c r="X21" s="125"/>
      <c r="Y21" s="125"/>
      <c r="Z21" s="125"/>
      <c r="AA21" s="125"/>
      <c r="AB21" s="125"/>
      <c r="AC21" s="125"/>
      <c r="AD21" s="125"/>
      <c r="AE21" s="125"/>
      <c r="AF21" s="125"/>
      <c r="AG21" s="125"/>
      <c r="AH21" s="125"/>
      <c r="AI21" s="125"/>
      <c r="AJ21" s="125"/>
      <c r="AK21" s="125"/>
      <c r="AL21" s="125"/>
      <c r="AM21" s="125"/>
      <c r="AN21" s="125"/>
      <c r="AO21" s="125"/>
      <c r="AP21" s="125"/>
      <c r="AQ21" s="125"/>
      <c r="AR21" s="125"/>
      <c r="AS21" s="125"/>
      <c r="AT21" s="125"/>
      <c r="AU21" s="125"/>
      <c r="AV21" s="125"/>
      <c r="AW21" s="125"/>
      <c r="AX21" s="125"/>
      <c r="AY21" s="125"/>
      <c r="AZ21" s="125"/>
      <c r="BA21" s="125"/>
      <c r="BB21" s="125"/>
      <c r="BC21" s="125"/>
      <c r="BD21" s="125"/>
      <c r="BE21" s="125"/>
      <c r="BF21" s="125"/>
      <c r="BG21" s="125"/>
      <c r="BH21" s="125"/>
    </row>
    <row r="22" spans="1:60" s="124" customFormat="1" ht="162.75">
      <c r="A22" s="127"/>
      <c r="B22" s="92" t="s">
        <v>447</v>
      </c>
      <c r="C22" s="100" t="s">
        <v>555</v>
      </c>
      <c r="D22" s="100" t="s">
        <v>1167</v>
      </c>
      <c r="E22" s="100" t="s">
        <v>1166</v>
      </c>
      <c r="F22" s="100" t="s">
        <v>1165</v>
      </c>
      <c r="G22" s="100" t="s">
        <v>1211</v>
      </c>
      <c r="H22" s="96" t="s">
        <v>162</v>
      </c>
      <c r="I22" s="96"/>
      <c r="J22" s="96" t="s">
        <v>160</v>
      </c>
      <c r="K22" s="96" t="s">
        <v>149</v>
      </c>
      <c r="L22" s="99">
        <v>34200</v>
      </c>
      <c r="M22" s="98">
        <v>18</v>
      </c>
      <c r="N22" s="96" t="s">
        <v>553</v>
      </c>
      <c r="O22" s="97"/>
      <c r="P22" s="97" t="s">
        <v>472</v>
      </c>
      <c r="Q22" s="107"/>
      <c r="R22" s="96">
        <v>18</v>
      </c>
      <c r="S22" s="96"/>
      <c r="T22" s="95">
        <v>1900</v>
      </c>
      <c r="U22" s="94" t="s">
        <v>1210</v>
      </c>
      <c r="V22" s="125"/>
      <c r="W22" s="125"/>
      <c r="X22" s="125"/>
      <c r="Y22" s="125"/>
      <c r="Z22" s="125"/>
      <c r="AA22" s="125"/>
      <c r="AB22" s="125"/>
      <c r="AC22" s="125"/>
      <c r="AD22" s="125"/>
      <c r="AE22" s="125"/>
      <c r="AF22" s="125"/>
      <c r="AG22" s="125"/>
      <c r="AH22" s="125"/>
      <c r="AI22" s="125"/>
      <c r="AJ22" s="125"/>
      <c r="AK22" s="125"/>
      <c r="AL22" s="125"/>
      <c r="AM22" s="125"/>
      <c r="AN22" s="125"/>
      <c r="AO22" s="125"/>
      <c r="AP22" s="125"/>
      <c r="AQ22" s="125"/>
      <c r="AR22" s="125"/>
      <c r="AS22" s="125"/>
      <c r="AT22" s="125"/>
      <c r="AU22" s="125"/>
      <c r="AV22" s="125"/>
      <c r="AW22" s="125"/>
      <c r="AX22" s="125"/>
      <c r="AY22" s="125"/>
      <c r="AZ22" s="125"/>
      <c r="BA22" s="125"/>
      <c r="BB22" s="125"/>
      <c r="BC22" s="125"/>
      <c r="BD22" s="125"/>
      <c r="BE22" s="125"/>
      <c r="BF22" s="125"/>
      <c r="BG22" s="125"/>
      <c r="BH22" s="125"/>
    </row>
    <row r="23" spans="1:60" s="124" customFormat="1" ht="162.75">
      <c r="A23" s="127"/>
      <c r="B23" s="92" t="s">
        <v>447</v>
      </c>
      <c r="C23" s="100" t="s">
        <v>555</v>
      </c>
      <c r="D23" s="100" t="s">
        <v>1167</v>
      </c>
      <c r="E23" s="100" t="s">
        <v>1166</v>
      </c>
      <c r="F23" s="100" t="s">
        <v>1165</v>
      </c>
      <c r="G23" s="100" t="s">
        <v>1209</v>
      </c>
      <c r="H23" s="96" t="s">
        <v>162</v>
      </c>
      <c r="I23" s="96"/>
      <c r="J23" s="96" t="s">
        <v>160</v>
      </c>
      <c r="K23" s="96" t="s">
        <v>149</v>
      </c>
      <c r="L23" s="99">
        <v>24000</v>
      </c>
      <c r="M23" s="98">
        <v>1</v>
      </c>
      <c r="N23" s="96" t="s">
        <v>596</v>
      </c>
      <c r="O23" s="97"/>
      <c r="P23" s="97" t="s">
        <v>472</v>
      </c>
      <c r="Q23" s="96">
        <v>1</v>
      </c>
      <c r="R23" s="96"/>
      <c r="S23" s="96" t="s">
        <v>1208</v>
      </c>
      <c r="T23" s="95">
        <v>24000</v>
      </c>
      <c r="U23" s="94" t="s">
        <v>1207</v>
      </c>
      <c r="V23" s="125"/>
      <c r="W23" s="125"/>
      <c r="X23" s="125"/>
      <c r="Y23" s="125"/>
      <c r="Z23" s="125"/>
      <c r="AA23" s="125"/>
      <c r="AB23" s="125"/>
      <c r="AC23" s="125"/>
      <c r="AD23" s="125"/>
      <c r="AE23" s="125"/>
      <c r="AF23" s="125"/>
      <c r="AG23" s="125"/>
      <c r="AH23" s="125"/>
      <c r="AI23" s="125"/>
      <c r="AJ23" s="125"/>
      <c r="AK23" s="125"/>
      <c r="AL23" s="125"/>
      <c r="AM23" s="125"/>
      <c r="AN23" s="125"/>
      <c r="AO23" s="125"/>
      <c r="AP23" s="125"/>
      <c r="AQ23" s="125"/>
      <c r="AR23" s="125"/>
      <c r="AS23" s="125"/>
      <c r="AT23" s="125"/>
      <c r="AU23" s="125"/>
      <c r="AV23" s="125"/>
      <c r="AW23" s="125"/>
      <c r="AX23" s="125"/>
      <c r="AY23" s="125"/>
      <c r="AZ23" s="125"/>
      <c r="BA23" s="125"/>
      <c r="BB23" s="125"/>
      <c r="BC23" s="125"/>
      <c r="BD23" s="125"/>
      <c r="BE23" s="125"/>
      <c r="BF23" s="125"/>
      <c r="BG23" s="125"/>
      <c r="BH23" s="125"/>
    </row>
    <row r="24" spans="1:60" s="136" customFormat="1" ht="189">
      <c r="A24" s="127"/>
      <c r="B24" s="110" t="s">
        <v>447</v>
      </c>
      <c r="C24" s="118" t="s">
        <v>527</v>
      </c>
      <c r="D24" s="118" t="s">
        <v>1167</v>
      </c>
      <c r="E24" s="118" t="s">
        <v>1166</v>
      </c>
      <c r="F24" s="118" t="s">
        <v>1165</v>
      </c>
      <c r="G24" s="118" t="s">
        <v>526</v>
      </c>
      <c r="H24" s="113" t="s">
        <v>162</v>
      </c>
      <c r="I24" s="113"/>
      <c r="J24" s="113" t="s">
        <v>160</v>
      </c>
      <c r="K24" s="113" t="s">
        <v>149</v>
      </c>
      <c r="L24" s="117">
        <v>1450000</v>
      </c>
      <c r="M24" s="116">
        <v>1</v>
      </c>
      <c r="N24" s="113" t="s">
        <v>533</v>
      </c>
      <c r="O24" s="114"/>
      <c r="P24" s="114" t="s">
        <v>472</v>
      </c>
      <c r="Q24" s="113">
        <v>1</v>
      </c>
      <c r="R24" s="113"/>
      <c r="S24" s="113" t="s">
        <v>1206</v>
      </c>
      <c r="T24" s="112" t="s">
        <v>1205</v>
      </c>
      <c r="U24" s="111" t="s">
        <v>1204</v>
      </c>
      <c r="V24" s="137"/>
      <c r="W24" s="137"/>
      <c r="X24" s="137"/>
      <c r="Y24" s="137"/>
      <c r="Z24" s="137"/>
      <c r="AA24" s="137"/>
      <c r="AB24" s="137"/>
      <c r="AC24" s="137"/>
      <c r="AD24" s="137"/>
      <c r="AE24" s="137"/>
      <c r="AF24" s="137"/>
      <c r="AG24" s="137"/>
      <c r="AH24" s="137"/>
      <c r="AI24" s="137"/>
      <c r="AJ24" s="137"/>
      <c r="AK24" s="137"/>
      <c r="AL24" s="137"/>
      <c r="AM24" s="137"/>
      <c r="AN24" s="137"/>
      <c r="AO24" s="137"/>
      <c r="AP24" s="137"/>
      <c r="AQ24" s="137"/>
      <c r="AR24" s="137"/>
      <c r="AS24" s="137"/>
      <c r="AT24" s="137"/>
      <c r="AU24" s="137"/>
      <c r="AV24" s="137"/>
      <c r="AW24" s="137"/>
      <c r="AX24" s="137"/>
      <c r="AY24" s="137"/>
      <c r="AZ24" s="137"/>
      <c r="BA24" s="137"/>
      <c r="BB24" s="137"/>
      <c r="BC24" s="137"/>
      <c r="BD24" s="137"/>
      <c r="BE24" s="137"/>
      <c r="BF24" s="137"/>
      <c r="BG24" s="137"/>
      <c r="BH24" s="137"/>
    </row>
    <row r="25" spans="1:60" s="124" customFormat="1" ht="162.75">
      <c r="A25" s="127"/>
      <c r="B25" s="92" t="s">
        <v>447</v>
      </c>
      <c r="C25" s="100" t="s">
        <v>538</v>
      </c>
      <c r="D25" s="100" t="s">
        <v>1167</v>
      </c>
      <c r="E25" s="100" t="s">
        <v>1166</v>
      </c>
      <c r="F25" s="100" t="s">
        <v>1165</v>
      </c>
      <c r="G25" s="100" t="s">
        <v>1203</v>
      </c>
      <c r="H25" s="96" t="s">
        <v>162</v>
      </c>
      <c r="I25" s="96"/>
      <c r="J25" s="96" t="s">
        <v>160</v>
      </c>
      <c r="K25" s="96" t="s">
        <v>149</v>
      </c>
      <c r="L25" s="99">
        <v>26000</v>
      </c>
      <c r="M25" s="98">
        <v>1</v>
      </c>
      <c r="N25" s="96" t="s">
        <v>561</v>
      </c>
      <c r="O25" s="96"/>
      <c r="P25" s="97" t="s">
        <v>472</v>
      </c>
      <c r="Q25" s="96">
        <v>1</v>
      </c>
      <c r="R25" s="96"/>
      <c r="S25" s="96" t="s">
        <v>1202</v>
      </c>
      <c r="T25" s="95" t="s">
        <v>1201</v>
      </c>
      <c r="U25" s="94" t="s">
        <v>1200</v>
      </c>
      <c r="V25" s="125"/>
      <c r="W25" s="125"/>
      <c r="X25" s="125"/>
      <c r="Y25" s="125"/>
      <c r="Z25" s="125"/>
      <c r="AA25" s="125"/>
      <c r="AB25" s="125"/>
      <c r="AC25" s="125"/>
      <c r="AD25" s="125"/>
      <c r="AE25" s="125"/>
      <c r="AF25" s="125"/>
      <c r="AG25" s="125"/>
      <c r="AH25" s="125"/>
      <c r="AI25" s="125"/>
      <c r="AJ25" s="125"/>
      <c r="AK25" s="125"/>
      <c r="AL25" s="125"/>
      <c r="AM25" s="125"/>
      <c r="AN25" s="125"/>
      <c r="AO25" s="125"/>
      <c r="AP25" s="125"/>
      <c r="AQ25" s="125"/>
      <c r="AR25" s="125"/>
      <c r="AS25" s="125"/>
      <c r="AT25" s="125"/>
      <c r="AU25" s="125"/>
      <c r="AV25" s="125"/>
      <c r="AW25" s="125"/>
      <c r="AX25" s="125"/>
      <c r="AY25" s="125"/>
      <c r="AZ25" s="125"/>
      <c r="BA25" s="125"/>
      <c r="BB25" s="125"/>
      <c r="BC25" s="125"/>
      <c r="BD25" s="125"/>
      <c r="BE25" s="125"/>
      <c r="BF25" s="125"/>
      <c r="BG25" s="125"/>
      <c r="BH25" s="125"/>
    </row>
    <row r="26" spans="1:60" s="136" customFormat="1" ht="294">
      <c r="A26" s="127"/>
      <c r="B26" s="110" t="s">
        <v>447</v>
      </c>
      <c r="C26" s="118" t="s">
        <v>527</v>
      </c>
      <c r="D26" s="118" t="s">
        <v>1167</v>
      </c>
      <c r="E26" s="118" t="s">
        <v>1166</v>
      </c>
      <c r="F26" s="118" t="s">
        <v>1165</v>
      </c>
      <c r="G26" s="171" t="s">
        <v>1199</v>
      </c>
      <c r="H26" s="113" t="s">
        <v>408</v>
      </c>
      <c r="I26" s="113"/>
      <c r="J26" s="113" t="s">
        <v>166</v>
      </c>
      <c r="K26" s="113" t="s">
        <v>149</v>
      </c>
      <c r="L26" s="121">
        <v>1172000</v>
      </c>
      <c r="M26" s="116">
        <v>1</v>
      </c>
      <c r="N26" s="113" t="s">
        <v>533</v>
      </c>
      <c r="O26" s="114" t="s">
        <v>472</v>
      </c>
      <c r="P26" s="114"/>
      <c r="Q26" s="113">
        <v>1</v>
      </c>
      <c r="R26" s="113"/>
      <c r="S26" s="113" t="s">
        <v>1198</v>
      </c>
      <c r="T26" s="120">
        <v>1172000</v>
      </c>
      <c r="U26" s="111" t="s">
        <v>1197</v>
      </c>
      <c r="V26" s="137"/>
      <c r="W26" s="137"/>
      <c r="X26" s="137"/>
      <c r="Y26" s="137"/>
      <c r="Z26" s="137"/>
      <c r="AA26" s="137"/>
      <c r="AB26" s="137"/>
      <c r="AC26" s="137"/>
      <c r="AD26" s="137"/>
      <c r="AE26" s="137"/>
      <c r="AF26" s="137"/>
      <c r="AG26" s="137"/>
      <c r="AH26" s="137"/>
      <c r="AI26" s="137"/>
      <c r="AJ26" s="137"/>
      <c r="AK26" s="137"/>
      <c r="AL26" s="137"/>
      <c r="AM26" s="137"/>
      <c r="AN26" s="137"/>
      <c r="AO26" s="137"/>
      <c r="AP26" s="137"/>
      <c r="AQ26" s="137"/>
      <c r="AR26" s="137"/>
      <c r="AS26" s="137"/>
      <c r="AT26" s="137"/>
      <c r="AU26" s="137"/>
      <c r="AV26" s="137"/>
      <c r="AW26" s="137"/>
      <c r="AX26" s="137"/>
      <c r="AY26" s="137"/>
      <c r="AZ26" s="137"/>
      <c r="BA26" s="137"/>
      <c r="BB26" s="137"/>
      <c r="BC26" s="137"/>
      <c r="BD26" s="137"/>
      <c r="BE26" s="137"/>
      <c r="BF26" s="137"/>
      <c r="BG26" s="137"/>
      <c r="BH26" s="137"/>
    </row>
    <row r="27" spans="1:60" s="124" customFormat="1" ht="162.75">
      <c r="A27" s="127"/>
      <c r="B27" s="92" t="s">
        <v>447</v>
      </c>
      <c r="C27" s="100" t="s">
        <v>615</v>
      </c>
      <c r="D27" s="100" t="s">
        <v>1167</v>
      </c>
      <c r="E27" s="100" t="s">
        <v>1166</v>
      </c>
      <c r="F27" s="100" t="s">
        <v>1165</v>
      </c>
      <c r="G27" s="100" t="s">
        <v>1196</v>
      </c>
      <c r="H27" s="96" t="s">
        <v>408</v>
      </c>
      <c r="I27" s="96"/>
      <c r="J27" s="96" t="s">
        <v>166</v>
      </c>
      <c r="K27" s="96" t="s">
        <v>149</v>
      </c>
      <c r="L27" s="99">
        <v>3200</v>
      </c>
      <c r="M27" s="98">
        <v>1</v>
      </c>
      <c r="N27" s="96" t="s">
        <v>558</v>
      </c>
      <c r="O27" s="96"/>
      <c r="P27" s="97" t="s">
        <v>472</v>
      </c>
      <c r="Q27" s="107"/>
      <c r="R27" s="96">
        <v>1</v>
      </c>
      <c r="S27" s="96"/>
      <c r="T27" s="95">
        <v>3200</v>
      </c>
      <c r="U27" s="94" t="s">
        <v>1195</v>
      </c>
      <c r="V27" s="125"/>
      <c r="W27" s="125"/>
      <c r="X27" s="125"/>
      <c r="Y27" s="125"/>
      <c r="Z27" s="125"/>
      <c r="AA27" s="125"/>
      <c r="AB27" s="125"/>
      <c r="AC27" s="125"/>
      <c r="AD27" s="125"/>
      <c r="AE27" s="125"/>
      <c r="AF27" s="125"/>
      <c r="AG27" s="125"/>
      <c r="AH27" s="125"/>
      <c r="AI27" s="125"/>
      <c r="AJ27" s="125"/>
      <c r="AK27" s="125"/>
      <c r="AL27" s="125"/>
      <c r="AM27" s="125"/>
      <c r="AN27" s="125"/>
      <c r="AO27" s="125"/>
      <c r="AP27" s="125"/>
      <c r="AQ27" s="125"/>
      <c r="AR27" s="125"/>
      <c r="AS27" s="125"/>
      <c r="AT27" s="125"/>
      <c r="AU27" s="125"/>
      <c r="AV27" s="125"/>
      <c r="AW27" s="125"/>
      <c r="AX27" s="125"/>
      <c r="AY27" s="125"/>
      <c r="AZ27" s="125"/>
      <c r="BA27" s="125"/>
      <c r="BB27" s="125"/>
      <c r="BC27" s="125"/>
      <c r="BD27" s="125"/>
      <c r="BE27" s="125"/>
      <c r="BF27" s="125"/>
      <c r="BG27" s="125"/>
      <c r="BH27" s="125"/>
    </row>
    <row r="28" spans="1:60" s="124" customFormat="1" ht="186">
      <c r="A28" s="127"/>
      <c r="B28" s="92" t="s">
        <v>447</v>
      </c>
      <c r="C28" s="100" t="s">
        <v>538</v>
      </c>
      <c r="D28" s="100" t="s">
        <v>1167</v>
      </c>
      <c r="E28" s="100" t="s">
        <v>1166</v>
      </c>
      <c r="F28" s="100" t="s">
        <v>1165</v>
      </c>
      <c r="G28" s="100" t="s">
        <v>1194</v>
      </c>
      <c r="H28" s="96" t="s">
        <v>207</v>
      </c>
      <c r="I28" s="96"/>
      <c r="J28" s="96" t="s">
        <v>205</v>
      </c>
      <c r="K28" s="96" t="s">
        <v>63</v>
      </c>
      <c r="L28" s="99">
        <v>53500</v>
      </c>
      <c r="M28" s="98">
        <v>1</v>
      </c>
      <c r="N28" s="96" t="s">
        <v>558</v>
      </c>
      <c r="O28" s="96"/>
      <c r="P28" s="97" t="s">
        <v>472</v>
      </c>
      <c r="Q28" s="107"/>
      <c r="R28" s="96">
        <v>1</v>
      </c>
      <c r="S28" s="96"/>
      <c r="T28" s="95">
        <v>53500</v>
      </c>
      <c r="U28" s="94" t="s">
        <v>1193</v>
      </c>
      <c r="V28" s="125"/>
      <c r="W28" s="125"/>
      <c r="X28" s="125"/>
      <c r="Y28" s="125"/>
      <c r="Z28" s="125"/>
      <c r="AA28" s="125"/>
      <c r="AB28" s="125"/>
      <c r="AC28" s="125"/>
      <c r="AD28" s="125"/>
      <c r="AE28" s="125"/>
      <c r="AF28" s="125"/>
      <c r="AG28" s="125"/>
      <c r="AH28" s="125"/>
      <c r="AI28" s="125"/>
      <c r="AJ28" s="125"/>
      <c r="AK28" s="125"/>
      <c r="AL28" s="125"/>
      <c r="AM28" s="125"/>
      <c r="AN28" s="125"/>
      <c r="AO28" s="125"/>
      <c r="AP28" s="125"/>
      <c r="AQ28" s="125"/>
      <c r="AR28" s="125"/>
      <c r="AS28" s="125"/>
      <c r="AT28" s="125"/>
      <c r="AU28" s="125"/>
      <c r="AV28" s="125"/>
      <c r="AW28" s="125"/>
      <c r="AX28" s="125"/>
      <c r="AY28" s="125"/>
      <c r="AZ28" s="125"/>
      <c r="BA28" s="125"/>
      <c r="BB28" s="125"/>
      <c r="BC28" s="125"/>
      <c r="BD28" s="125"/>
      <c r="BE28" s="125"/>
      <c r="BF28" s="125"/>
      <c r="BG28" s="125"/>
      <c r="BH28" s="125"/>
    </row>
    <row r="29" spans="1:60" s="124" customFormat="1" ht="162.75">
      <c r="A29" s="127"/>
      <c r="B29" s="92" t="s">
        <v>447</v>
      </c>
      <c r="C29" s="100" t="s">
        <v>555</v>
      </c>
      <c r="D29" s="100" t="s">
        <v>1167</v>
      </c>
      <c r="E29" s="100" t="s">
        <v>1166</v>
      </c>
      <c r="F29" s="100" t="s">
        <v>1165</v>
      </c>
      <c r="G29" s="100" t="s">
        <v>1192</v>
      </c>
      <c r="H29" s="96" t="s">
        <v>207</v>
      </c>
      <c r="I29" s="96"/>
      <c r="J29" s="96" t="s">
        <v>205</v>
      </c>
      <c r="K29" s="96" t="s">
        <v>63</v>
      </c>
      <c r="L29" s="99">
        <v>498000</v>
      </c>
      <c r="M29" s="98">
        <v>200</v>
      </c>
      <c r="N29" s="96" t="s">
        <v>561</v>
      </c>
      <c r="O29" s="96"/>
      <c r="P29" s="97" t="s">
        <v>472</v>
      </c>
      <c r="Q29" s="107"/>
      <c r="R29" s="96">
        <v>200</v>
      </c>
      <c r="S29" s="96"/>
      <c r="T29" s="95">
        <v>2490</v>
      </c>
      <c r="U29" s="94" t="s">
        <v>1191</v>
      </c>
      <c r="V29" s="125"/>
      <c r="W29" s="125"/>
      <c r="X29" s="125"/>
      <c r="Y29" s="125"/>
      <c r="Z29" s="125"/>
      <c r="AA29" s="125"/>
      <c r="AB29" s="125"/>
      <c r="AC29" s="125"/>
      <c r="AD29" s="125"/>
      <c r="AE29" s="125"/>
      <c r="AF29" s="125"/>
      <c r="AG29" s="125"/>
      <c r="AH29" s="125"/>
      <c r="AI29" s="125"/>
      <c r="AJ29" s="125"/>
      <c r="AK29" s="125"/>
      <c r="AL29" s="125"/>
      <c r="AM29" s="125"/>
      <c r="AN29" s="125"/>
      <c r="AO29" s="125"/>
      <c r="AP29" s="125"/>
      <c r="AQ29" s="125"/>
      <c r="AR29" s="125"/>
      <c r="AS29" s="125"/>
      <c r="AT29" s="125"/>
      <c r="AU29" s="125"/>
      <c r="AV29" s="125"/>
      <c r="AW29" s="125"/>
      <c r="AX29" s="125"/>
      <c r="AY29" s="125"/>
      <c r="AZ29" s="125"/>
      <c r="BA29" s="125"/>
      <c r="BB29" s="125"/>
      <c r="BC29" s="125"/>
      <c r="BD29" s="125"/>
      <c r="BE29" s="125"/>
      <c r="BF29" s="125"/>
      <c r="BG29" s="125"/>
      <c r="BH29" s="125"/>
    </row>
    <row r="30" spans="1:60" s="124" customFormat="1" ht="209.25">
      <c r="A30" s="127"/>
      <c r="B30" s="92" t="s">
        <v>447</v>
      </c>
      <c r="C30" s="100" t="s">
        <v>555</v>
      </c>
      <c r="D30" s="100" t="s">
        <v>1167</v>
      </c>
      <c r="E30" s="100" t="s">
        <v>1166</v>
      </c>
      <c r="F30" s="100" t="s">
        <v>1165</v>
      </c>
      <c r="G30" s="100" t="s">
        <v>1190</v>
      </c>
      <c r="H30" s="96" t="s">
        <v>207</v>
      </c>
      <c r="I30" s="96"/>
      <c r="J30" s="96" t="s">
        <v>205</v>
      </c>
      <c r="K30" s="96" t="s">
        <v>63</v>
      </c>
      <c r="L30" s="99">
        <v>63000</v>
      </c>
      <c r="M30" s="98">
        <v>1</v>
      </c>
      <c r="N30" s="96" t="s">
        <v>558</v>
      </c>
      <c r="O30" s="97" t="s">
        <v>472</v>
      </c>
      <c r="P30" s="97"/>
      <c r="Q30" s="107"/>
      <c r="R30" s="96">
        <v>1</v>
      </c>
      <c r="S30" s="96"/>
      <c r="T30" s="95">
        <v>63000</v>
      </c>
      <c r="U30" s="94" t="s">
        <v>1189</v>
      </c>
      <c r="V30" s="125"/>
      <c r="W30" s="125"/>
      <c r="X30" s="125"/>
      <c r="Y30" s="125"/>
      <c r="Z30" s="125"/>
      <c r="AA30" s="125"/>
      <c r="AB30" s="125"/>
      <c r="AC30" s="125"/>
      <c r="AD30" s="125"/>
      <c r="AE30" s="125"/>
      <c r="AF30" s="125"/>
      <c r="AG30" s="125"/>
      <c r="AH30" s="125"/>
      <c r="AI30" s="125"/>
      <c r="AJ30" s="125"/>
      <c r="AK30" s="125"/>
      <c r="AL30" s="125"/>
      <c r="AM30" s="125"/>
      <c r="AN30" s="125"/>
      <c r="AO30" s="125"/>
      <c r="AP30" s="125"/>
      <c r="AQ30" s="125"/>
      <c r="AR30" s="125"/>
      <c r="AS30" s="125"/>
      <c r="AT30" s="125"/>
      <c r="AU30" s="125"/>
      <c r="AV30" s="125"/>
      <c r="AW30" s="125"/>
      <c r="AX30" s="125"/>
      <c r="AY30" s="125"/>
      <c r="AZ30" s="125"/>
      <c r="BA30" s="125"/>
      <c r="BB30" s="125"/>
      <c r="BC30" s="125"/>
      <c r="BD30" s="125"/>
      <c r="BE30" s="125"/>
      <c r="BF30" s="125"/>
      <c r="BG30" s="125"/>
      <c r="BH30" s="125"/>
    </row>
    <row r="31" spans="1:60" s="124" customFormat="1" ht="162.75">
      <c r="A31" s="127"/>
      <c r="B31" s="92" t="s">
        <v>447</v>
      </c>
      <c r="C31" s="100" t="s">
        <v>538</v>
      </c>
      <c r="D31" s="100" t="s">
        <v>1167</v>
      </c>
      <c r="E31" s="100" t="s">
        <v>1166</v>
      </c>
      <c r="F31" s="100" t="s">
        <v>1165</v>
      </c>
      <c r="G31" s="100" t="s">
        <v>1188</v>
      </c>
      <c r="H31" s="96" t="s">
        <v>1178</v>
      </c>
      <c r="I31" s="96"/>
      <c r="J31" s="96" t="s">
        <v>46</v>
      </c>
      <c r="K31" s="96" t="s">
        <v>40</v>
      </c>
      <c r="L31" s="99">
        <v>165000</v>
      </c>
      <c r="M31" s="98">
        <v>1</v>
      </c>
      <c r="N31" s="96" t="s">
        <v>596</v>
      </c>
      <c r="O31" s="96"/>
      <c r="P31" s="97" t="s">
        <v>472</v>
      </c>
      <c r="Q31" s="107"/>
      <c r="R31" s="96">
        <v>1</v>
      </c>
      <c r="S31" s="96"/>
      <c r="T31" s="95">
        <v>165000</v>
      </c>
      <c r="U31" s="94" t="s">
        <v>1187</v>
      </c>
      <c r="V31" s="125"/>
      <c r="W31" s="125"/>
      <c r="X31" s="125"/>
      <c r="Y31" s="125"/>
      <c r="Z31" s="125"/>
      <c r="AA31" s="125"/>
      <c r="AB31" s="125"/>
      <c r="AC31" s="125"/>
      <c r="AD31" s="125"/>
      <c r="AE31" s="125"/>
      <c r="AF31" s="125"/>
      <c r="AG31" s="125"/>
      <c r="AH31" s="125"/>
      <c r="AI31" s="125"/>
      <c r="AJ31" s="125"/>
      <c r="AK31" s="125"/>
      <c r="AL31" s="125"/>
      <c r="AM31" s="125"/>
      <c r="AN31" s="125"/>
      <c r="AO31" s="125"/>
      <c r="AP31" s="125"/>
      <c r="AQ31" s="125"/>
      <c r="AR31" s="125"/>
      <c r="AS31" s="125"/>
      <c r="AT31" s="125"/>
      <c r="AU31" s="125"/>
      <c r="AV31" s="125"/>
      <c r="AW31" s="125"/>
      <c r="AX31" s="125"/>
      <c r="AY31" s="125"/>
      <c r="AZ31" s="125"/>
      <c r="BA31" s="125"/>
      <c r="BB31" s="125"/>
      <c r="BC31" s="125"/>
      <c r="BD31" s="125"/>
      <c r="BE31" s="125"/>
      <c r="BF31" s="125"/>
      <c r="BG31" s="125"/>
      <c r="BH31" s="125"/>
    </row>
    <row r="32" spans="1:60" s="124" customFormat="1" ht="186">
      <c r="A32" s="127"/>
      <c r="B32" s="92" t="s">
        <v>447</v>
      </c>
      <c r="C32" s="100" t="s">
        <v>615</v>
      </c>
      <c r="D32" s="100" t="s">
        <v>1167</v>
      </c>
      <c r="E32" s="100" t="s">
        <v>1166</v>
      </c>
      <c r="F32" s="100" t="s">
        <v>1165</v>
      </c>
      <c r="G32" s="100" t="s">
        <v>1186</v>
      </c>
      <c r="H32" s="96" t="s">
        <v>1178</v>
      </c>
      <c r="I32" s="96"/>
      <c r="J32" s="96" t="s">
        <v>46</v>
      </c>
      <c r="K32" s="96" t="s">
        <v>40</v>
      </c>
      <c r="L32" s="99">
        <v>38000</v>
      </c>
      <c r="M32" s="98">
        <v>1</v>
      </c>
      <c r="N32" s="98" t="s">
        <v>558</v>
      </c>
      <c r="O32" s="97" t="s">
        <v>472</v>
      </c>
      <c r="P32" s="97"/>
      <c r="Q32" s="98">
        <v>1</v>
      </c>
      <c r="R32" s="98"/>
      <c r="S32" s="96" t="s">
        <v>1185</v>
      </c>
      <c r="T32" s="95">
        <v>38000</v>
      </c>
      <c r="U32" s="94" t="s">
        <v>1184</v>
      </c>
      <c r="V32" s="125"/>
      <c r="W32" s="125"/>
      <c r="X32" s="125"/>
      <c r="Y32" s="125"/>
      <c r="Z32" s="125"/>
      <c r="AA32" s="125"/>
      <c r="AB32" s="125"/>
      <c r="AC32" s="125"/>
      <c r="AD32" s="125"/>
      <c r="AE32" s="125"/>
      <c r="AF32" s="125"/>
      <c r="AG32" s="125"/>
      <c r="AH32" s="125"/>
      <c r="AI32" s="125"/>
      <c r="AJ32" s="125"/>
      <c r="AK32" s="125"/>
      <c r="AL32" s="125"/>
      <c r="AM32" s="125"/>
      <c r="AN32" s="125"/>
      <c r="AO32" s="125"/>
      <c r="AP32" s="125"/>
      <c r="AQ32" s="125"/>
      <c r="AR32" s="125"/>
      <c r="AS32" s="125"/>
      <c r="AT32" s="125"/>
      <c r="AU32" s="125"/>
      <c r="AV32" s="125"/>
      <c r="AW32" s="125"/>
      <c r="AX32" s="125"/>
      <c r="AY32" s="125"/>
      <c r="AZ32" s="125"/>
      <c r="BA32" s="125"/>
      <c r="BB32" s="125"/>
      <c r="BC32" s="125"/>
      <c r="BD32" s="125"/>
      <c r="BE32" s="125"/>
      <c r="BF32" s="125"/>
      <c r="BG32" s="125"/>
      <c r="BH32" s="125"/>
    </row>
    <row r="33" spans="1:60" s="124" customFormat="1" ht="209.25">
      <c r="A33" s="127"/>
      <c r="B33" s="92" t="s">
        <v>447</v>
      </c>
      <c r="C33" s="100" t="s">
        <v>538</v>
      </c>
      <c r="D33" s="100" t="s">
        <v>1167</v>
      </c>
      <c r="E33" s="100" t="s">
        <v>1166</v>
      </c>
      <c r="F33" s="100" t="s">
        <v>1165</v>
      </c>
      <c r="G33" s="100" t="s">
        <v>1183</v>
      </c>
      <c r="H33" s="96" t="s">
        <v>1178</v>
      </c>
      <c r="I33" s="96"/>
      <c r="J33" s="96" t="s">
        <v>46</v>
      </c>
      <c r="K33" s="96" t="s">
        <v>40</v>
      </c>
      <c r="L33" s="99">
        <v>57950</v>
      </c>
      <c r="M33" s="98">
        <v>5</v>
      </c>
      <c r="N33" s="96" t="s">
        <v>558</v>
      </c>
      <c r="O33" s="96"/>
      <c r="P33" s="97" t="s">
        <v>472</v>
      </c>
      <c r="Q33" s="107"/>
      <c r="R33" s="96">
        <v>5</v>
      </c>
      <c r="S33" s="96"/>
      <c r="T33" s="95">
        <v>11590</v>
      </c>
      <c r="U33" s="94" t="s">
        <v>1182</v>
      </c>
      <c r="V33" s="125"/>
      <c r="W33" s="125"/>
      <c r="X33" s="125"/>
      <c r="Y33" s="125"/>
      <c r="Z33" s="125"/>
      <c r="AA33" s="125"/>
      <c r="AB33" s="125"/>
      <c r="AC33" s="125"/>
      <c r="AD33" s="125"/>
      <c r="AE33" s="125"/>
      <c r="AF33" s="125"/>
      <c r="AG33" s="125"/>
      <c r="AH33" s="125"/>
      <c r="AI33" s="125"/>
      <c r="AJ33" s="125"/>
      <c r="AK33" s="125"/>
      <c r="AL33" s="125"/>
      <c r="AM33" s="125"/>
      <c r="AN33" s="125"/>
      <c r="AO33" s="125"/>
      <c r="AP33" s="125"/>
      <c r="AQ33" s="125"/>
      <c r="AR33" s="125"/>
      <c r="AS33" s="125"/>
      <c r="AT33" s="125"/>
      <c r="AU33" s="125"/>
      <c r="AV33" s="125"/>
      <c r="AW33" s="125"/>
      <c r="AX33" s="125"/>
      <c r="AY33" s="125"/>
      <c r="AZ33" s="125"/>
      <c r="BA33" s="125"/>
      <c r="BB33" s="125"/>
      <c r="BC33" s="125"/>
      <c r="BD33" s="125"/>
      <c r="BE33" s="125"/>
      <c r="BF33" s="125"/>
      <c r="BG33" s="125"/>
      <c r="BH33" s="125"/>
    </row>
    <row r="34" spans="1:60" s="124" customFormat="1" ht="209.25">
      <c r="A34" s="127"/>
      <c r="B34" s="92" t="s">
        <v>447</v>
      </c>
      <c r="C34" s="100" t="s">
        <v>555</v>
      </c>
      <c r="D34" s="100" t="s">
        <v>1167</v>
      </c>
      <c r="E34" s="100" t="s">
        <v>1166</v>
      </c>
      <c r="F34" s="100" t="s">
        <v>1165</v>
      </c>
      <c r="G34" s="100" t="s">
        <v>1181</v>
      </c>
      <c r="H34" s="96" t="s">
        <v>1178</v>
      </c>
      <c r="I34" s="96"/>
      <c r="J34" s="96" t="s">
        <v>46</v>
      </c>
      <c r="K34" s="96" t="s">
        <v>40</v>
      </c>
      <c r="L34" s="99">
        <v>37500</v>
      </c>
      <c r="M34" s="98">
        <v>5</v>
      </c>
      <c r="N34" s="96" t="s">
        <v>1180</v>
      </c>
      <c r="O34" s="97" t="s">
        <v>472</v>
      </c>
      <c r="P34" s="97"/>
      <c r="Q34" s="107"/>
      <c r="R34" s="96">
        <v>5</v>
      </c>
      <c r="S34" s="96"/>
      <c r="T34" s="95">
        <v>7500</v>
      </c>
      <c r="U34" s="94" t="s">
        <v>1179</v>
      </c>
      <c r="V34" s="125"/>
      <c r="W34" s="125"/>
      <c r="X34" s="125"/>
      <c r="Y34" s="125"/>
      <c r="Z34" s="125"/>
      <c r="AA34" s="125"/>
      <c r="AB34" s="125"/>
      <c r="AC34" s="125"/>
      <c r="AD34" s="125"/>
      <c r="AE34" s="125"/>
      <c r="AF34" s="125"/>
      <c r="AG34" s="125"/>
      <c r="AH34" s="125"/>
      <c r="AI34" s="125"/>
      <c r="AJ34" s="125"/>
      <c r="AK34" s="125"/>
      <c r="AL34" s="125"/>
      <c r="AM34" s="125"/>
      <c r="AN34" s="125"/>
      <c r="AO34" s="125"/>
      <c r="AP34" s="125"/>
      <c r="AQ34" s="125"/>
      <c r="AR34" s="125"/>
      <c r="AS34" s="125"/>
      <c r="AT34" s="125"/>
      <c r="AU34" s="125"/>
      <c r="AV34" s="125"/>
      <c r="AW34" s="125"/>
      <c r="AX34" s="125"/>
      <c r="AY34" s="125"/>
      <c r="AZ34" s="125"/>
      <c r="BA34" s="125"/>
      <c r="BB34" s="125"/>
      <c r="BC34" s="125"/>
      <c r="BD34" s="125"/>
      <c r="BE34" s="125"/>
      <c r="BF34" s="125"/>
      <c r="BG34" s="125"/>
      <c r="BH34" s="125"/>
    </row>
    <row r="35" spans="1:60" s="124" customFormat="1" ht="162.75">
      <c r="A35" s="127"/>
      <c r="B35" s="92" t="s">
        <v>447</v>
      </c>
      <c r="C35" s="100" t="s">
        <v>538</v>
      </c>
      <c r="D35" s="100" t="s">
        <v>1167</v>
      </c>
      <c r="E35" s="100" t="s">
        <v>1166</v>
      </c>
      <c r="F35" s="100" t="s">
        <v>1165</v>
      </c>
      <c r="G35" s="100" t="s">
        <v>545</v>
      </c>
      <c r="H35" s="96" t="s">
        <v>1178</v>
      </c>
      <c r="I35" s="96"/>
      <c r="J35" s="96" t="s">
        <v>46</v>
      </c>
      <c r="K35" s="96" t="s">
        <v>40</v>
      </c>
      <c r="L35" s="99">
        <v>9500</v>
      </c>
      <c r="M35" s="98">
        <v>1</v>
      </c>
      <c r="N35" s="96" t="s">
        <v>558</v>
      </c>
      <c r="O35" s="97" t="s">
        <v>472</v>
      </c>
      <c r="P35" s="97"/>
      <c r="Q35" s="107"/>
      <c r="R35" s="96">
        <v>1</v>
      </c>
      <c r="S35" s="96"/>
      <c r="T35" s="95">
        <v>9500</v>
      </c>
      <c r="U35" s="94" t="s">
        <v>1177</v>
      </c>
      <c r="V35" s="125"/>
      <c r="W35" s="125"/>
      <c r="X35" s="125"/>
      <c r="Y35" s="125"/>
      <c r="Z35" s="125"/>
      <c r="AA35" s="125"/>
      <c r="AB35" s="125"/>
      <c r="AC35" s="125"/>
      <c r="AD35" s="125"/>
      <c r="AE35" s="125"/>
      <c r="AF35" s="125"/>
      <c r="AG35" s="125"/>
      <c r="AH35" s="125"/>
      <c r="AI35" s="125"/>
      <c r="AJ35" s="125"/>
      <c r="AK35" s="125"/>
      <c r="AL35" s="125"/>
      <c r="AM35" s="125"/>
      <c r="AN35" s="125"/>
      <c r="AO35" s="125"/>
      <c r="AP35" s="125"/>
      <c r="AQ35" s="125"/>
      <c r="AR35" s="125"/>
      <c r="AS35" s="125"/>
      <c r="AT35" s="125"/>
      <c r="AU35" s="125"/>
      <c r="AV35" s="125"/>
      <c r="AW35" s="125"/>
      <c r="AX35" s="125"/>
      <c r="AY35" s="125"/>
      <c r="AZ35" s="125"/>
      <c r="BA35" s="125"/>
      <c r="BB35" s="125"/>
      <c r="BC35" s="125"/>
      <c r="BD35" s="125"/>
      <c r="BE35" s="125"/>
      <c r="BF35" s="125"/>
      <c r="BG35" s="125"/>
      <c r="BH35" s="125"/>
    </row>
    <row r="36" spans="1:60" s="124" customFormat="1" ht="162.75">
      <c r="A36" s="127"/>
      <c r="B36" s="92" t="s">
        <v>447</v>
      </c>
      <c r="C36" s="100" t="s">
        <v>615</v>
      </c>
      <c r="D36" s="100" t="s">
        <v>1167</v>
      </c>
      <c r="E36" s="100" t="s">
        <v>1166</v>
      </c>
      <c r="F36" s="100" t="s">
        <v>1165</v>
      </c>
      <c r="G36" s="100" t="s">
        <v>1176</v>
      </c>
      <c r="H36" s="96" t="s">
        <v>405</v>
      </c>
      <c r="I36" s="96"/>
      <c r="J36" s="96" t="s">
        <v>172</v>
      </c>
      <c r="K36" s="96" t="s">
        <v>149</v>
      </c>
      <c r="L36" s="99">
        <v>9700</v>
      </c>
      <c r="M36" s="98">
        <v>1</v>
      </c>
      <c r="N36" s="96" t="s">
        <v>558</v>
      </c>
      <c r="O36" s="97" t="s">
        <v>472</v>
      </c>
      <c r="P36" s="97"/>
      <c r="Q36" s="96">
        <v>1</v>
      </c>
      <c r="R36" s="96"/>
      <c r="S36" s="96" t="s">
        <v>1175</v>
      </c>
      <c r="T36" s="95">
        <v>9700</v>
      </c>
      <c r="U36" s="94" t="s">
        <v>1174</v>
      </c>
      <c r="V36" s="125"/>
      <c r="W36" s="125"/>
      <c r="X36" s="125"/>
      <c r="Y36" s="125"/>
      <c r="Z36" s="125"/>
      <c r="AA36" s="125"/>
      <c r="AB36" s="125"/>
      <c r="AC36" s="125"/>
      <c r="AD36" s="125"/>
      <c r="AE36" s="125"/>
      <c r="AF36" s="125"/>
      <c r="AG36" s="125"/>
      <c r="AH36" s="125"/>
      <c r="AI36" s="125"/>
      <c r="AJ36" s="125"/>
      <c r="AK36" s="125"/>
      <c r="AL36" s="125"/>
      <c r="AM36" s="125"/>
      <c r="AN36" s="125"/>
      <c r="AO36" s="125"/>
      <c r="AP36" s="125"/>
      <c r="AQ36" s="125"/>
      <c r="AR36" s="125"/>
      <c r="AS36" s="125"/>
      <c r="AT36" s="125"/>
      <c r="AU36" s="125"/>
      <c r="AV36" s="125"/>
      <c r="AW36" s="125"/>
      <c r="AX36" s="125"/>
      <c r="AY36" s="125"/>
      <c r="AZ36" s="125"/>
      <c r="BA36" s="125"/>
      <c r="BB36" s="125"/>
      <c r="BC36" s="125"/>
      <c r="BD36" s="125"/>
      <c r="BE36" s="125"/>
      <c r="BF36" s="125"/>
      <c r="BG36" s="125"/>
      <c r="BH36" s="125"/>
    </row>
    <row r="37" spans="1:60" s="124" customFormat="1" ht="162.75">
      <c r="A37" s="127"/>
      <c r="B37" s="92" t="s">
        <v>447</v>
      </c>
      <c r="C37" s="100" t="s">
        <v>615</v>
      </c>
      <c r="D37" s="100" t="s">
        <v>1167</v>
      </c>
      <c r="E37" s="100" t="s">
        <v>1166</v>
      </c>
      <c r="F37" s="100" t="s">
        <v>1165</v>
      </c>
      <c r="G37" s="100" t="s">
        <v>1173</v>
      </c>
      <c r="H37" s="96" t="s">
        <v>213</v>
      </c>
      <c r="I37" s="96"/>
      <c r="J37" s="96" t="s">
        <v>130</v>
      </c>
      <c r="K37" s="96" t="s">
        <v>63</v>
      </c>
      <c r="L37" s="99">
        <v>19800</v>
      </c>
      <c r="M37" s="98">
        <v>1</v>
      </c>
      <c r="N37" s="96" t="s">
        <v>558</v>
      </c>
      <c r="O37" s="96"/>
      <c r="P37" s="97" t="s">
        <v>472</v>
      </c>
      <c r="Q37" s="96">
        <v>1</v>
      </c>
      <c r="R37" s="96"/>
      <c r="S37" s="96" t="s">
        <v>1172</v>
      </c>
      <c r="T37" s="95">
        <v>19800</v>
      </c>
      <c r="U37" s="94" t="s">
        <v>1171</v>
      </c>
      <c r="V37" s="125"/>
      <c r="W37" s="125"/>
      <c r="X37" s="125"/>
      <c r="Y37" s="125"/>
      <c r="Z37" s="125"/>
      <c r="AA37" s="125"/>
      <c r="AB37" s="125"/>
      <c r="AC37" s="125"/>
      <c r="AD37" s="125"/>
      <c r="AE37" s="125"/>
      <c r="AF37" s="125"/>
      <c r="AG37" s="125"/>
      <c r="AH37" s="125"/>
      <c r="AI37" s="125"/>
      <c r="AJ37" s="125"/>
      <c r="AK37" s="125"/>
      <c r="AL37" s="125"/>
      <c r="AM37" s="125"/>
      <c r="AN37" s="125"/>
      <c r="AO37" s="125"/>
      <c r="AP37" s="125"/>
      <c r="AQ37" s="125"/>
      <c r="AR37" s="125"/>
      <c r="AS37" s="125"/>
      <c r="AT37" s="125"/>
      <c r="AU37" s="125"/>
      <c r="AV37" s="125"/>
      <c r="AW37" s="125"/>
      <c r="AX37" s="125"/>
      <c r="AY37" s="125"/>
      <c r="AZ37" s="125"/>
      <c r="BA37" s="125"/>
      <c r="BB37" s="125"/>
      <c r="BC37" s="125"/>
      <c r="BD37" s="125"/>
      <c r="BE37" s="125"/>
      <c r="BF37" s="125"/>
      <c r="BG37" s="125"/>
      <c r="BH37" s="125"/>
    </row>
    <row r="38" spans="1:60" s="124" customFormat="1" ht="209.25">
      <c r="A38" s="127"/>
      <c r="B38" s="92" t="s">
        <v>447</v>
      </c>
      <c r="C38" s="100" t="s">
        <v>615</v>
      </c>
      <c r="D38" s="100" t="s">
        <v>1167</v>
      </c>
      <c r="E38" s="100" t="s">
        <v>1166</v>
      </c>
      <c r="F38" s="100" t="s">
        <v>1165</v>
      </c>
      <c r="G38" s="100" t="s">
        <v>1170</v>
      </c>
      <c r="H38" s="96" t="s">
        <v>213</v>
      </c>
      <c r="I38" s="96"/>
      <c r="J38" s="96" t="s">
        <v>130</v>
      </c>
      <c r="K38" s="96" t="s">
        <v>63</v>
      </c>
      <c r="L38" s="99">
        <v>46200</v>
      </c>
      <c r="M38" s="98">
        <v>1</v>
      </c>
      <c r="N38" s="96" t="s">
        <v>558</v>
      </c>
      <c r="O38" s="96"/>
      <c r="P38" s="97" t="s">
        <v>472</v>
      </c>
      <c r="Q38" s="96">
        <v>1</v>
      </c>
      <c r="R38" s="96"/>
      <c r="S38" s="96" t="s">
        <v>1169</v>
      </c>
      <c r="T38" s="95">
        <v>46200</v>
      </c>
      <c r="U38" s="94" t="s">
        <v>1168</v>
      </c>
      <c r="V38" s="125"/>
      <c r="W38" s="125"/>
      <c r="X38" s="125"/>
      <c r="Y38" s="125"/>
      <c r="Z38" s="125"/>
      <c r="AA38" s="125"/>
      <c r="AB38" s="125"/>
      <c r="AC38" s="125"/>
      <c r="AD38" s="125"/>
      <c r="AE38" s="125"/>
      <c r="AF38" s="125"/>
      <c r="AG38" s="125"/>
      <c r="AH38" s="125"/>
      <c r="AI38" s="125"/>
      <c r="AJ38" s="125"/>
      <c r="AK38" s="125"/>
      <c r="AL38" s="125"/>
      <c r="AM38" s="125"/>
      <c r="AN38" s="125"/>
      <c r="AO38" s="125"/>
      <c r="AP38" s="125"/>
      <c r="AQ38" s="125"/>
      <c r="AR38" s="125"/>
      <c r="AS38" s="125"/>
      <c r="AT38" s="125"/>
      <c r="AU38" s="125"/>
      <c r="AV38" s="125"/>
      <c r="AW38" s="125"/>
      <c r="AX38" s="125"/>
      <c r="AY38" s="125"/>
      <c r="AZ38" s="125"/>
      <c r="BA38" s="125"/>
      <c r="BB38" s="125"/>
      <c r="BC38" s="125"/>
      <c r="BD38" s="125"/>
      <c r="BE38" s="125"/>
      <c r="BF38" s="125"/>
      <c r="BG38" s="125"/>
      <c r="BH38" s="125"/>
    </row>
    <row r="39" spans="1:60" s="124" customFormat="1" ht="162.75">
      <c r="A39" s="127"/>
      <c r="B39" s="92" t="s">
        <v>447</v>
      </c>
      <c r="C39" s="100" t="s">
        <v>477</v>
      </c>
      <c r="D39" s="100" t="s">
        <v>1167</v>
      </c>
      <c r="E39" s="100" t="s">
        <v>1166</v>
      </c>
      <c r="F39" s="100" t="s">
        <v>1165</v>
      </c>
      <c r="G39" s="100" t="s">
        <v>1164</v>
      </c>
      <c r="H39" s="96" t="s">
        <v>213</v>
      </c>
      <c r="I39" s="96"/>
      <c r="J39" s="96" t="s">
        <v>130</v>
      </c>
      <c r="K39" s="96" t="s">
        <v>63</v>
      </c>
      <c r="L39" s="99">
        <v>34900</v>
      </c>
      <c r="M39" s="98">
        <v>1</v>
      </c>
      <c r="N39" s="96" t="s">
        <v>558</v>
      </c>
      <c r="O39" s="96"/>
      <c r="P39" s="97" t="s">
        <v>472</v>
      </c>
      <c r="Q39" s="96">
        <v>1</v>
      </c>
      <c r="R39" s="96"/>
      <c r="S39" s="96" t="s">
        <v>1163</v>
      </c>
      <c r="T39" s="95">
        <v>34900</v>
      </c>
      <c r="U39" s="94" t="s">
        <v>1162</v>
      </c>
      <c r="V39" s="125"/>
      <c r="W39" s="125"/>
      <c r="X39" s="125"/>
      <c r="Y39" s="125"/>
      <c r="Z39" s="125"/>
      <c r="AA39" s="125"/>
      <c r="AB39" s="125"/>
      <c r="AC39" s="125"/>
      <c r="AD39" s="125"/>
      <c r="AE39" s="125"/>
      <c r="AF39" s="125"/>
      <c r="AG39" s="125"/>
      <c r="AH39" s="125"/>
      <c r="AI39" s="125"/>
      <c r="AJ39" s="125"/>
      <c r="AK39" s="125"/>
      <c r="AL39" s="125"/>
      <c r="AM39" s="125"/>
      <c r="AN39" s="125"/>
      <c r="AO39" s="125"/>
      <c r="AP39" s="125"/>
      <c r="AQ39" s="125"/>
      <c r="AR39" s="125"/>
      <c r="AS39" s="125"/>
      <c r="AT39" s="125"/>
      <c r="AU39" s="125"/>
      <c r="AV39" s="125"/>
      <c r="AW39" s="125"/>
      <c r="AX39" s="125"/>
      <c r="AY39" s="125"/>
      <c r="AZ39" s="125"/>
      <c r="BA39" s="125"/>
      <c r="BB39" s="125"/>
      <c r="BC39" s="125"/>
      <c r="BD39" s="125"/>
      <c r="BE39" s="125"/>
      <c r="BF39" s="125"/>
      <c r="BG39" s="125"/>
      <c r="BH39" s="125"/>
    </row>
    <row r="40" spans="1:60" s="124" customFormat="1" ht="162.75">
      <c r="A40" s="127"/>
      <c r="B40" s="92" t="s">
        <v>447</v>
      </c>
      <c r="C40" s="100" t="s">
        <v>479</v>
      </c>
      <c r="D40" s="100" t="s">
        <v>1160</v>
      </c>
      <c r="E40" s="100" t="s">
        <v>1159</v>
      </c>
      <c r="F40" s="100" t="s">
        <v>1064</v>
      </c>
      <c r="G40" s="100" t="s">
        <v>1161</v>
      </c>
      <c r="H40" s="96" t="s">
        <v>70</v>
      </c>
      <c r="I40" s="96"/>
      <c r="J40" s="96" t="s">
        <v>64</v>
      </c>
      <c r="K40" s="96" t="s">
        <v>63</v>
      </c>
      <c r="L40" s="99">
        <f>M40*T40</f>
        <v>3073000</v>
      </c>
      <c r="M40" s="98">
        <f>Q40+R40</f>
        <v>1</v>
      </c>
      <c r="N40" s="107" t="s">
        <v>1142</v>
      </c>
      <c r="O40" s="96"/>
      <c r="P40" s="97" t="s">
        <v>472</v>
      </c>
      <c r="Q40" s="107"/>
      <c r="R40" s="107">
        <v>1</v>
      </c>
      <c r="S40" s="96"/>
      <c r="T40" s="95">
        <v>3073000</v>
      </c>
      <c r="U40" s="170"/>
      <c r="V40" s="125"/>
      <c r="W40" s="125"/>
      <c r="X40" s="125"/>
      <c r="Y40" s="125"/>
      <c r="Z40" s="125"/>
      <c r="AA40" s="125"/>
      <c r="AB40" s="125"/>
      <c r="AC40" s="125"/>
      <c r="AD40" s="125"/>
      <c r="AE40" s="125"/>
      <c r="AF40" s="125"/>
      <c r="AG40" s="125"/>
      <c r="AH40" s="125"/>
      <c r="AI40" s="125"/>
      <c r="AJ40" s="125"/>
      <c r="AK40" s="125"/>
      <c r="AL40" s="125"/>
      <c r="AM40" s="125"/>
      <c r="AN40" s="125"/>
      <c r="AO40" s="125"/>
      <c r="AP40" s="125"/>
      <c r="AQ40" s="125"/>
      <c r="AR40" s="125"/>
      <c r="AS40" s="125"/>
      <c r="AT40" s="125"/>
      <c r="AU40" s="125"/>
      <c r="AV40" s="125"/>
      <c r="AW40" s="125"/>
      <c r="AX40" s="125"/>
      <c r="AY40" s="125"/>
      <c r="AZ40" s="125"/>
      <c r="BA40" s="125"/>
      <c r="BB40" s="125"/>
      <c r="BC40" s="125"/>
      <c r="BD40" s="125"/>
      <c r="BE40" s="125"/>
      <c r="BF40" s="125"/>
      <c r="BG40" s="125"/>
      <c r="BH40" s="125"/>
    </row>
    <row r="41" spans="1:60" s="124" customFormat="1" ht="139.5">
      <c r="A41" s="127"/>
      <c r="B41" s="92" t="s">
        <v>447</v>
      </c>
      <c r="C41" s="100" t="s">
        <v>479</v>
      </c>
      <c r="D41" s="100" t="s">
        <v>1160</v>
      </c>
      <c r="E41" s="100" t="s">
        <v>1159</v>
      </c>
      <c r="F41" s="100" t="s">
        <v>1064</v>
      </c>
      <c r="G41" s="100" t="s">
        <v>1158</v>
      </c>
      <c r="H41" s="96" t="s">
        <v>70</v>
      </c>
      <c r="I41" s="96"/>
      <c r="J41" s="96" t="s">
        <v>64</v>
      </c>
      <c r="K41" s="96" t="s">
        <v>63</v>
      </c>
      <c r="L41" s="99">
        <f>M41*T41</f>
        <v>748800</v>
      </c>
      <c r="M41" s="98">
        <f>Q41+R41</f>
        <v>1</v>
      </c>
      <c r="N41" s="107" t="s">
        <v>1142</v>
      </c>
      <c r="O41" s="96"/>
      <c r="P41" s="97" t="s">
        <v>472</v>
      </c>
      <c r="Q41" s="107">
        <v>1</v>
      </c>
      <c r="R41" s="96"/>
      <c r="S41" s="96"/>
      <c r="T41" s="95">
        <v>748800</v>
      </c>
      <c r="U41" s="170"/>
      <c r="V41" s="125"/>
      <c r="W41" s="125"/>
      <c r="X41" s="125"/>
      <c r="Y41" s="125"/>
      <c r="Z41" s="125"/>
      <c r="AA41" s="125"/>
      <c r="AB41" s="125"/>
      <c r="AC41" s="125"/>
      <c r="AD41" s="125"/>
      <c r="AE41" s="125"/>
      <c r="AF41" s="125"/>
      <c r="AG41" s="125"/>
      <c r="AH41" s="125"/>
      <c r="AI41" s="125"/>
      <c r="AJ41" s="125"/>
      <c r="AK41" s="125"/>
      <c r="AL41" s="125"/>
      <c r="AM41" s="125"/>
      <c r="AN41" s="125"/>
      <c r="AO41" s="125"/>
      <c r="AP41" s="125"/>
      <c r="AQ41" s="125"/>
      <c r="AR41" s="125"/>
      <c r="AS41" s="125"/>
      <c r="AT41" s="125"/>
      <c r="AU41" s="125"/>
      <c r="AV41" s="125"/>
      <c r="AW41" s="125"/>
      <c r="AX41" s="125"/>
      <c r="AY41" s="125"/>
      <c r="AZ41" s="125"/>
      <c r="BA41" s="125"/>
      <c r="BB41" s="125"/>
      <c r="BC41" s="125"/>
      <c r="BD41" s="125"/>
      <c r="BE41" s="125"/>
      <c r="BF41" s="125"/>
      <c r="BG41" s="125"/>
      <c r="BH41" s="125"/>
    </row>
    <row r="42" spans="1:60" s="136" customFormat="1" ht="126">
      <c r="A42" s="127"/>
      <c r="B42" s="110" t="s">
        <v>447</v>
      </c>
      <c r="C42" s="118" t="s">
        <v>527</v>
      </c>
      <c r="D42" s="118" t="s">
        <v>621</v>
      </c>
      <c r="E42" s="118" t="s">
        <v>1157</v>
      </c>
      <c r="F42" s="118" t="s">
        <v>1156</v>
      </c>
      <c r="G42" s="118" t="s">
        <v>1155</v>
      </c>
      <c r="H42" s="113" t="s">
        <v>460</v>
      </c>
      <c r="I42" s="113"/>
      <c r="J42" s="113" t="s">
        <v>64</v>
      </c>
      <c r="K42" s="113" t="s">
        <v>63</v>
      </c>
      <c r="L42" s="117">
        <f>M42*T42</f>
        <v>1498000</v>
      </c>
      <c r="M42" s="116">
        <f>Q42+R42</f>
        <v>1</v>
      </c>
      <c r="N42" s="113"/>
      <c r="O42" s="114"/>
      <c r="P42" s="114" t="s">
        <v>472</v>
      </c>
      <c r="Q42" s="113">
        <v>1</v>
      </c>
      <c r="R42" s="113"/>
      <c r="S42" s="113" t="s">
        <v>1154</v>
      </c>
      <c r="T42" s="112">
        <v>1498000</v>
      </c>
      <c r="U42" s="111" t="s">
        <v>1153</v>
      </c>
      <c r="V42" s="137"/>
      <c r="W42" s="137"/>
      <c r="X42" s="137"/>
      <c r="Y42" s="137"/>
      <c r="Z42" s="137"/>
      <c r="AA42" s="137"/>
      <c r="AB42" s="137"/>
      <c r="AC42" s="137"/>
      <c r="AD42" s="137"/>
      <c r="AE42" s="137"/>
      <c r="AF42" s="137"/>
      <c r="AG42" s="137"/>
      <c r="AH42" s="137"/>
      <c r="AI42" s="137"/>
      <c r="AJ42" s="137"/>
      <c r="AK42" s="137"/>
      <c r="AL42" s="137"/>
      <c r="AM42" s="137"/>
      <c r="AN42" s="137"/>
      <c r="AO42" s="137"/>
      <c r="AP42" s="137"/>
      <c r="AQ42" s="137"/>
      <c r="AR42" s="137"/>
      <c r="AS42" s="137"/>
      <c r="AT42" s="137"/>
      <c r="AU42" s="137"/>
      <c r="AV42" s="137"/>
      <c r="AW42" s="137"/>
      <c r="AX42" s="137"/>
      <c r="AY42" s="137"/>
      <c r="AZ42" s="137"/>
      <c r="BA42" s="137"/>
      <c r="BB42" s="137"/>
      <c r="BC42" s="137"/>
      <c r="BD42" s="137"/>
      <c r="BE42" s="137"/>
      <c r="BF42" s="137"/>
      <c r="BG42" s="137"/>
      <c r="BH42" s="137"/>
    </row>
    <row r="43" spans="1:60" s="136" customFormat="1" ht="147">
      <c r="A43" s="127"/>
      <c r="B43" s="110" t="s">
        <v>447</v>
      </c>
      <c r="C43" s="118" t="s">
        <v>527</v>
      </c>
      <c r="D43" s="118" t="s">
        <v>476</v>
      </c>
      <c r="E43" s="118" t="s">
        <v>1149</v>
      </c>
      <c r="F43" s="118" t="s">
        <v>1148</v>
      </c>
      <c r="G43" s="118" t="s">
        <v>1152</v>
      </c>
      <c r="H43" s="113" t="s">
        <v>448</v>
      </c>
      <c r="I43" s="113"/>
      <c r="J43" s="113" t="s">
        <v>64</v>
      </c>
      <c r="K43" s="113" t="s">
        <v>63</v>
      </c>
      <c r="L43" s="117">
        <v>1498000</v>
      </c>
      <c r="M43" s="116">
        <v>1</v>
      </c>
      <c r="N43" s="113" t="s">
        <v>533</v>
      </c>
      <c r="O43" s="114"/>
      <c r="P43" s="114" t="s">
        <v>472</v>
      </c>
      <c r="Q43" s="113">
        <v>1</v>
      </c>
      <c r="R43" s="113"/>
      <c r="S43" s="113" t="s">
        <v>1151</v>
      </c>
      <c r="T43" s="112">
        <v>1498000</v>
      </c>
      <c r="U43" s="111" t="s">
        <v>1150</v>
      </c>
      <c r="V43" s="137"/>
      <c r="W43" s="137"/>
      <c r="X43" s="137"/>
      <c r="Y43" s="137"/>
      <c r="Z43" s="137"/>
      <c r="AA43" s="137"/>
      <c r="AB43" s="137"/>
      <c r="AC43" s="137"/>
      <c r="AD43" s="137"/>
      <c r="AE43" s="137"/>
      <c r="AF43" s="137"/>
      <c r="AG43" s="137"/>
      <c r="AH43" s="137"/>
      <c r="AI43" s="137"/>
      <c r="AJ43" s="137"/>
      <c r="AK43" s="137"/>
      <c r="AL43" s="137"/>
      <c r="AM43" s="137"/>
      <c r="AN43" s="137"/>
      <c r="AO43" s="137"/>
      <c r="AP43" s="137"/>
      <c r="AQ43" s="137"/>
      <c r="AR43" s="137"/>
      <c r="AS43" s="137"/>
      <c r="AT43" s="137"/>
      <c r="AU43" s="137"/>
      <c r="AV43" s="137"/>
      <c r="AW43" s="137"/>
      <c r="AX43" s="137"/>
      <c r="AY43" s="137"/>
      <c r="AZ43" s="137"/>
      <c r="BA43" s="137"/>
      <c r="BB43" s="137"/>
      <c r="BC43" s="137"/>
      <c r="BD43" s="137"/>
      <c r="BE43" s="137"/>
      <c r="BF43" s="137"/>
      <c r="BG43" s="137"/>
      <c r="BH43" s="137"/>
    </row>
    <row r="44" spans="1:60" s="136" customFormat="1" ht="168">
      <c r="A44" s="127"/>
      <c r="B44" s="110" t="s">
        <v>447</v>
      </c>
      <c r="C44" s="118" t="s">
        <v>527</v>
      </c>
      <c r="D44" s="118" t="s">
        <v>476</v>
      </c>
      <c r="E44" s="118" t="s">
        <v>1149</v>
      </c>
      <c r="F44" s="118" t="s">
        <v>1148</v>
      </c>
      <c r="G44" s="118" t="s">
        <v>1147</v>
      </c>
      <c r="H44" s="113" t="s">
        <v>448</v>
      </c>
      <c r="I44" s="113"/>
      <c r="J44" s="113" t="s">
        <v>64</v>
      </c>
      <c r="K44" s="113" t="s">
        <v>63</v>
      </c>
      <c r="L44" s="121">
        <v>918000</v>
      </c>
      <c r="M44" s="116">
        <v>1</v>
      </c>
      <c r="N44" s="113" t="s">
        <v>533</v>
      </c>
      <c r="O44" s="114" t="s">
        <v>472</v>
      </c>
      <c r="P44" s="114"/>
      <c r="Q44" s="113"/>
      <c r="R44" s="113">
        <v>1</v>
      </c>
      <c r="S44" s="113"/>
      <c r="T44" s="120">
        <v>918000</v>
      </c>
      <c r="U44" s="111" t="s">
        <v>1146</v>
      </c>
      <c r="V44" s="137"/>
      <c r="W44" s="137"/>
      <c r="X44" s="137"/>
      <c r="Y44" s="137"/>
      <c r="Z44" s="137"/>
      <c r="AA44" s="137"/>
      <c r="AB44" s="137"/>
      <c r="AC44" s="137"/>
      <c r="AD44" s="137"/>
      <c r="AE44" s="137"/>
      <c r="AF44" s="137"/>
      <c r="AG44" s="137"/>
      <c r="AH44" s="137"/>
      <c r="AI44" s="137"/>
      <c r="AJ44" s="137"/>
      <c r="AK44" s="137"/>
      <c r="AL44" s="137"/>
      <c r="AM44" s="137"/>
      <c r="AN44" s="137"/>
      <c r="AO44" s="137"/>
      <c r="AP44" s="137"/>
      <c r="AQ44" s="137"/>
      <c r="AR44" s="137"/>
      <c r="AS44" s="137"/>
      <c r="AT44" s="137"/>
      <c r="AU44" s="137"/>
      <c r="AV44" s="137"/>
      <c r="AW44" s="137"/>
      <c r="AX44" s="137"/>
      <c r="AY44" s="137"/>
      <c r="AZ44" s="137"/>
      <c r="BA44" s="137"/>
      <c r="BB44" s="137"/>
      <c r="BC44" s="137"/>
      <c r="BD44" s="137"/>
      <c r="BE44" s="137"/>
      <c r="BF44" s="137"/>
      <c r="BG44" s="137"/>
      <c r="BH44" s="137"/>
    </row>
    <row r="45" spans="1:60" s="124" customFormat="1" ht="409.5">
      <c r="A45" s="127"/>
      <c r="B45" s="92" t="s">
        <v>447</v>
      </c>
      <c r="C45" s="100" t="s">
        <v>479</v>
      </c>
      <c r="D45" s="100" t="s">
        <v>476</v>
      </c>
      <c r="E45" s="100" t="s">
        <v>1145</v>
      </c>
      <c r="F45" s="100" t="s">
        <v>1144</v>
      </c>
      <c r="G45" s="100" t="s">
        <v>1143</v>
      </c>
      <c r="H45" s="96" t="s">
        <v>448</v>
      </c>
      <c r="I45" s="96"/>
      <c r="J45" s="96" t="s">
        <v>64</v>
      </c>
      <c r="K45" s="96" t="s">
        <v>63</v>
      </c>
      <c r="L45" s="99">
        <v>2000000</v>
      </c>
      <c r="M45" s="98">
        <v>1</v>
      </c>
      <c r="N45" s="96" t="s">
        <v>1142</v>
      </c>
      <c r="O45" s="97"/>
      <c r="P45" s="97" t="s">
        <v>472</v>
      </c>
      <c r="Q45" s="96"/>
      <c r="R45" s="96">
        <v>1</v>
      </c>
      <c r="S45" s="96"/>
      <c r="T45" s="95">
        <v>2000000</v>
      </c>
      <c r="U45" s="94" t="s">
        <v>1141</v>
      </c>
      <c r="V45" s="125"/>
      <c r="W45" s="125"/>
      <c r="X45" s="125"/>
      <c r="Y45" s="125"/>
      <c r="Z45" s="125"/>
      <c r="AA45" s="125"/>
      <c r="AB45" s="125"/>
      <c r="AC45" s="125"/>
      <c r="AD45" s="125"/>
      <c r="AE45" s="125"/>
      <c r="AF45" s="125"/>
      <c r="AG45" s="125"/>
      <c r="AH45" s="125"/>
      <c r="AI45" s="125"/>
      <c r="AJ45" s="125"/>
      <c r="AK45" s="125"/>
      <c r="AL45" s="125"/>
      <c r="AM45" s="125"/>
      <c r="AN45" s="125"/>
      <c r="AO45" s="125"/>
      <c r="AP45" s="125"/>
      <c r="AQ45" s="125"/>
      <c r="AR45" s="125"/>
      <c r="AS45" s="125"/>
      <c r="AT45" s="125"/>
      <c r="AU45" s="125"/>
      <c r="AV45" s="125"/>
      <c r="AW45" s="125"/>
      <c r="AX45" s="125"/>
      <c r="AY45" s="125"/>
      <c r="AZ45" s="125"/>
      <c r="BA45" s="125"/>
      <c r="BB45" s="125"/>
      <c r="BC45" s="125"/>
      <c r="BD45" s="125"/>
      <c r="BE45" s="125"/>
      <c r="BF45" s="125"/>
      <c r="BG45" s="125"/>
      <c r="BH45" s="125"/>
    </row>
    <row r="46" spans="1:60" s="136" customFormat="1" ht="126">
      <c r="A46" s="127"/>
      <c r="B46" s="110" t="s">
        <v>447</v>
      </c>
      <c r="C46" s="118" t="s">
        <v>527</v>
      </c>
      <c r="D46" s="118"/>
      <c r="E46" s="118" t="s">
        <v>1140</v>
      </c>
      <c r="F46" s="118" t="s">
        <v>1139</v>
      </c>
      <c r="G46" s="118" t="s">
        <v>1138</v>
      </c>
      <c r="H46" s="113" t="s">
        <v>448</v>
      </c>
      <c r="I46" s="113" t="s">
        <v>1281</v>
      </c>
      <c r="J46" s="113" t="s">
        <v>64</v>
      </c>
      <c r="K46" s="113" t="s">
        <v>63</v>
      </c>
      <c r="L46" s="121">
        <f>M46*T46</f>
        <v>4000000</v>
      </c>
      <c r="M46" s="116">
        <f>Q46+R46</f>
        <v>2</v>
      </c>
      <c r="N46" s="113" t="s">
        <v>533</v>
      </c>
      <c r="O46" s="114"/>
      <c r="P46" s="114" t="s">
        <v>472</v>
      </c>
      <c r="Q46" s="113"/>
      <c r="R46" s="113">
        <v>2</v>
      </c>
      <c r="S46" s="113"/>
      <c r="T46" s="120">
        <v>2000000</v>
      </c>
      <c r="U46" s="111" t="s">
        <v>1137</v>
      </c>
      <c r="V46" s="137"/>
      <c r="W46" s="137"/>
      <c r="X46" s="137"/>
      <c r="Y46" s="137"/>
      <c r="Z46" s="137"/>
      <c r="AA46" s="137"/>
      <c r="AB46" s="137"/>
      <c r="AC46" s="137"/>
      <c r="AD46" s="137"/>
      <c r="AE46" s="137"/>
      <c r="AF46" s="137"/>
      <c r="AG46" s="137"/>
      <c r="AH46" s="137"/>
      <c r="AI46" s="137"/>
      <c r="AJ46" s="137"/>
      <c r="AK46" s="137"/>
      <c r="AL46" s="137"/>
      <c r="AM46" s="137"/>
      <c r="AN46" s="137"/>
      <c r="AO46" s="137"/>
      <c r="AP46" s="137"/>
      <c r="AQ46" s="137"/>
      <c r="AR46" s="137"/>
      <c r="AS46" s="137"/>
      <c r="AT46" s="137"/>
      <c r="AU46" s="137"/>
      <c r="AV46" s="137"/>
      <c r="AW46" s="137"/>
      <c r="AX46" s="137"/>
      <c r="AY46" s="137"/>
      <c r="AZ46" s="137"/>
      <c r="BA46" s="137"/>
      <c r="BB46" s="137"/>
      <c r="BC46" s="137"/>
      <c r="BD46" s="137"/>
      <c r="BE46" s="137"/>
      <c r="BF46" s="137"/>
      <c r="BG46" s="137"/>
      <c r="BH46" s="137"/>
    </row>
    <row r="47" spans="1:60" s="136" customFormat="1" ht="168">
      <c r="A47" s="127"/>
      <c r="B47" s="110" t="s">
        <v>447</v>
      </c>
      <c r="C47" s="118" t="s">
        <v>527</v>
      </c>
      <c r="D47" s="118"/>
      <c r="E47" s="118" t="s">
        <v>1133</v>
      </c>
      <c r="F47" s="118" t="s">
        <v>1133</v>
      </c>
      <c r="G47" s="118" t="s">
        <v>1136</v>
      </c>
      <c r="H47" s="113" t="s">
        <v>448</v>
      </c>
      <c r="I47" s="113" t="s">
        <v>1282</v>
      </c>
      <c r="J47" s="113" t="s">
        <v>64</v>
      </c>
      <c r="K47" s="113" t="s">
        <v>63</v>
      </c>
      <c r="L47" s="121">
        <v>3290000</v>
      </c>
      <c r="M47" s="116">
        <v>1</v>
      </c>
      <c r="N47" s="113" t="s">
        <v>533</v>
      </c>
      <c r="O47" s="138"/>
      <c r="P47" s="114" t="s">
        <v>472</v>
      </c>
      <c r="Q47" s="113">
        <v>1</v>
      </c>
      <c r="R47" s="113"/>
      <c r="S47" s="169" t="s">
        <v>1135</v>
      </c>
      <c r="T47" s="120">
        <v>3290000</v>
      </c>
      <c r="U47" s="140" t="s">
        <v>1134</v>
      </c>
      <c r="V47" s="137"/>
      <c r="W47" s="137"/>
      <c r="X47" s="137"/>
      <c r="Y47" s="137"/>
      <c r="Z47" s="137"/>
      <c r="AA47" s="137"/>
      <c r="AB47" s="137"/>
      <c r="AC47" s="137"/>
      <c r="AD47" s="137"/>
      <c r="AE47" s="137"/>
      <c r="AF47" s="137"/>
      <c r="AG47" s="137"/>
      <c r="AH47" s="137"/>
      <c r="AI47" s="137"/>
      <c r="AJ47" s="137"/>
      <c r="AK47" s="137"/>
      <c r="AL47" s="137"/>
      <c r="AM47" s="137"/>
      <c r="AN47" s="137"/>
      <c r="AO47" s="137"/>
      <c r="AP47" s="137"/>
      <c r="AQ47" s="137"/>
      <c r="AR47" s="137"/>
      <c r="AS47" s="137"/>
      <c r="AT47" s="137"/>
      <c r="AU47" s="137"/>
      <c r="AV47" s="137"/>
      <c r="AW47" s="137"/>
      <c r="AX47" s="137"/>
      <c r="AY47" s="137"/>
      <c r="AZ47" s="137"/>
      <c r="BA47" s="137"/>
      <c r="BB47" s="137"/>
      <c r="BC47" s="137"/>
      <c r="BD47" s="137"/>
      <c r="BE47" s="137"/>
      <c r="BF47" s="137"/>
      <c r="BG47" s="137"/>
      <c r="BH47" s="137"/>
    </row>
    <row r="48" spans="1:60" s="136" customFormat="1" ht="168">
      <c r="A48" s="127"/>
      <c r="B48" s="110" t="s">
        <v>447</v>
      </c>
      <c r="C48" s="118" t="s">
        <v>527</v>
      </c>
      <c r="D48" s="118"/>
      <c r="E48" s="118" t="s">
        <v>1133</v>
      </c>
      <c r="F48" s="118" t="s">
        <v>1133</v>
      </c>
      <c r="G48" s="118" t="s">
        <v>1132</v>
      </c>
      <c r="H48" s="113" t="s">
        <v>448</v>
      </c>
      <c r="I48" s="113" t="s">
        <v>1282</v>
      </c>
      <c r="J48" s="113" t="s">
        <v>64</v>
      </c>
      <c r="K48" s="113" t="s">
        <v>63</v>
      </c>
      <c r="L48" s="121">
        <v>1207900</v>
      </c>
      <c r="M48" s="116">
        <v>1</v>
      </c>
      <c r="N48" s="113" t="s">
        <v>533</v>
      </c>
      <c r="O48" s="138"/>
      <c r="P48" s="114" t="s">
        <v>472</v>
      </c>
      <c r="Q48" s="113">
        <v>1</v>
      </c>
      <c r="R48" s="113"/>
      <c r="S48" s="113" t="s">
        <v>1131</v>
      </c>
      <c r="T48" s="120">
        <v>1207900</v>
      </c>
      <c r="U48" s="111" t="s">
        <v>1130</v>
      </c>
      <c r="V48" s="137"/>
      <c r="W48" s="137"/>
      <c r="X48" s="137"/>
      <c r="Y48" s="137"/>
      <c r="Z48" s="137"/>
      <c r="AA48" s="137"/>
      <c r="AB48" s="137"/>
      <c r="AC48" s="137"/>
      <c r="AD48" s="137"/>
      <c r="AE48" s="137"/>
      <c r="AF48" s="137"/>
      <c r="AG48" s="137"/>
      <c r="AH48" s="137"/>
      <c r="AI48" s="137"/>
      <c r="AJ48" s="137"/>
      <c r="AK48" s="137"/>
      <c r="AL48" s="137"/>
      <c r="AM48" s="137"/>
      <c r="AN48" s="137"/>
      <c r="AO48" s="137"/>
      <c r="AP48" s="137"/>
      <c r="AQ48" s="137"/>
      <c r="AR48" s="137"/>
      <c r="AS48" s="137"/>
      <c r="AT48" s="137"/>
      <c r="AU48" s="137"/>
      <c r="AV48" s="137"/>
      <c r="AW48" s="137"/>
      <c r="AX48" s="137"/>
      <c r="AY48" s="137"/>
      <c r="AZ48" s="137"/>
      <c r="BA48" s="137"/>
      <c r="BB48" s="137"/>
      <c r="BC48" s="137"/>
      <c r="BD48" s="137"/>
      <c r="BE48" s="137"/>
      <c r="BF48" s="137"/>
      <c r="BG48" s="137"/>
      <c r="BH48" s="137"/>
    </row>
    <row r="49" spans="1:60" s="124" customFormat="1" ht="139.5">
      <c r="A49" s="127"/>
      <c r="B49" s="92" t="s">
        <v>447</v>
      </c>
      <c r="C49" s="100" t="s">
        <v>555</v>
      </c>
      <c r="D49" s="100" t="s">
        <v>621</v>
      </c>
      <c r="E49" s="100" t="s">
        <v>620</v>
      </c>
      <c r="F49" s="100" t="s">
        <v>1064</v>
      </c>
      <c r="G49" s="100" t="s">
        <v>1127</v>
      </c>
      <c r="H49" s="100" t="s">
        <v>198</v>
      </c>
      <c r="I49" s="100"/>
      <c r="J49" s="96" t="s">
        <v>64</v>
      </c>
      <c r="K49" s="96" t="s">
        <v>63</v>
      </c>
      <c r="L49" s="99">
        <f t="shared" ref="L49:L112" si="0">M49*T49</f>
        <v>13700</v>
      </c>
      <c r="M49" s="98">
        <f t="shared" ref="M49:M112" si="1">Q49+R49</f>
        <v>1</v>
      </c>
      <c r="N49" s="96" t="s">
        <v>558</v>
      </c>
      <c r="O49" s="97" t="s">
        <v>472</v>
      </c>
      <c r="P49" s="97"/>
      <c r="Q49" s="96">
        <v>1</v>
      </c>
      <c r="R49" s="96"/>
      <c r="S49" s="96" t="s">
        <v>1129</v>
      </c>
      <c r="T49" s="95">
        <v>13700</v>
      </c>
      <c r="U49" s="94" t="s">
        <v>1128</v>
      </c>
      <c r="V49" s="125"/>
      <c r="W49" s="125"/>
      <c r="X49" s="125"/>
      <c r="Y49" s="125"/>
      <c r="Z49" s="125"/>
      <c r="AA49" s="125"/>
      <c r="AB49" s="125"/>
      <c r="AC49" s="125"/>
      <c r="AD49" s="125"/>
      <c r="AE49" s="125"/>
      <c r="AF49" s="125"/>
      <c r="AG49" s="125"/>
      <c r="AH49" s="125"/>
      <c r="AI49" s="125"/>
      <c r="AJ49" s="125"/>
      <c r="AK49" s="125"/>
      <c r="AL49" s="125"/>
      <c r="AM49" s="125"/>
      <c r="AN49" s="125"/>
      <c r="AO49" s="125"/>
      <c r="AP49" s="125"/>
      <c r="AQ49" s="125"/>
      <c r="AR49" s="125"/>
      <c r="AS49" s="125"/>
      <c r="AT49" s="125"/>
      <c r="AU49" s="125"/>
      <c r="AV49" s="125"/>
      <c r="AW49" s="125"/>
      <c r="AX49" s="125"/>
      <c r="AY49" s="125"/>
      <c r="AZ49" s="125"/>
      <c r="BA49" s="125"/>
      <c r="BB49" s="125"/>
      <c r="BC49" s="125"/>
      <c r="BD49" s="125"/>
      <c r="BE49" s="125"/>
      <c r="BF49" s="125"/>
      <c r="BG49" s="125"/>
      <c r="BH49" s="125"/>
    </row>
    <row r="50" spans="1:60" s="124" customFormat="1" ht="139.5">
      <c r="A50" s="127"/>
      <c r="B50" s="92" t="s">
        <v>447</v>
      </c>
      <c r="C50" s="100" t="s">
        <v>555</v>
      </c>
      <c r="D50" s="100" t="s">
        <v>621</v>
      </c>
      <c r="E50" s="100" t="s">
        <v>620</v>
      </c>
      <c r="F50" s="100" t="s">
        <v>1064</v>
      </c>
      <c r="G50" s="100" t="s">
        <v>1127</v>
      </c>
      <c r="H50" s="100" t="s">
        <v>198</v>
      </c>
      <c r="I50" s="100"/>
      <c r="J50" s="96" t="s">
        <v>64</v>
      </c>
      <c r="K50" s="96" t="s">
        <v>63</v>
      </c>
      <c r="L50" s="99">
        <f t="shared" si="0"/>
        <v>13700</v>
      </c>
      <c r="M50" s="98">
        <f t="shared" si="1"/>
        <v>1</v>
      </c>
      <c r="N50" s="96" t="s">
        <v>558</v>
      </c>
      <c r="O50" s="97" t="s">
        <v>472</v>
      </c>
      <c r="P50" s="97"/>
      <c r="Q50" s="96">
        <v>1</v>
      </c>
      <c r="R50" s="96"/>
      <c r="S50" s="96" t="s">
        <v>1126</v>
      </c>
      <c r="T50" s="95">
        <v>13700</v>
      </c>
      <c r="U50" s="94" t="s">
        <v>1125</v>
      </c>
      <c r="V50" s="125"/>
      <c r="W50" s="125"/>
      <c r="X50" s="125"/>
      <c r="Y50" s="125"/>
      <c r="Z50" s="125"/>
      <c r="AA50" s="125"/>
      <c r="AB50" s="125"/>
      <c r="AC50" s="125"/>
      <c r="AD50" s="125"/>
      <c r="AE50" s="125"/>
      <c r="AF50" s="125"/>
      <c r="AG50" s="125"/>
      <c r="AH50" s="125"/>
      <c r="AI50" s="125"/>
      <c r="AJ50" s="125"/>
      <c r="AK50" s="125"/>
      <c r="AL50" s="125"/>
      <c r="AM50" s="125"/>
      <c r="AN50" s="125"/>
      <c r="AO50" s="125"/>
      <c r="AP50" s="125"/>
      <c r="AQ50" s="125"/>
      <c r="AR50" s="125"/>
      <c r="AS50" s="125"/>
      <c r="AT50" s="125"/>
      <c r="AU50" s="125"/>
      <c r="AV50" s="125"/>
      <c r="AW50" s="125"/>
      <c r="AX50" s="125"/>
      <c r="AY50" s="125"/>
      <c r="AZ50" s="125"/>
      <c r="BA50" s="125"/>
      <c r="BB50" s="125"/>
      <c r="BC50" s="125"/>
      <c r="BD50" s="125"/>
      <c r="BE50" s="125"/>
      <c r="BF50" s="125"/>
      <c r="BG50" s="125"/>
      <c r="BH50" s="125"/>
    </row>
    <row r="51" spans="1:60" s="124" customFormat="1" ht="139.5">
      <c r="A51" s="127"/>
      <c r="B51" s="92" t="s">
        <v>447</v>
      </c>
      <c r="C51" s="100" t="s">
        <v>538</v>
      </c>
      <c r="D51" s="100" t="s">
        <v>621</v>
      </c>
      <c r="E51" s="100" t="s">
        <v>620</v>
      </c>
      <c r="F51" s="100" t="s">
        <v>1064</v>
      </c>
      <c r="G51" s="100" t="s">
        <v>1124</v>
      </c>
      <c r="H51" s="100" t="s">
        <v>198</v>
      </c>
      <c r="I51" s="100"/>
      <c r="J51" s="96" t="s">
        <v>64</v>
      </c>
      <c r="K51" s="96" t="s">
        <v>63</v>
      </c>
      <c r="L51" s="99">
        <f t="shared" si="0"/>
        <v>6500</v>
      </c>
      <c r="M51" s="98">
        <f t="shared" si="1"/>
        <v>1</v>
      </c>
      <c r="N51" s="96" t="s">
        <v>561</v>
      </c>
      <c r="O51" s="97" t="s">
        <v>472</v>
      </c>
      <c r="P51" s="97"/>
      <c r="Q51" s="96">
        <v>1</v>
      </c>
      <c r="R51" s="96"/>
      <c r="S51" s="96" t="s">
        <v>1123</v>
      </c>
      <c r="T51" s="95">
        <v>6500</v>
      </c>
      <c r="U51" s="94" t="s">
        <v>1122</v>
      </c>
      <c r="V51" s="125"/>
      <c r="W51" s="125"/>
      <c r="X51" s="125"/>
      <c r="Y51" s="125"/>
      <c r="Z51" s="125"/>
      <c r="AA51" s="125"/>
      <c r="AB51" s="125"/>
      <c r="AC51" s="125"/>
      <c r="AD51" s="125"/>
      <c r="AE51" s="125"/>
      <c r="AF51" s="125"/>
      <c r="AG51" s="125"/>
      <c r="AH51" s="125"/>
      <c r="AI51" s="125"/>
      <c r="AJ51" s="125"/>
      <c r="AK51" s="125"/>
      <c r="AL51" s="125"/>
      <c r="AM51" s="125"/>
      <c r="AN51" s="125"/>
      <c r="AO51" s="125"/>
      <c r="AP51" s="125"/>
      <c r="AQ51" s="125"/>
      <c r="AR51" s="125"/>
      <c r="AS51" s="125"/>
      <c r="AT51" s="125"/>
      <c r="AU51" s="125"/>
      <c r="AV51" s="125"/>
      <c r="AW51" s="125"/>
      <c r="AX51" s="125"/>
      <c r="AY51" s="125"/>
      <c r="AZ51" s="125"/>
      <c r="BA51" s="125"/>
      <c r="BB51" s="125"/>
      <c r="BC51" s="125"/>
      <c r="BD51" s="125"/>
      <c r="BE51" s="125"/>
      <c r="BF51" s="125"/>
      <c r="BG51" s="125"/>
      <c r="BH51" s="125"/>
    </row>
    <row r="52" spans="1:60" s="124" customFormat="1" ht="139.5">
      <c r="A52" s="127"/>
      <c r="B52" s="92" t="s">
        <v>447</v>
      </c>
      <c r="C52" s="100" t="s">
        <v>538</v>
      </c>
      <c r="D52" s="100" t="s">
        <v>621</v>
      </c>
      <c r="E52" s="100" t="s">
        <v>620</v>
      </c>
      <c r="F52" s="100" t="s">
        <v>1064</v>
      </c>
      <c r="G52" s="100" t="s">
        <v>822</v>
      </c>
      <c r="H52" s="100" t="s">
        <v>198</v>
      </c>
      <c r="I52" s="100"/>
      <c r="J52" s="96" t="s">
        <v>64</v>
      </c>
      <c r="K52" s="96" t="s">
        <v>63</v>
      </c>
      <c r="L52" s="99">
        <f t="shared" si="0"/>
        <v>7600</v>
      </c>
      <c r="M52" s="98">
        <f t="shared" si="1"/>
        <v>1</v>
      </c>
      <c r="N52" s="96" t="s">
        <v>821</v>
      </c>
      <c r="O52" s="97" t="s">
        <v>472</v>
      </c>
      <c r="P52" s="97"/>
      <c r="Q52" s="96">
        <v>1</v>
      </c>
      <c r="R52" s="96"/>
      <c r="S52" s="96" t="s">
        <v>1121</v>
      </c>
      <c r="T52" s="95">
        <v>7600</v>
      </c>
      <c r="U52" s="131" t="s">
        <v>1120</v>
      </c>
      <c r="V52" s="125"/>
      <c r="W52" s="125"/>
      <c r="X52" s="125"/>
      <c r="Y52" s="125"/>
      <c r="Z52" s="125"/>
      <c r="AA52" s="125"/>
      <c r="AB52" s="125"/>
      <c r="AC52" s="125"/>
      <c r="AD52" s="125"/>
      <c r="AE52" s="125"/>
      <c r="AF52" s="125"/>
      <c r="AG52" s="125"/>
      <c r="AH52" s="125"/>
      <c r="AI52" s="125"/>
      <c r="AJ52" s="125"/>
      <c r="AK52" s="125"/>
      <c r="AL52" s="125"/>
      <c r="AM52" s="125"/>
      <c r="AN52" s="125"/>
      <c r="AO52" s="125"/>
      <c r="AP52" s="125"/>
      <c r="AQ52" s="125"/>
      <c r="AR52" s="125"/>
      <c r="AS52" s="125"/>
      <c r="AT52" s="125"/>
      <c r="AU52" s="125"/>
      <c r="AV52" s="125"/>
      <c r="AW52" s="125"/>
      <c r="AX52" s="125"/>
      <c r="AY52" s="125"/>
      <c r="AZ52" s="125"/>
      <c r="BA52" s="125"/>
      <c r="BB52" s="125"/>
      <c r="BC52" s="125"/>
      <c r="BD52" s="125"/>
      <c r="BE52" s="125"/>
      <c r="BF52" s="125"/>
      <c r="BG52" s="125"/>
      <c r="BH52" s="125"/>
    </row>
    <row r="53" spans="1:60" s="136" customFormat="1" ht="126">
      <c r="A53" s="127"/>
      <c r="B53" s="110" t="s">
        <v>447</v>
      </c>
      <c r="C53" s="118" t="s">
        <v>527</v>
      </c>
      <c r="D53" s="118" t="s">
        <v>621</v>
      </c>
      <c r="E53" s="118" t="s">
        <v>620</v>
      </c>
      <c r="F53" s="118" t="s">
        <v>1064</v>
      </c>
      <c r="G53" s="168" t="s">
        <v>1119</v>
      </c>
      <c r="H53" s="118" t="s">
        <v>198</v>
      </c>
      <c r="I53" s="118"/>
      <c r="J53" s="113" t="s">
        <v>64</v>
      </c>
      <c r="K53" s="113" t="s">
        <v>63</v>
      </c>
      <c r="L53" s="117">
        <f t="shared" si="0"/>
        <v>849500</v>
      </c>
      <c r="M53" s="116">
        <f t="shared" si="1"/>
        <v>1</v>
      </c>
      <c r="N53" s="113" t="s">
        <v>533</v>
      </c>
      <c r="O53" s="114" t="s">
        <v>472</v>
      </c>
      <c r="P53" s="114"/>
      <c r="Q53" s="113">
        <v>1</v>
      </c>
      <c r="R53" s="113"/>
      <c r="S53" s="113" t="s">
        <v>1118</v>
      </c>
      <c r="T53" s="112">
        <v>849500</v>
      </c>
      <c r="U53" s="111" t="s">
        <v>1117</v>
      </c>
      <c r="V53" s="137"/>
      <c r="W53" s="137"/>
      <c r="X53" s="137"/>
      <c r="Y53" s="137"/>
      <c r="Z53" s="137"/>
      <c r="AA53" s="137"/>
      <c r="AB53" s="137"/>
      <c r="AC53" s="137"/>
      <c r="AD53" s="137"/>
      <c r="AE53" s="137"/>
      <c r="AF53" s="137"/>
      <c r="AG53" s="137"/>
      <c r="AH53" s="137"/>
      <c r="AI53" s="137"/>
      <c r="AJ53" s="137"/>
      <c r="AK53" s="137"/>
      <c r="AL53" s="137"/>
      <c r="AM53" s="137"/>
      <c r="AN53" s="137"/>
      <c r="AO53" s="137"/>
      <c r="AP53" s="137"/>
      <c r="AQ53" s="137"/>
      <c r="AR53" s="137"/>
      <c r="AS53" s="137"/>
      <c r="AT53" s="137"/>
      <c r="AU53" s="137"/>
      <c r="AV53" s="137"/>
      <c r="AW53" s="137"/>
      <c r="AX53" s="137"/>
      <c r="AY53" s="137"/>
      <c r="AZ53" s="137"/>
      <c r="BA53" s="137"/>
      <c r="BB53" s="137"/>
      <c r="BC53" s="137"/>
      <c r="BD53" s="137"/>
      <c r="BE53" s="137"/>
      <c r="BF53" s="137"/>
      <c r="BG53" s="137"/>
      <c r="BH53" s="137"/>
    </row>
    <row r="54" spans="1:60" s="124" customFormat="1" ht="139.5">
      <c r="A54" s="127"/>
      <c r="B54" s="92" t="s">
        <v>447</v>
      </c>
      <c r="C54" s="100" t="s">
        <v>477</v>
      </c>
      <c r="D54" s="100" t="s">
        <v>621</v>
      </c>
      <c r="E54" s="100" t="s">
        <v>620</v>
      </c>
      <c r="F54" s="100" t="s">
        <v>1064</v>
      </c>
      <c r="G54" s="100" t="s">
        <v>1116</v>
      </c>
      <c r="H54" s="100" t="s">
        <v>198</v>
      </c>
      <c r="I54" s="100"/>
      <c r="J54" s="96" t="s">
        <v>64</v>
      </c>
      <c r="K54" s="96" t="s">
        <v>63</v>
      </c>
      <c r="L54" s="99">
        <f t="shared" si="0"/>
        <v>432000</v>
      </c>
      <c r="M54" s="98">
        <f t="shared" si="1"/>
        <v>2</v>
      </c>
      <c r="N54" s="96"/>
      <c r="O54" s="97"/>
      <c r="P54" s="97" t="s">
        <v>472</v>
      </c>
      <c r="Q54" s="96"/>
      <c r="R54" s="96">
        <v>2</v>
      </c>
      <c r="S54" s="96"/>
      <c r="T54" s="95">
        <v>216000</v>
      </c>
      <c r="U54" s="94" t="s">
        <v>1115</v>
      </c>
      <c r="V54" s="125"/>
      <c r="W54" s="125"/>
      <c r="X54" s="125"/>
      <c r="Y54" s="125"/>
      <c r="Z54" s="125"/>
      <c r="AA54" s="125"/>
      <c r="AB54" s="125"/>
      <c r="AC54" s="125"/>
      <c r="AD54" s="125"/>
      <c r="AE54" s="125"/>
      <c r="AF54" s="125"/>
      <c r="AG54" s="125"/>
      <c r="AH54" s="125"/>
      <c r="AI54" s="125"/>
      <c r="AJ54" s="125"/>
      <c r="AK54" s="125"/>
      <c r="AL54" s="125"/>
      <c r="AM54" s="125"/>
      <c r="AN54" s="125"/>
      <c r="AO54" s="125"/>
      <c r="AP54" s="125"/>
      <c r="AQ54" s="125"/>
      <c r="AR54" s="125"/>
      <c r="AS54" s="125"/>
      <c r="AT54" s="125"/>
      <c r="AU54" s="125"/>
      <c r="AV54" s="125"/>
      <c r="AW54" s="125"/>
      <c r="AX54" s="125"/>
      <c r="AY54" s="125"/>
      <c r="AZ54" s="125"/>
      <c r="BA54" s="125"/>
      <c r="BB54" s="125"/>
      <c r="BC54" s="125"/>
      <c r="BD54" s="125"/>
      <c r="BE54" s="125"/>
      <c r="BF54" s="125"/>
      <c r="BG54" s="125"/>
      <c r="BH54" s="125"/>
    </row>
    <row r="55" spans="1:60" s="124" customFormat="1" ht="139.5">
      <c r="A55" s="127"/>
      <c r="B55" s="92" t="s">
        <v>447</v>
      </c>
      <c r="C55" s="100" t="s">
        <v>477</v>
      </c>
      <c r="D55" s="100" t="s">
        <v>621</v>
      </c>
      <c r="E55" s="100" t="s">
        <v>620</v>
      </c>
      <c r="F55" s="100" t="s">
        <v>1064</v>
      </c>
      <c r="G55" s="100" t="s">
        <v>1114</v>
      </c>
      <c r="H55" s="100" t="s">
        <v>198</v>
      </c>
      <c r="I55" s="100"/>
      <c r="J55" s="96" t="s">
        <v>64</v>
      </c>
      <c r="K55" s="96" t="s">
        <v>63</v>
      </c>
      <c r="L55" s="99">
        <f t="shared" si="0"/>
        <v>70190</v>
      </c>
      <c r="M55" s="98">
        <f t="shared" si="1"/>
        <v>1</v>
      </c>
      <c r="N55" s="96"/>
      <c r="O55" s="97"/>
      <c r="P55" s="97" t="s">
        <v>472</v>
      </c>
      <c r="Q55" s="96"/>
      <c r="R55" s="96">
        <v>1</v>
      </c>
      <c r="S55" s="96"/>
      <c r="T55" s="95">
        <v>70190</v>
      </c>
      <c r="U55" s="94" t="s">
        <v>1113</v>
      </c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5"/>
      <c r="AH55" s="125"/>
      <c r="AI55" s="125"/>
      <c r="AJ55" s="125"/>
      <c r="AK55" s="125"/>
      <c r="AL55" s="125"/>
      <c r="AM55" s="125"/>
      <c r="AN55" s="125"/>
      <c r="AO55" s="125"/>
      <c r="AP55" s="125"/>
      <c r="AQ55" s="125"/>
      <c r="AR55" s="125"/>
      <c r="AS55" s="125"/>
      <c r="AT55" s="125"/>
      <c r="AU55" s="125"/>
      <c r="AV55" s="125"/>
      <c r="AW55" s="125"/>
      <c r="AX55" s="125"/>
      <c r="AY55" s="125"/>
      <c r="AZ55" s="125"/>
      <c r="BA55" s="125"/>
      <c r="BB55" s="125"/>
      <c r="BC55" s="125"/>
      <c r="BD55" s="125"/>
      <c r="BE55" s="125"/>
      <c r="BF55" s="125"/>
      <c r="BG55" s="125"/>
      <c r="BH55" s="125"/>
    </row>
    <row r="56" spans="1:60" s="124" customFormat="1" ht="139.5">
      <c r="A56" s="127"/>
      <c r="B56" s="92" t="s">
        <v>447</v>
      </c>
      <c r="C56" s="100" t="s">
        <v>477</v>
      </c>
      <c r="D56" s="100" t="s">
        <v>621</v>
      </c>
      <c r="E56" s="100" t="s">
        <v>620</v>
      </c>
      <c r="F56" s="100" t="s">
        <v>1064</v>
      </c>
      <c r="G56" s="100" t="s">
        <v>1112</v>
      </c>
      <c r="H56" s="100" t="s">
        <v>198</v>
      </c>
      <c r="I56" s="100"/>
      <c r="J56" s="96" t="s">
        <v>64</v>
      </c>
      <c r="K56" s="96" t="s">
        <v>63</v>
      </c>
      <c r="L56" s="99">
        <f t="shared" si="0"/>
        <v>2200</v>
      </c>
      <c r="M56" s="98">
        <f t="shared" si="1"/>
        <v>2</v>
      </c>
      <c r="N56" s="96"/>
      <c r="O56" s="97"/>
      <c r="P56" s="97" t="s">
        <v>472</v>
      </c>
      <c r="Q56" s="96"/>
      <c r="R56" s="96">
        <v>2</v>
      </c>
      <c r="S56" s="96"/>
      <c r="T56" s="95">
        <v>1100</v>
      </c>
      <c r="U56" s="94" t="s">
        <v>1111</v>
      </c>
      <c r="V56" s="125"/>
      <c r="W56" s="125"/>
      <c r="X56" s="125"/>
      <c r="Y56" s="125"/>
      <c r="Z56" s="125"/>
      <c r="AA56" s="125"/>
      <c r="AB56" s="125"/>
      <c r="AC56" s="125"/>
      <c r="AD56" s="125"/>
      <c r="AE56" s="125"/>
      <c r="AF56" s="125"/>
      <c r="AG56" s="125"/>
      <c r="AH56" s="125"/>
      <c r="AI56" s="125"/>
      <c r="AJ56" s="125"/>
      <c r="AK56" s="125"/>
      <c r="AL56" s="125"/>
      <c r="AM56" s="125"/>
      <c r="AN56" s="125"/>
      <c r="AO56" s="125"/>
      <c r="AP56" s="125"/>
      <c r="AQ56" s="125"/>
      <c r="AR56" s="125"/>
      <c r="AS56" s="125"/>
      <c r="AT56" s="125"/>
      <c r="AU56" s="125"/>
      <c r="AV56" s="125"/>
      <c r="AW56" s="125"/>
      <c r="AX56" s="125"/>
      <c r="AY56" s="125"/>
      <c r="AZ56" s="125"/>
      <c r="BA56" s="125"/>
      <c r="BB56" s="125"/>
      <c r="BC56" s="125"/>
      <c r="BD56" s="125"/>
      <c r="BE56" s="125"/>
      <c r="BF56" s="125"/>
      <c r="BG56" s="125"/>
      <c r="BH56" s="125"/>
    </row>
    <row r="57" spans="1:60" s="124" customFormat="1" ht="139.5">
      <c r="A57" s="127"/>
      <c r="B57" s="92" t="s">
        <v>447</v>
      </c>
      <c r="C57" s="100" t="s">
        <v>477</v>
      </c>
      <c r="D57" s="100" t="s">
        <v>621</v>
      </c>
      <c r="E57" s="100" t="s">
        <v>620</v>
      </c>
      <c r="F57" s="100" t="s">
        <v>1064</v>
      </c>
      <c r="G57" s="100" t="s">
        <v>1110</v>
      </c>
      <c r="H57" s="100" t="s">
        <v>198</v>
      </c>
      <c r="I57" s="100"/>
      <c r="J57" s="96" t="s">
        <v>64</v>
      </c>
      <c r="K57" s="96" t="s">
        <v>63</v>
      </c>
      <c r="L57" s="99">
        <f t="shared" si="0"/>
        <v>19200</v>
      </c>
      <c r="M57" s="98">
        <f t="shared" si="1"/>
        <v>4</v>
      </c>
      <c r="N57" s="96"/>
      <c r="O57" s="96"/>
      <c r="P57" s="97" t="s">
        <v>472</v>
      </c>
      <c r="Q57" s="96"/>
      <c r="R57" s="96">
        <v>4</v>
      </c>
      <c r="S57" s="96"/>
      <c r="T57" s="95">
        <v>4800</v>
      </c>
      <c r="U57" s="94" t="s">
        <v>1109</v>
      </c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  <c r="AR57" s="125"/>
      <c r="AS57" s="125"/>
      <c r="AT57" s="125"/>
      <c r="AU57" s="125"/>
      <c r="AV57" s="125"/>
      <c r="AW57" s="125"/>
      <c r="AX57" s="125"/>
      <c r="AY57" s="125"/>
      <c r="AZ57" s="125"/>
      <c r="BA57" s="125"/>
      <c r="BB57" s="125"/>
      <c r="BC57" s="125"/>
      <c r="BD57" s="125"/>
      <c r="BE57" s="125"/>
      <c r="BF57" s="125"/>
      <c r="BG57" s="125"/>
      <c r="BH57" s="125"/>
    </row>
    <row r="58" spans="1:60" s="124" customFormat="1" ht="139.5">
      <c r="A58" s="127"/>
      <c r="B58" s="92" t="s">
        <v>447</v>
      </c>
      <c r="C58" s="100" t="s">
        <v>477</v>
      </c>
      <c r="D58" s="100" t="s">
        <v>621</v>
      </c>
      <c r="E58" s="100" t="s">
        <v>620</v>
      </c>
      <c r="F58" s="100" t="s">
        <v>1064</v>
      </c>
      <c r="G58" s="100" t="s">
        <v>1108</v>
      </c>
      <c r="H58" s="100" t="s">
        <v>198</v>
      </c>
      <c r="I58" s="100"/>
      <c r="J58" s="96" t="s">
        <v>64</v>
      </c>
      <c r="K58" s="96" t="s">
        <v>63</v>
      </c>
      <c r="L58" s="99">
        <f t="shared" si="0"/>
        <v>18000</v>
      </c>
      <c r="M58" s="98">
        <f t="shared" si="1"/>
        <v>3</v>
      </c>
      <c r="N58" s="96"/>
      <c r="O58" s="96"/>
      <c r="P58" s="97" t="s">
        <v>472</v>
      </c>
      <c r="Q58" s="96"/>
      <c r="R58" s="96">
        <v>3</v>
      </c>
      <c r="S58" s="96"/>
      <c r="T58" s="95">
        <v>6000</v>
      </c>
      <c r="U58" s="94" t="s">
        <v>1107</v>
      </c>
      <c r="V58" s="125"/>
      <c r="W58" s="125"/>
      <c r="X58" s="125"/>
      <c r="Y58" s="125"/>
      <c r="Z58" s="125"/>
      <c r="AA58" s="125"/>
      <c r="AB58" s="125"/>
      <c r="AC58" s="125"/>
      <c r="AD58" s="125"/>
      <c r="AE58" s="125"/>
      <c r="AF58" s="125"/>
      <c r="AG58" s="125"/>
      <c r="AH58" s="125"/>
      <c r="AI58" s="125"/>
      <c r="AJ58" s="125"/>
      <c r="AK58" s="125"/>
      <c r="AL58" s="125"/>
      <c r="AM58" s="125"/>
      <c r="AN58" s="125"/>
      <c r="AO58" s="125"/>
      <c r="AP58" s="125"/>
      <c r="AQ58" s="125"/>
      <c r="AR58" s="125"/>
      <c r="AS58" s="125"/>
      <c r="AT58" s="125"/>
      <c r="AU58" s="125"/>
      <c r="AV58" s="125"/>
      <c r="AW58" s="125"/>
      <c r="AX58" s="125"/>
      <c r="AY58" s="125"/>
      <c r="AZ58" s="125"/>
      <c r="BA58" s="125"/>
      <c r="BB58" s="125"/>
      <c r="BC58" s="125"/>
      <c r="BD58" s="125"/>
      <c r="BE58" s="125"/>
      <c r="BF58" s="125"/>
      <c r="BG58" s="125"/>
      <c r="BH58" s="125"/>
    </row>
    <row r="59" spans="1:60" s="124" customFormat="1" ht="139.5">
      <c r="A59" s="127"/>
      <c r="B59" s="92" t="s">
        <v>447</v>
      </c>
      <c r="C59" s="100" t="s">
        <v>477</v>
      </c>
      <c r="D59" s="100" t="s">
        <v>621</v>
      </c>
      <c r="E59" s="100" t="s">
        <v>620</v>
      </c>
      <c r="F59" s="100" t="s">
        <v>1064</v>
      </c>
      <c r="G59" s="100" t="s">
        <v>1106</v>
      </c>
      <c r="H59" s="100" t="s">
        <v>198</v>
      </c>
      <c r="I59" s="100"/>
      <c r="J59" s="96" t="s">
        <v>64</v>
      </c>
      <c r="K59" s="96" t="s">
        <v>63</v>
      </c>
      <c r="L59" s="99">
        <f t="shared" si="0"/>
        <v>35000</v>
      </c>
      <c r="M59" s="98">
        <f t="shared" si="1"/>
        <v>2</v>
      </c>
      <c r="N59" s="96"/>
      <c r="O59" s="96"/>
      <c r="P59" s="97" t="s">
        <v>472</v>
      </c>
      <c r="Q59" s="96"/>
      <c r="R59" s="96">
        <v>2</v>
      </c>
      <c r="S59" s="96"/>
      <c r="T59" s="95">
        <v>17500</v>
      </c>
      <c r="U59" s="109" t="s">
        <v>1105</v>
      </c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5"/>
      <c r="AH59" s="125"/>
      <c r="AI59" s="125"/>
      <c r="AJ59" s="125"/>
      <c r="AK59" s="125"/>
      <c r="AL59" s="125"/>
      <c r="AM59" s="125"/>
      <c r="AN59" s="125"/>
      <c r="AO59" s="125"/>
      <c r="AP59" s="125"/>
      <c r="AQ59" s="125"/>
      <c r="AR59" s="125"/>
      <c r="AS59" s="125"/>
      <c r="AT59" s="125"/>
      <c r="AU59" s="125"/>
      <c r="AV59" s="125"/>
      <c r="AW59" s="125"/>
      <c r="AX59" s="125"/>
      <c r="AY59" s="125"/>
      <c r="AZ59" s="125"/>
      <c r="BA59" s="125"/>
      <c r="BB59" s="125"/>
      <c r="BC59" s="125"/>
      <c r="BD59" s="125"/>
      <c r="BE59" s="125"/>
      <c r="BF59" s="125"/>
      <c r="BG59" s="125"/>
      <c r="BH59" s="125"/>
    </row>
    <row r="60" spans="1:60" s="124" customFormat="1" ht="139.5">
      <c r="A60" s="127"/>
      <c r="B60" s="92" t="s">
        <v>447</v>
      </c>
      <c r="C60" s="100" t="s">
        <v>477</v>
      </c>
      <c r="D60" s="100" t="s">
        <v>621</v>
      </c>
      <c r="E60" s="100" t="s">
        <v>620</v>
      </c>
      <c r="F60" s="100" t="s">
        <v>1064</v>
      </c>
      <c r="G60" s="100" t="s">
        <v>1104</v>
      </c>
      <c r="H60" s="100" t="s">
        <v>198</v>
      </c>
      <c r="I60" s="100"/>
      <c r="J60" s="96" t="s">
        <v>64</v>
      </c>
      <c r="K60" s="96" t="s">
        <v>63</v>
      </c>
      <c r="L60" s="99">
        <f t="shared" si="0"/>
        <v>8000</v>
      </c>
      <c r="M60" s="98">
        <f t="shared" si="1"/>
        <v>2</v>
      </c>
      <c r="N60" s="96"/>
      <c r="O60" s="96"/>
      <c r="P60" s="97" t="s">
        <v>472</v>
      </c>
      <c r="Q60" s="96"/>
      <c r="R60" s="96">
        <v>2</v>
      </c>
      <c r="S60" s="96"/>
      <c r="T60" s="95">
        <v>4000</v>
      </c>
      <c r="U60" s="94" t="s">
        <v>1103</v>
      </c>
      <c r="V60" s="125"/>
      <c r="W60" s="125"/>
      <c r="X60" s="125"/>
      <c r="Y60" s="125"/>
      <c r="Z60" s="125"/>
      <c r="AA60" s="125"/>
      <c r="AB60" s="125"/>
      <c r="AC60" s="125"/>
      <c r="AD60" s="125"/>
      <c r="AE60" s="125"/>
      <c r="AF60" s="125"/>
      <c r="AG60" s="125"/>
      <c r="AH60" s="125"/>
      <c r="AI60" s="125"/>
      <c r="AJ60" s="125"/>
      <c r="AK60" s="125"/>
      <c r="AL60" s="125"/>
      <c r="AM60" s="125"/>
      <c r="AN60" s="125"/>
      <c r="AO60" s="125"/>
      <c r="AP60" s="125"/>
      <c r="AQ60" s="125"/>
      <c r="AR60" s="125"/>
      <c r="AS60" s="125"/>
      <c r="AT60" s="125"/>
      <c r="AU60" s="125"/>
      <c r="AV60" s="125"/>
      <c r="AW60" s="125"/>
      <c r="AX60" s="125"/>
      <c r="AY60" s="125"/>
      <c r="AZ60" s="125"/>
      <c r="BA60" s="125"/>
      <c r="BB60" s="125"/>
      <c r="BC60" s="125"/>
      <c r="BD60" s="125"/>
      <c r="BE60" s="125"/>
      <c r="BF60" s="125"/>
      <c r="BG60" s="125"/>
      <c r="BH60" s="125"/>
    </row>
    <row r="61" spans="1:60" s="124" customFormat="1" ht="139.5">
      <c r="A61" s="127"/>
      <c r="B61" s="92" t="s">
        <v>447</v>
      </c>
      <c r="C61" s="100" t="s">
        <v>477</v>
      </c>
      <c r="D61" s="100" t="s">
        <v>621</v>
      </c>
      <c r="E61" s="100" t="s">
        <v>620</v>
      </c>
      <c r="F61" s="100" t="s">
        <v>1064</v>
      </c>
      <c r="G61" s="100" t="s">
        <v>1102</v>
      </c>
      <c r="H61" s="100" t="s">
        <v>198</v>
      </c>
      <c r="I61" s="100"/>
      <c r="J61" s="96" t="s">
        <v>64</v>
      </c>
      <c r="K61" s="96" t="s">
        <v>63</v>
      </c>
      <c r="L61" s="99">
        <f t="shared" si="0"/>
        <v>12600</v>
      </c>
      <c r="M61" s="98">
        <f t="shared" si="1"/>
        <v>1</v>
      </c>
      <c r="N61" s="96"/>
      <c r="O61" s="96"/>
      <c r="P61" s="97" t="s">
        <v>472</v>
      </c>
      <c r="Q61" s="96"/>
      <c r="R61" s="96">
        <v>1</v>
      </c>
      <c r="S61" s="96"/>
      <c r="T61" s="95">
        <v>12600</v>
      </c>
      <c r="U61" s="94" t="s">
        <v>1101</v>
      </c>
      <c r="V61" s="125"/>
      <c r="W61" s="125"/>
      <c r="X61" s="125"/>
      <c r="Y61" s="125"/>
      <c r="Z61" s="125"/>
      <c r="AA61" s="125"/>
      <c r="AB61" s="125"/>
      <c r="AC61" s="125"/>
      <c r="AD61" s="125"/>
      <c r="AE61" s="125"/>
      <c r="AF61" s="125"/>
      <c r="AG61" s="125"/>
      <c r="AH61" s="125"/>
      <c r="AI61" s="125"/>
      <c r="AJ61" s="125"/>
      <c r="AK61" s="125"/>
      <c r="AL61" s="125"/>
      <c r="AM61" s="125"/>
      <c r="AN61" s="125"/>
      <c r="AO61" s="125"/>
      <c r="AP61" s="125"/>
      <c r="AQ61" s="125"/>
      <c r="AR61" s="125"/>
      <c r="AS61" s="125"/>
      <c r="AT61" s="125"/>
      <c r="AU61" s="125"/>
      <c r="AV61" s="125"/>
      <c r="AW61" s="125"/>
      <c r="AX61" s="125"/>
      <c r="AY61" s="125"/>
      <c r="AZ61" s="125"/>
      <c r="BA61" s="125"/>
      <c r="BB61" s="125"/>
      <c r="BC61" s="125"/>
      <c r="BD61" s="125"/>
      <c r="BE61" s="125"/>
      <c r="BF61" s="125"/>
      <c r="BG61" s="125"/>
      <c r="BH61" s="125"/>
    </row>
    <row r="62" spans="1:60" s="124" customFormat="1" ht="139.5">
      <c r="A62" s="127"/>
      <c r="B62" s="92" t="s">
        <v>447</v>
      </c>
      <c r="C62" s="100" t="s">
        <v>477</v>
      </c>
      <c r="D62" s="100" t="s">
        <v>621</v>
      </c>
      <c r="E62" s="100" t="s">
        <v>620</v>
      </c>
      <c r="F62" s="100" t="s">
        <v>1064</v>
      </c>
      <c r="G62" s="100" t="s">
        <v>1100</v>
      </c>
      <c r="H62" s="100" t="s">
        <v>198</v>
      </c>
      <c r="I62" s="100"/>
      <c r="J62" s="96" t="s">
        <v>64</v>
      </c>
      <c r="K62" s="96" t="s">
        <v>63</v>
      </c>
      <c r="L62" s="99">
        <f t="shared" si="0"/>
        <v>25800</v>
      </c>
      <c r="M62" s="98">
        <f t="shared" si="1"/>
        <v>2</v>
      </c>
      <c r="N62" s="96"/>
      <c r="O62" s="96"/>
      <c r="P62" s="97" t="s">
        <v>472</v>
      </c>
      <c r="Q62" s="96"/>
      <c r="R62" s="96">
        <v>2</v>
      </c>
      <c r="S62" s="96"/>
      <c r="T62" s="95">
        <v>12900</v>
      </c>
      <c r="U62" s="94" t="s">
        <v>1099</v>
      </c>
      <c r="V62" s="125"/>
      <c r="W62" s="125"/>
      <c r="X62" s="125"/>
      <c r="Y62" s="125"/>
      <c r="Z62" s="125"/>
      <c r="AA62" s="125"/>
      <c r="AB62" s="125"/>
      <c r="AC62" s="125"/>
      <c r="AD62" s="125"/>
      <c r="AE62" s="125"/>
      <c r="AF62" s="125"/>
      <c r="AG62" s="125"/>
      <c r="AH62" s="125"/>
      <c r="AI62" s="125"/>
      <c r="AJ62" s="125"/>
      <c r="AK62" s="125"/>
      <c r="AL62" s="125"/>
      <c r="AM62" s="125"/>
      <c r="AN62" s="125"/>
      <c r="AO62" s="125"/>
      <c r="AP62" s="125"/>
      <c r="AQ62" s="125"/>
      <c r="AR62" s="125"/>
      <c r="AS62" s="125"/>
      <c r="AT62" s="125"/>
      <c r="AU62" s="125"/>
      <c r="AV62" s="125"/>
      <c r="AW62" s="125"/>
      <c r="AX62" s="125"/>
      <c r="AY62" s="125"/>
      <c r="AZ62" s="125"/>
      <c r="BA62" s="125"/>
      <c r="BB62" s="125"/>
      <c r="BC62" s="125"/>
      <c r="BD62" s="125"/>
      <c r="BE62" s="125"/>
      <c r="BF62" s="125"/>
      <c r="BG62" s="125"/>
      <c r="BH62" s="125"/>
    </row>
    <row r="63" spans="1:60" s="124" customFormat="1" ht="139.5">
      <c r="A63" s="127"/>
      <c r="B63" s="92" t="s">
        <v>447</v>
      </c>
      <c r="C63" s="100" t="s">
        <v>477</v>
      </c>
      <c r="D63" s="100" t="s">
        <v>621</v>
      </c>
      <c r="E63" s="100" t="s">
        <v>620</v>
      </c>
      <c r="F63" s="100" t="s">
        <v>1064</v>
      </c>
      <c r="G63" s="100" t="s">
        <v>1098</v>
      </c>
      <c r="H63" s="100" t="s">
        <v>198</v>
      </c>
      <c r="I63" s="100"/>
      <c r="J63" s="96" t="s">
        <v>64</v>
      </c>
      <c r="K63" s="96" t="s">
        <v>63</v>
      </c>
      <c r="L63" s="99">
        <f t="shared" si="0"/>
        <v>120000</v>
      </c>
      <c r="M63" s="98">
        <f t="shared" si="1"/>
        <v>2</v>
      </c>
      <c r="N63" s="96"/>
      <c r="O63" s="96"/>
      <c r="P63" s="97" t="s">
        <v>472</v>
      </c>
      <c r="Q63" s="96"/>
      <c r="R63" s="96">
        <v>2</v>
      </c>
      <c r="S63" s="96"/>
      <c r="T63" s="95">
        <v>60000</v>
      </c>
      <c r="U63" s="94" t="s">
        <v>1097</v>
      </c>
      <c r="V63" s="125"/>
      <c r="W63" s="125"/>
      <c r="X63" s="125"/>
      <c r="Y63" s="125"/>
      <c r="Z63" s="125"/>
      <c r="AA63" s="125"/>
      <c r="AB63" s="125"/>
      <c r="AC63" s="125"/>
      <c r="AD63" s="125"/>
      <c r="AE63" s="125"/>
      <c r="AF63" s="125"/>
      <c r="AG63" s="125"/>
      <c r="AH63" s="125"/>
      <c r="AI63" s="125"/>
      <c r="AJ63" s="125"/>
      <c r="AK63" s="125"/>
      <c r="AL63" s="125"/>
      <c r="AM63" s="125"/>
      <c r="AN63" s="125"/>
      <c r="AO63" s="125"/>
      <c r="AP63" s="125"/>
      <c r="AQ63" s="125"/>
      <c r="AR63" s="125"/>
      <c r="AS63" s="125"/>
      <c r="AT63" s="125"/>
      <c r="AU63" s="125"/>
      <c r="AV63" s="125"/>
      <c r="AW63" s="125"/>
      <c r="AX63" s="125"/>
      <c r="AY63" s="125"/>
      <c r="AZ63" s="125"/>
      <c r="BA63" s="125"/>
      <c r="BB63" s="125"/>
      <c r="BC63" s="125"/>
      <c r="BD63" s="125"/>
      <c r="BE63" s="125"/>
      <c r="BF63" s="125"/>
      <c r="BG63" s="125"/>
      <c r="BH63" s="125"/>
    </row>
    <row r="64" spans="1:60" s="124" customFormat="1" ht="139.5">
      <c r="A64" s="127"/>
      <c r="B64" s="101" t="s">
        <v>447</v>
      </c>
      <c r="C64" s="166" t="s">
        <v>477</v>
      </c>
      <c r="D64" s="100" t="s">
        <v>621</v>
      </c>
      <c r="E64" s="100" t="s">
        <v>620</v>
      </c>
      <c r="F64" s="100" t="s">
        <v>1064</v>
      </c>
      <c r="G64" s="166" t="s">
        <v>1096</v>
      </c>
      <c r="H64" s="166" t="s">
        <v>198</v>
      </c>
      <c r="I64" s="166"/>
      <c r="J64" s="163" t="s">
        <v>64</v>
      </c>
      <c r="K64" s="163" t="s">
        <v>63</v>
      </c>
      <c r="L64" s="99">
        <f t="shared" si="0"/>
        <v>30000</v>
      </c>
      <c r="M64" s="165">
        <f t="shared" si="1"/>
        <v>2</v>
      </c>
      <c r="N64" s="163"/>
      <c r="O64" s="163"/>
      <c r="P64" s="164" t="s">
        <v>472</v>
      </c>
      <c r="Q64" s="163"/>
      <c r="R64" s="163">
        <v>2</v>
      </c>
      <c r="S64" s="163"/>
      <c r="T64" s="162">
        <v>15000</v>
      </c>
      <c r="U64" s="94" t="s">
        <v>1095</v>
      </c>
      <c r="V64" s="125"/>
      <c r="W64" s="125"/>
      <c r="X64" s="125"/>
      <c r="Y64" s="125"/>
      <c r="Z64" s="125"/>
      <c r="AA64" s="125"/>
      <c r="AB64" s="125"/>
      <c r="AC64" s="125"/>
      <c r="AD64" s="125"/>
      <c r="AE64" s="125"/>
      <c r="AF64" s="125"/>
      <c r="AG64" s="125"/>
      <c r="AH64" s="125"/>
      <c r="AI64" s="125"/>
      <c r="AJ64" s="125"/>
      <c r="AK64" s="125"/>
      <c r="AL64" s="125"/>
      <c r="AM64" s="125"/>
      <c r="AN64" s="125"/>
      <c r="AO64" s="125"/>
      <c r="AP64" s="125"/>
      <c r="AQ64" s="125"/>
      <c r="AR64" s="125"/>
      <c r="AS64" s="125"/>
      <c r="AT64" s="125"/>
      <c r="AU64" s="125"/>
      <c r="AV64" s="125"/>
      <c r="AW64" s="125"/>
      <c r="AX64" s="125"/>
      <c r="AY64" s="125"/>
      <c r="AZ64" s="125"/>
      <c r="BA64" s="125"/>
      <c r="BB64" s="125"/>
      <c r="BC64" s="125"/>
      <c r="BD64" s="125"/>
      <c r="BE64" s="125"/>
      <c r="BF64" s="125"/>
      <c r="BG64" s="125"/>
      <c r="BH64" s="125"/>
    </row>
    <row r="65" spans="1:60" s="124" customFormat="1" ht="139.5">
      <c r="A65" s="127"/>
      <c r="B65" s="101" t="s">
        <v>447</v>
      </c>
      <c r="C65" s="166" t="s">
        <v>477</v>
      </c>
      <c r="D65" s="100" t="s">
        <v>621</v>
      </c>
      <c r="E65" s="100" t="s">
        <v>620</v>
      </c>
      <c r="F65" s="100" t="s">
        <v>1064</v>
      </c>
      <c r="G65" s="166" t="s">
        <v>1094</v>
      </c>
      <c r="H65" s="166" t="s">
        <v>198</v>
      </c>
      <c r="I65" s="166"/>
      <c r="J65" s="163" t="s">
        <v>64</v>
      </c>
      <c r="K65" s="163" t="s">
        <v>63</v>
      </c>
      <c r="L65" s="99">
        <f t="shared" si="0"/>
        <v>1400</v>
      </c>
      <c r="M65" s="165">
        <f t="shared" si="1"/>
        <v>2</v>
      </c>
      <c r="N65" s="163"/>
      <c r="O65" s="163"/>
      <c r="P65" s="164" t="s">
        <v>472</v>
      </c>
      <c r="Q65" s="163"/>
      <c r="R65" s="163">
        <v>2</v>
      </c>
      <c r="S65" s="163"/>
      <c r="T65" s="162">
        <v>700</v>
      </c>
      <c r="U65" s="94" t="s">
        <v>1093</v>
      </c>
      <c r="V65" s="125"/>
      <c r="W65" s="125"/>
      <c r="X65" s="125"/>
      <c r="Y65" s="125"/>
      <c r="Z65" s="125"/>
      <c r="AA65" s="125"/>
      <c r="AB65" s="125"/>
      <c r="AC65" s="125"/>
      <c r="AD65" s="125"/>
      <c r="AE65" s="125"/>
      <c r="AF65" s="125"/>
      <c r="AG65" s="125"/>
      <c r="AH65" s="125"/>
      <c r="AI65" s="125"/>
      <c r="AJ65" s="125"/>
      <c r="AK65" s="125"/>
      <c r="AL65" s="125"/>
      <c r="AM65" s="125"/>
      <c r="AN65" s="125"/>
      <c r="AO65" s="125"/>
      <c r="AP65" s="125"/>
      <c r="AQ65" s="125"/>
      <c r="AR65" s="125"/>
      <c r="AS65" s="125"/>
      <c r="AT65" s="125"/>
      <c r="AU65" s="125"/>
      <c r="AV65" s="125"/>
      <c r="AW65" s="125"/>
      <c r="AX65" s="125"/>
      <c r="AY65" s="125"/>
      <c r="AZ65" s="125"/>
      <c r="BA65" s="125"/>
      <c r="BB65" s="125"/>
      <c r="BC65" s="125"/>
      <c r="BD65" s="125"/>
      <c r="BE65" s="125"/>
      <c r="BF65" s="125"/>
      <c r="BG65" s="125"/>
      <c r="BH65" s="125"/>
    </row>
    <row r="66" spans="1:60" s="124" customFormat="1" ht="139.5">
      <c r="A66" s="127"/>
      <c r="B66" s="101" t="s">
        <v>447</v>
      </c>
      <c r="C66" s="166" t="s">
        <v>477</v>
      </c>
      <c r="D66" s="100" t="s">
        <v>621</v>
      </c>
      <c r="E66" s="100" t="s">
        <v>620</v>
      </c>
      <c r="F66" s="100" t="s">
        <v>1064</v>
      </c>
      <c r="G66" s="166" t="s">
        <v>1092</v>
      </c>
      <c r="H66" s="166" t="s">
        <v>198</v>
      </c>
      <c r="I66" s="166"/>
      <c r="J66" s="163" t="s">
        <v>64</v>
      </c>
      <c r="K66" s="163" t="s">
        <v>63</v>
      </c>
      <c r="L66" s="99">
        <f t="shared" si="0"/>
        <v>45000</v>
      </c>
      <c r="M66" s="165">
        <f t="shared" si="1"/>
        <v>1</v>
      </c>
      <c r="N66" s="163"/>
      <c r="O66" s="163"/>
      <c r="P66" s="164" t="s">
        <v>472</v>
      </c>
      <c r="Q66" s="163"/>
      <c r="R66" s="163">
        <v>1</v>
      </c>
      <c r="S66" s="163"/>
      <c r="T66" s="162">
        <v>45000</v>
      </c>
      <c r="U66" s="94" t="s">
        <v>1091</v>
      </c>
      <c r="V66" s="125"/>
      <c r="W66" s="125"/>
      <c r="X66" s="125"/>
      <c r="Y66" s="125"/>
      <c r="Z66" s="125"/>
      <c r="AA66" s="125"/>
      <c r="AB66" s="125"/>
      <c r="AC66" s="125"/>
      <c r="AD66" s="125"/>
      <c r="AE66" s="125"/>
      <c r="AF66" s="125"/>
      <c r="AG66" s="125"/>
      <c r="AH66" s="125"/>
      <c r="AI66" s="125"/>
      <c r="AJ66" s="125"/>
      <c r="AK66" s="125"/>
      <c r="AL66" s="125"/>
      <c r="AM66" s="125"/>
      <c r="AN66" s="125"/>
      <c r="AO66" s="125"/>
      <c r="AP66" s="125"/>
      <c r="AQ66" s="125"/>
      <c r="AR66" s="125"/>
      <c r="AS66" s="125"/>
      <c r="AT66" s="125"/>
      <c r="AU66" s="125"/>
      <c r="AV66" s="125"/>
      <c r="AW66" s="125"/>
      <c r="AX66" s="125"/>
      <c r="AY66" s="125"/>
      <c r="AZ66" s="125"/>
      <c r="BA66" s="125"/>
      <c r="BB66" s="125"/>
      <c r="BC66" s="125"/>
      <c r="BD66" s="125"/>
      <c r="BE66" s="125"/>
      <c r="BF66" s="125"/>
      <c r="BG66" s="125"/>
      <c r="BH66" s="125"/>
    </row>
    <row r="67" spans="1:60" s="124" customFormat="1" ht="139.5">
      <c r="A67" s="127"/>
      <c r="B67" s="101" t="s">
        <v>447</v>
      </c>
      <c r="C67" s="166" t="s">
        <v>477</v>
      </c>
      <c r="D67" s="100" t="s">
        <v>621</v>
      </c>
      <c r="E67" s="100" t="s">
        <v>620</v>
      </c>
      <c r="F67" s="100" t="s">
        <v>1064</v>
      </c>
      <c r="G67" s="166" t="s">
        <v>1090</v>
      </c>
      <c r="H67" s="166" t="s">
        <v>198</v>
      </c>
      <c r="I67" s="166"/>
      <c r="J67" s="163" t="s">
        <v>64</v>
      </c>
      <c r="K67" s="163" t="s">
        <v>63</v>
      </c>
      <c r="L67" s="99">
        <f t="shared" si="0"/>
        <v>10000</v>
      </c>
      <c r="M67" s="165">
        <f t="shared" si="1"/>
        <v>5</v>
      </c>
      <c r="N67" s="163"/>
      <c r="O67" s="163"/>
      <c r="P67" s="164" t="s">
        <v>472</v>
      </c>
      <c r="Q67" s="163"/>
      <c r="R67" s="163">
        <v>5</v>
      </c>
      <c r="S67" s="163"/>
      <c r="T67" s="162">
        <v>2000</v>
      </c>
      <c r="U67" s="94" t="s">
        <v>1089</v>
      </c>
      <c r="V67" s="125"/>
      <c r="W67" s="125"/>
      <c r="X67" s="125"/>
      <c r="Y67" s="125"/>
      <c r="Z67" s="125"/>
      <c r="AA67" s="125"/>
      <c r="AB67" s="125"/>
      <c r="AC67" s="125"/>
      <c r="AD67" s="125"/>
      <c r="AE67" s="125"/>
      <c r="AF67" s="125"/>
      <c r="AG67" s="125"/>
      <c r="AH67" s="125"/>
      <c r="AI67" s="125"/>
      <c r="AJ67" s="125"/>
      <c r="AK67" s="125"/>
      <c r="AL67" s="125"/>
      <c r="AM67" s="125"/>
      <c r="AN67" s="125"/>
      <c r="AO67" s="125"/>
      <c r="AP67" s="125"/>
      <c r="AQ67" s="125"/>
      <c r="AR67" s="125"/>
      <c r="AS67" s="125"/>
      <c r="AT67" s="125"/>
      <c r="AU67" s="125"/>
      <c r="AV67" s="125"/>
      <c r="AW67" s="125"/>
      <c r="AX67" s="125"/>
      <c r="AY67" s="125"/>
      <c r="AZ67" s="125"/>
      <c r="BA67" s="125"/>
      <c r="BB67" s="125"/>
      <c r="BC67" s="125"/>
      <c r="BD67" s="125"/>
      <c r="BE67" s="125"/>
      <c r="BF67" s="125"/>
      <c r="BG67" s="125"/>
      <c r="BH67" s="125"/>
    </row>
    <row r="68" spans="1:60" s="124" customFormat="1" ht="139.5">
      <c r="A68" s="127"/>
      <c r="B68" s="101" t="s">
        <v>447</v>
      </c>
      <c r="C68" s="166" t="s">
        <v>477</v>
      </c>
      <c r="D68" s="100" t="s">
        <v>621</v>
      </c>
      <c r="E68" s="100" t="s">
        <v>620</v>
      </c>
      <c r="F68" s="100" t="s">
        <v>1064</v>
      </c>
      <c r="G68" s="166" t="s">
        <v>1088</v>
      </c>
      <c r="H68" s="166" t="s">
        <v>198</v>
      </c>
      <c r="I68" s="166"/>
      <c r="J68" s="163" t="s">
        <v>64</v>
      </c>
      <c r="K68" s="163" t="s">
        <v>63</v>
      </c>
      <c r="L68" s="99">
        <f t="shared" si="0"/>
        <v>6000</v>
      </c>
      <c r="M68" s="165">
        <f t="shared" si="1"/>
        <v>1</v>
      </c>
      <c r="N68" s="163"/>
      <c r="O68" s="163"/>
      <c r="P68" s="164" t="s">
        <v>472</v>
      </c>
      <c r="Q68" s="163"/>
      <c r="R68" s="163">
        <v>1</v>
      </c>
      <c r="S68" s="163"/>
      <c r="T68" s="162">
        <v>6000</v>
      </c>
      <c r="U68" s="94" t="s">
        <v>1087</v>
      </c>
      <c r="V68" s="125"/>
      <c r="W68" s="125"/>
      <c r="X68" s="125"/>
      <c r="Y68" s="125"/>
      <c r="Z68" s="125"/>
      <c r="AA68" s="125"/>
      <c r="AB68" s="125"/>
      <c r="AC68" s="125"/>
      <c r="AD68" s="125"/>
      <c r="AE68" s="125"/>
      <c r="AF68" s="125"/>
      <c r="AG68" s="125"/>
      <c r="AH68" s="125"/>
      <c r="AI68" s="125"/>
      <c r="AJ68" s="125"/>
      <c r="AK68" s="125"/>
      <c r="AL68" s="125"/>
      <c r="AM68" s="125"/>
      <c r="AN68" s="125"/>
      <c r="AO68" s="125"/>
      <c r="AP68" s="125"/>
      <c r="AQ68" s="125"/>
      <c r="AR68" s="125"/>
      <c r="AS68" s="125"/>
      <c r="AT68" s="125"/>
      <c r="AU68" s="125"/>
      <c r="AV68" s="125"/>
      <c r="AW68" s="125"/>
      <c r="AX68" s="125"/>
      <c r="AY68" s="125"/>
      <c r="AZ68" s="125"/>
      <c r="BA68" s="125"/>
      <c r="BB68" s="125"/>
      <c r="BC68" s="125"/>
      <c r="BD68" s="125"/>
      <c r="BE68" s="125"/>
      <c r="BF68" s="125"/>
      <c r="BG68" s="125"/>
      <c r="BH68" s="125"/>
    </row>
    <row r="69" spans="1:60" s="124" customFormat="1" ht="139.5">
      <c r="A69" s="127"/>
      <c r="B69" s="101" t="s">
        <v>447</v>
      </c>
      <c r="C69" s="166" t="s">
        <v>477</v>
      </c>
      <c r="D69" s="100" t="s">
        <v>621</v>
      </c>
      <c r="E69" s="100" t="s">
        <v>620</v>
      </c>
      <c r="F69" s="100" t="s">
        <v>1064</v>
      </c>
      <c r="G69" s="167" t="s">
        <v>1086</v>
      </c>
      <c r="H69" s="166" t="s">
        <v>198</v>
      </c>
      <c r="I69" s="166"/>
      <c r="J69" s="163" t="s">
        <v>64</v>
      </c>
      <c r="K69" s="163" t="s">
        <v>63</v>
      </c>
      <c r="L69" s="99">
        <f t="shared" si="0"/>
        <v>14000</v>
      </c>
      <c r="M69" s="165">
        <f t="shared" si="1"/>
        <v>2</v>
      </c>
      <c r="N69" s="163"/>
      <c r="O69" s="163"/>
      <c r="P69" s="164" t="s">
        <v>472</v>
      </c>
      <c r="Q69" s="163"/>
      <c r="R69" s="163">
        <v>2</v>
      </c>
      <c r="S69" s="163"/>
      <c r="T69" s="162">
        <v>7000</v>
      </c>
      <c r="U69" s="94" t="s">
        <v>1085</v>
      </c>
      <c r="V69" s="125"/>
      <c r="W69" s="125"/>
      <c r="X69" s="125"/>
      <c r="Y69" s="125"/>
      <c r="Z69" s="125"/>
      <c r="AA69" s="125"/>
      <c r="AB69" s="125"/>
      <c r="AC69" s="125"/>
      <c r="AD69" s="125"/>
      <c r="AE69" s="125"/>
      <c r="AF69" s="125"/>
      <c r="AG69" s="125"/>
      <c r="AH69" s="125"/>
      <c r="AI69" s="125"/>
      <c r="AJ69" s="125"/>
      <c r="AK69" s="125"/>
      <c r="AL69" s="125"/>
      <c r="AM69" s="125"/>
      <c r="AN69" s="125"/>
      <c r="AO69" s="125"/>
      <c r="AP69" s="125"/>
      <c r="AQ69" s="125"/>
      <c r="AR69" s="125"/>
      <c r="AS69" s="125"/>
      <c r="AT69" s="125"/>
      <c r="AU69" s="125"/>
      <c r="AV69" s="125"/>
      <c r="AW69" s="125"/>
      <c r="AX69" s="125"/>
      <c r="AY69" s="125"/>
      <c r="AZ69" s="125"/>
      <c r="BA69" s="125"/>
      <c r="BB69" s="125"/>
      <c r="BC69" s="125"/>
      <c r="BD69" s="125"/>
      <c r="BE69" s="125"/>
      <c r="BF69" s="125"/>
      <c r="BG69" s="125"/>
      <c r="BH69" s="125"/>
    </row>
    <row r="70" spans="1:60" s="124" customFormat="1" ht="139.5">
      <c r="A70" s="127"/>
      <c r="B70" s="92" t="s">
        <v>447</v>
      </c>
      <c r="C70" s="100" t="s">
        <v>477</v>
      </c>
      <c r="D70" s="100" t="s">
        <v>621</v>
      </c>
      <c r="E70" s="100" t="s">
        <v>620</v>
      </c>
      <c r="F70" s="100" t="s">
        <v>1064</v>
      </c>
      <c r="G70" s="100" t="s">
        <v>1084</v>
      </c>
      <c r="H70" s="100" t="s">
        <v>198</v>
      </c>
      <c r="I70" s="100"/>
      <c r="J70" s="96" t="s">
        <v>64</v>
      </c>
      <c r="K70" s="96" t="s">
        <v>63</v>
      </c>
      <c r="L70" s="99">
        <f t="shared" si="0"/>
        <v>40000</v>
      </c>
      <c r="M70" s="98">
        <f t="shared" si="1"/>
        <v>2</v>
      </c>
      <c r="N70" s="96"/>
      <c r="O70" s="96"/>
      <c r="P70" s="97" t="s">
        <v>472</v>
      </c>
      <c r="Q70" s="96"/>
      <c r="R70" s="96">
        <v>2</v>
      </c>
      <c r="S70" s="96"/>
      <c r="T70" s="95">
        <v>20000</v>
      </c>
      <c r="U70" s="94" t="s">
        <v>1083</v>
      </c>
      <c r="V70" s="125"/>
      <c r="W70" s="125"/>
      <c r="X70" s="125"/>
      <c r="Y70" s="125"/>
      <c r="Z70" s="125"/>
      <c r="AA70" s="125"/>
      <c r="AB70" s="125"/>
      <c r="AC70" s="125"/>
      <c r="AD70" s="125"/>
      <c r="AE70" s="125"/>
      <c r="AF70" s="125"/>
      <c r="AG70" s="125"/>
      <c r="AH70" s="125"/>
      <c r="AI70" s="125"/>
      <c r="AJ70" s="125"/>
      <c r="AK70" s="125"/>
      <c r="AL70" s="125"/>
      <c r="AM70" s="125"/>
      <c r="AN70" s="125"/>
      <c r="AO70" s="125"/>
      <c r="AP70" s="125"/>
      <c r="AQ70" s="125"/>
      <c r="AR70" s="125"/>
      <c r="AS70" s="125"/>
      <c r="AT70" s="125"/>
      <c r="AU70" s="125"/>
      <c r="AV70" s="125"/>
      <c r="AW70" s="125"/>
      <c r="AX70" s="125"/>
      <c r="AY70" s="125"/>
      <c r="AZ70" s="125"/>
      <c r="BA70" s="125"/>
      <c r="BB70" s="125"/>
      <c r="BC70" s="125"/>
      <c r="BD70" s="125"/>
      <c r="BE70" s="125"/>
      <c r="BF70" s="125"/>
      <c r="BG70" s="125"/>
      <c r="BH70" s="125"/>
    </row>
    <row r="71" spans="1:60" s="124" customFormat="1" ht="139.5">
      <c r="A71" s="127"/>
      <c r="B71" s="92" t="s">
        <v>447</v>
      </c>
      <c r="C71" s="100" t="s">
        <v>477</v>
      </c>
      <c r="D71" s="100" t="s">
        <v>621</v>
      </c>
      <c r="E71" s="100" t="s">
        <v>620</v>
      </c>
      <c r="F71" s="100" t="s">
        <v>1064</v>
      </c>
      <c r="G71" s="100" t="s">
        <v>1082</v>
      </c>
      <c r="H71" s="100" t="s">
        <v>198</v>
      </c>
      <c r="I71" s="100"/>
      <c r="J71" s="96" t="s">
        <v>64</v>
      </c>
      <c r="K71" s="96" t="s">
        <v>63</v>
      </c>
      <c r="L71" s="99">
        <f t="shared" si="0"/>
        <v>3000</v>
      </c>
      <c r="M71" s="98">
        <f t="shared" si="1"/>
        <v>1</v>
      </c>
      <c r="N71" s="96"/>
      <c r="O71" s="96"/>
      <c r="P71" s="97" t="s">
        <v>472</v>
      </c>
      <c r="Q71" s="96"/>
      <c r="R71" s="96">
        <v>1</v>
      </c>
      <c r="S71" s="96"/>
      <c r="T71" s="95">
        <v>3000</v>
      </c>
      <c r="U71" s="94" t="s">
        <v>1081</v>
      </c>
      <c r="V71" s="125"/>
      <c r="W71" s="125"/>
      <c r="X71" s="125"/>
      <c r="Y71" s="125"/>
      <c r="Z71" s="125"/>
      <c r="AA71" s="125"/>
      <c r="AB71" s="125"/>
      <c r="AC71" s="125"/>
      <c r="AD71" s="125"/>
      <c r="AE71" s="125"/>
      <c r="AF71" s="125"/>
      <c r="AG71" s="125"/>
      <c r="AH71" s="125"/>
      <c r="AI71" s="125"/>
      <c r="AJ71" s="125"/>
      <c r="AK71" s="125"/>
      <c r="AL71" s="125"/>
      <c r="AM71" s="125"/>
      <c r="AN71" s="125"/>
      <c r="AO71" s="125"/>
      <c r="AP71" s="125"/>
      <c r="AQ71" s="125"/>
      <c r="AR71" s="125"/>
      <c r="AS71" s="125"/>
      <c r="AT71" s="125"/>
      <c r="AU71" s="125"/>
      <c r="AV71" s="125"/>
      <c r="AW71" s="125"/>
      <c r="AX71" s="125"/>
      <c r="AY71" s="125"/>
      <c r="AZ71" s="125"/>
      <c r="BA71" s="125"/>
      <c r="BB71" s="125"/>
      <c r="BC71" s="125"/>
      <c r="BD71" s="125"/>
      <c r="BE71" s="125"/>
      <c r="BF71" s="125"/>
      <c r="BG71" s="125"/>
      <c r="BH71" s="125"/>
    </row>
    <row r="72" spans="1:60" s="124" customFormat="1" ht="139.5">
      <c r="A72" s="127"/>
      <c r="B72" s="92" t="s">
        <v>447</v>
      </c>
      <c r="C72" s="100" t="s">
        <v>477</v>
      </c>
      <c r="D72" s="100" t="s">
        <v>621</v>
      </c>
      <c r="E72" s="100" t="s">
        <v>620</v>
      </c>
      <c r="F72" s="100" t="s">
        <v>1064</v>
      </c>
      <c r="G72" s="100" t="s">
        <v>1080</v>
      </c>
      <c r="H72" s="100" t="s">
        <v>198</v>
      </c>
      <c r="I72" s="100"/>
      <c r="J72" s="96" t="s">
        <v>64</v>
      </c>
      <c r="K72" s="96" t="s">
        <v>63</v>
      </c>
      <c r="L72" s="99">
        <f t="shared" si="0"/>
        <v>4000</v>
      </c>
      <c r="M72" s="98">
        <f t="shared" si="1"/>
        <v>2</v>
      </c>
      <c r="N72" s="96"/>
      <c r="O72" s="96"/>
      <c r="P72" s="97" t="s">
        <v>472</v>
      </c>
      <c r="Q72" s="96"/>
      <c r="R72" s="96">
        <v>2</v>
      </c>
      <c r="S72" s="96"/>
      <c r="T72" s="95">
        <v>2000</v>
      </c>
      <c r="U72" s="94" t="s">
        <v>1079</v>
      </c>
      <c r="V72" s="125"/>
      <c r="W72" s="125"/>
      <c r="X72" s="125"/>
      <c r="Y72" s="125"/>
      <c r="Z72" s="125"/>
      <c r="AA72" s="125"/>
      <c r="AB72" s="125"/>
      <c r="AC72" s="125"/>
      <c r="AD72" s="125"/>
      <c r="AE72" s="125"/>
      <c r="AF72" s="125"/>
      <c r="AG72" s="125"/>
      <c r="AH72" s="125"/>
      <c r="AI72" s="125"/>
      <c r="AJ72" s="125"/>
      <c r="AK72" s="125"/>
      <c r="AL72" s="125"/>
      <c r="AM72" s="125"/>
      <c r="AN72" s="125"/>
      <c r="AO72" s="125"/>
      <c r="AP72" s="125"/>
      <c r="AQ72" s="125"/>
      <c r="AR72" s="125"/>
      <c r="AS72" s="125"/>
      <c r="AT72" s="125"/>
      <c r="AU72" s="125"/>
      <c r="AV72" s="125"/>
      <c r="AW72" s="125"/>
      <c r="AX72" s="125"/>
      <c r="AY72" s="125"/>
      <c r="AZ72" s="125"/>
      <c r="BA72" s="125"/>
      <c r="BB72" s="125"/>
      <c r="BC72" s="125"/>
      <c r="BD72" s="125"/>
      <c r="BE72" s="125"/>
      <c r="BF72" s="125"/>
      <c r="BG72" s="125"/>
      <c r="BH72" s="125"/>
    </row>
    <row r="73" spans="1:60" s="124" customFormat="1" ht="139.5">
      <c r="A73" s="127"/>
      <c r="B73" s="92" t="s">
        <v>447</v>
      </c>
      <c r="C73" s="100" t="s">
        <v>477</v>
      </c>
      <c r="D73" s="100" t="s">
        <v>621</v>
      </c>
      <c r="E73" s="100" t="s">
        <v>620</v>
      </c>
      <c r="F73" s="100" t="s">
        <v>1064</v>
      </c>
      <c r="G73" s="100" t="s">
        <v>1078</v>
      </c>
      <c r="H73" s="100" t="s">
        <v>198</v>
      </c>
      <c r="I73" s="100"/>
      <c r="J73" s="96" t="s">
        <v>64</v>
      </c>
      <c r="K73" s="96" t="s">
        <v>63</v>
      </c>
      <c r="L73" s="99">
        <f t="shared" si="0"/>
        <v>5000</v>
      </c>
      <c r="M73" s="98">
        <f t="shared" si="1"/>
        <v>2</v>
      </c>
      <c r="N73" s="96"/>
      <c r="O73" s="96"/>
      <c r="P73" s="97" t="s">
        <v>472</v>
      </c>
      <c r="Q73" s="96"/>
      <c r="R73" s="96">
        <v>2</v>
      </c>
      <c r="S73" s="96"/>
      <c r="T73" s="95">
        <v>2500</v>
      </c>
      <c r="U73" s="94" t="s">
        <v>1077</v>
      </c>
      <c r="V73" s="125"/>
      <c r="W73" s="125"/>
      <c r="X73" s="125"/>
      <c r="Y73" s="125"/>
      <c r="Z73" s="125"/>
      <c r="AA73" s="125"/>
      <c r="AB73" s="125"/>
      <c r="AC73" s="125"/>
      <c r="AD73" s="125"/>
      <c r="AE73" s="125"/>
      <c r="AF73" s="125"/>
      <c r="AG73" s="125"/>
      <c r="AH73" s="125"/>
      <c r="AI73" s="125"/>
      <c r="AJ73" s="125"/>
      <c r="AK73" s="125"/>
      <c r="AL73" s="125"/>
      <c r="AM73" s="125"/>
      <c r="AN73" s="125"/>
      <c r="AO73" s="125"/>
      <c r="AP73" s="125"/>
      <c r="AQ73" s="125"/>
      <c r="AR73" s="125"/>
      <c r="AS73" s="125"/>
      <c r="AT73" s="125"/>
      <c r="AU73" s="125"/>
      <c r="AV73" s="125"/>
      <c r="AW73" s="125"/>
      <c r="AX73" s="125"/>
      <c r="AY73" s="125"/>
      <c r="AZ73" s="125"/>
      <c r="BA73" s="125"/>
      <c r="BB73" s="125"/>
      <c r="BC73" s="125"/>
      <c r="BD73" s="125"/>
      <c r="BE73" s="125"/>
      <c r="BF73" s="125"/>
      <c r="BG73" s="125"/>
      <c r="BH73" s="125"/>
    </row>
    <row r="74" spans="1:60" s="124" customFormat="1" ht="139.5">
      <c r="A74" s="127"/>
      <c r="B74" s="92" t="s">
        <v>447</v>
      </c>
      <c r="C74" s="100" t="s">
        <v>477</v>
      </c>
      <c r="D74" s="100" t="s">
        <v>621</v>
      </c>
      <c r="E74" s="100" t="s">
        <v>620</v>
      </c>
      <c r="F74" s="100" t="s">
        <v>1064</v>
      </c>
      <c r="G74" s="100" t="s">
        <v>1076</v>
      </c>
      <c r="H74" s="100" t="s">
        <v>198</v>
      </c>
      <c r="I74" s="100"/>
      <c r="J74" s="96" t="s">
        <v>64</v>
      </c>
      <c r="K74" s="96" t="s">
        <v>63</v>
      </c>
      <c r="L74" s="99">
        <f t="shared" si="0"/>
        <v>170000</v>
      </c>
      <c r="M74" s="98">
        <f t="shared" si="1"/>
        <v>2</v>
      </c>
      <c r="N74" s="98"/>
      <c r="O74" s="98"/>
      <c r="P74" s="97" t="s">
        <v>472</v>
      </c>
      <c r="Q74" s="98"/>
      <c r="R74" s="98">
        <v>2</v>
      </c>
      <c r="S74" s="98"/>
      <c r="T74" s="95">
        <v>85000</v>
      </c>
      <c r="U74" s="109" t="s">
        <v>1075</v>
      </c>
      <c r="V74" s="125"/>
      <c r="W74" s="125"/>
      <c r="X74" s="125"/>
      <c r="Y74" s="125"/>
      <c r="Z74" s="125"/>
      <c r="AA74" s="125"/>
      <c r="AB74" s="125"/>
      <c r="AC74" s="125"/>
      <c r="AD74" s="125"/>
      <c r="AE74" s="125"/>
      <c r="AF74" s="125"/>
      <c r="AG74" s="125"/>
      <c r="AH74" s="125"/>
      <c r="AI74" s="125"/>
      <c r="AJ74" s="125"/>
      <c r="AK74" s="125"/>
      <c r="AL74" s="125"/>
      <c r="AM74" s="125"/>
      <c r="AN74" s="125"/>
      <c r="AO74" s="125"/>
      <c r="AP74" s="125"/>
      <c r="AQ74" s="125"/>
      <c r="AR74" s="125"/>
      <c r="AS74" s="125"/>
      <c r="AT74" s="125"/>
      <c r="AU74" s="125"/>
      <c r="AV74" s="125"/>
      <c r="AW74" s="125"/>
      <c r="AX74" s="125"/>
      <c r="AY74" s="125"/>
      <c r="AZ74" s="125"/>
      <c r="BA74" s="125"/>
      <c r="BB74" s="125"/>
      <c r="BC74" s="125"/>
      <c r="BD74" s="125"/>
      <c r="BE74" s="125"/>
      <c r="BF74" s="125"/>
      <c r="BG74" s="125"/>
      <c r="BH74" s="125"/>
    </row>
    <row r="75" spans="1:60" s="124" customFormat="1" ht="139.5">
      <c r="A75" s="127"/>
      <c r="B75" s="92" t="s">
        <v>447</v>
      </c>
      <c r="C75" s="100" t="s">
        <v>477</v>
      </c>
      <c r="D75" s="100" t="s">
        <v>621</v>
      </c>
      <c r="E75" s="100" t="s">
        <v>620</v>
      </c>
      <c r="F75" s="100" t="s">
        <v>1064</v>
      </c>
      <c r="G75" s="100" t="s">
        <v>1074</v>
      </c>
      <c r="H75" s="100" t="s">
        <v>198</v>
      </c>
      <c r="I75" s="100"/>
      <c r="J75" s="96" t="s">
        <v>64</v>
      </c>
      <c r="K75" s="96" t="s">
        <v>63</v>
      </c>
      <c r="L75" s="99">
        <f t="shared" si="0"/>
        <v>9000</v>
      </c>
      <c r="M75" s="98">
        <f t="shared" si="1"/>
        <v>2</v>
      </c>
      <c r="N75" s="96"/>
      <c r="O75" s="96"/>
      <c r="P75" s="97" t="s">
        <v>472</v>
      </c>
      <c r="Q75" s="96"/>
      <c r="R75" s="96">
        <v>2</v>
      </c>
      <c r="S75" s="96"/>
      <c r="T75" s="95">
        <v>4500</v>
      </c>
      <c r="U75" s="94" t="s">
        <v>1073</v>
      </c>
      <c r="V75" s="125"/>
      <c r="W75" s="125"/>
      <c r="X75" s="125"/>
      <c r="Y75" s="125"/>
      <c r="Z75" s="125"/>
      <c r="AA75" s="125"/>
      <c r="AB75" s="125"/>
      <c r="AC75" s="125"/>
      <c r="AD75" s="125"/>
      <c r="AE75" s="125"/>
      <c r="AF75" s="125"/>
      <c r="AG75" s="125"/>
      <c r="AH75" s="125"/>
      <c r="AI75" s="125"/>
      <c r="AJ75" s="125"/>
      <c r="AK75" s="125"/>
      <c r="AL75" s="125"/>
      <c r="AM75" s="125"/>
      <c r="AN75" s="125"/>
      <c r="AO75" s="125"/>
      <c r="AP75" s="125"/>
      <c r="AQ75" s="125"/>
      <c r="AR75" s="125"/>
      <c r="AS75" s="125"/>
      <c r="AT75" s="125"/>
      <c r="AU75" s="125"/>
      <c r="AV75" s="125"/>
      <c r="AW75" s="125"/>
      <c r="AX75" s="125"/>
      <c r="AY75" s="125"/>
      <c r="AZ75" s="125"/>
      <c r="BA75" s="125"/>
      <c r="BB75" s="125"/>
      <c r="BC75" s="125"/>
      <c r="BD75" s="125"/>
      <c r="BE75" s="125"/>
      <c r="BF75" s="125"/>
      <c r="BG75" s="125"/>
      <c r="BH75" s="125"/>
    </row>
    <row r="76" spans="1:60" s="124" customFormat="1" ht="139.5">
      <c r="A76" s="127"/>
      <c r="B76" s="92" t="s">
        <v>447</v>
      </c>
      <c r="C76" s="100" t="s">
        <v>477</v>
      </c>
      <c r="D76" s="100" t="s">
        <v>621</v>
      </c>
      <c r="E76" s="100" t="s">
        <v>620</v>
      </c>
      <c r="F76" s="100" t="s">
        <v>1064</v>
      </c>
      <c r="G76" s="100" t="s">
        <v>1072</v>
      </c>
      <c r="H76" s="100" t="s">
        <v>198</v>
      </c>
      <c r="I76" s="100"/>
      <c r="J76" s="96" t="s">
        <v>64</v>
      </c>
      <c r="K76" s="96" t="s">
        <v>63</v>
      </c>
      <c r="L76" s="99">
        <f t="shared" si="0"/>
        <v>110000</v>
      </c>
      <c r="M76" s="98">
        <f t="shared" si="1"/>
        <v>2</v>
      </c>
      <c r="N76" s="96"/>
      <c r="O76" s="96"/>
      <c r="P76" s="97" t="s">
        <v>472</v>
      </c>
      <c r="Q76" s="96"/>
      <c r="R76" s="96">
        <v>2</v>
      </c>
      <c r="S76" s="96"/>
      <c r="T76" s="95">
        <v>55000</v>
      </c>
      <c r="U76" s="94" t="s">
        <v>1071</v>
      </c>
      <c r="V76" s="125"/>
      <c r="W76" s="125"/>
      <c r="X76" s="125"/>
      <c r="Y76" s="125"/>
      <c r="Z76" s="125"/>
      <c r="AA76" s="125"/>
      <c r="AB76" s="125"/>
      <c r="AC76" s="125"/>
      <c r="AD76" s="125"/>
      <c r="AE76" s="125"/>
      <c r="AF76" s="125"/>
      <c r="AG76" s="125"/>
      <c r="AH76" s="125"/>
      <c r="AI76" s="125"/>
      <c r="AJ76" s="125"/>
      <c r="AK76" s="125"/>
      <c r="AL76" s="125"/>
      <c r="AM76" s="125"/>
      <c r="AN76" s="125"/>
      <c r="AO76" s="125"/>
      <c r="AP76" s="125"/>
      <c r="AQ76" s="125"/>
      <c r="AR76" s="125"/>
      <c r="AS76" s="125"/>
      <c r="AT76" s="125"/>
      <c r="AU76" s="125"/>
      <c r="AV76" s="125"/>
      <c r="AW76" s="125"/>
      <c r="AX76" s="125"/>
      <c r="AY76" s="125"/>
      <c r="AZ76" s="125"/>
      <c r="BA76" s="125"/>
      <c r="BB76" s="125"/>
      <c r="BC76" s="125"/>
      <c r="BD76" s="125"/>
      <c r="BE76" s="125"/>
      <c r="BF76" s="125"/>
      <c r="BG76" s="125"/>
      <c r="BH76" s="125"/>
    </row>
    <row r="77" spans="1:60" s="124" customFormat="1" ht="139.5">
      <c r="A77" s="127"/>
      <c r="B77" s="92" t="s">
        <v>447</v>
      </c>
      <c r="C77" s="100" t="s">
        <v>477</v>
      </c>
      <c r="D77" s="100" t="s">
        <v>621</v>
      </c>
      <c r="E77" s="100" t="s">
        <v>620</v>
      </c>
      <c r="F77" s="100" t="s">
        <v>1064</v>
      </c>
      <c r="G77" s="100" t="s">
        <v>1070</v>
      </c>
      <c r="H77" s="100" t="s">
        <v>198</v>
      </c>
      <c r="I77" s="100"/>
      <c r="J77" s="96" t="s">
        <v>64</v>
      </c>
      <c r="K77" s="96" t="s">
        <v>63</v>
      </c>
      <c r="L77" s="99">
        <f t="shared" si="0"/>
        <v>22000</v>
      </c>
      <c r="M77" s="98">
        <f t="shared" si="1"/>
        <v>2</v>
      </c>
      <c r="N77" s="96"/>
      <c r="O77" s="96"/>
      <c r="P77" s="97" t="s">
        <v>472</v>
      </c>
      <c r="Q77" s="96"/>
      <c r="R77" s="96">
        <v>2</v>
      </c>
      <c r="S77" s="96"/>
      <c r="T77" s="95">
        <v>11000</v>
      </c>
      <c r="U77" s="94" t="s">
        <v>1069</v>
      </c>
      <c r="V77" s="125"/>
      <c r="W77" s="125"/>
      <c r="X77" s="125"/>
      <c r="Y77" s="125"/>
      <c r="Z77" s="125"/>
      <c r="AA77" s="125"/>
      <c r="AB77" s="125"/>
      <c r="AC77" s="125"/>
      <c r="AD77" s="125"/>
      <c r="AE77" s="125"/>
      <c r="AF77" s="125"/>
      <c r="AG77" s="125"/>
      <c r="AH77" s="125"/>
      <c r="AI77" s="125"/>
      <c r="AJ77" s="125"/>
      <c r="AK77" s="125"/>
      <c r="AL77" s="125"/>
      <c r="AM77" s="125"/>
      <c r="AN77" s="125"/>
      <c r="AO77" s="125"/>
      <c r="AP77" s="125"/>
      <c r="AQ77" s="125"/>
      <c r="AR77" s="125"/>
      <c r="AS77" s="125"/>
      <c r="AT77" s="125"/>
      <c r="AU77" s="125"/>
      <c r="AV77" s="125"/>
      <c r="AW77" s="125"/>
      <c r="AX77" s="125"/>
      <c r="AY77" s="125"/>
      <c r="AZ77" s="125"/>
      <c r="BA77" s="125"/>
      <c r="BB77" s="125"/>
      <c r="BC77" s="125"/>
      <c r="BD77" s="125"/>
      <c r="BE77" s="125"/>
      <c r="BF77" s="125"/>
      <c r="BG77" s="125"/>
      <c r="BH77" s="125"/>
    </row>
    <row r="78" spans="1:60" s="124" customFormat="1" ht="139.5">
      <c r="A78" s="127"/>
      <c r="B78" s="92" t="s">
        <v>447</v>
      </c>
      <c r="C78" s="100" t="s">
        <v>477</v>
      </c>
      <c r="D78" s="100" t="s">
        <v>621</v>
      </c>
      <c r="E78" s="100" t="s">
        <v>620</v>
      </c>
      <c r="F78" s="100" t="s">
        <v>1064</v>
      </c>
      <c r="G78" s="100" t="s">
        <v>1068</v>
      </c>
      <c r="H78" s="100" t="s">
        <v>198</v>
      </c>
      <c r="I78" s="100"/>
      <c r="J78" s="96" t="s">
        <v>64</v>
      </c>
      <c r="K78" s="96" t="s">
        <v>63</v>
      </c>
      <c r="L78" s="99">
        <f t="shared" si="0"/>
        <v>350000</v>
      </c>
      <c r="M78" s="98">
        <f t="shared" si="1"/>
        <v>2</v>
      </c>
      <c r="N78" s="96"/>
      <c r="O78" s="96"/>
      <c r="P78" s="97" t="s">
        <v>472</v>
      </c>
      <c r="Q78" s="96"/>
      <c r="R78" s="96">
        <v>2</v>
      </c>
      <c r="S78" s="96"/>
      <c r="T78" s="95">
        <v>175000</v>
      </c>
      <c r="U78" s="94" t="s">
        <v>1067</v>
      </c>
      <c r="V78" s="125"/>
      <c r="W78" s="125"/>
      <c r="X78" s="125"/>
      <c r="Y78" s="125"/>
      <c r="Z78" s="125"/>
      <c r="AA78" s="125"/>
      <c r="AB78" s="125"/>
      <c r="AC78" s="125"/>
      <c r="AD78" s="125"/>
      <c r="AE78" s="125"/>
      <c r="AF78" s="125"/>
      <c r="AG78" s="125"/>
      <c r="AH78" s="125"/>
      <c r="AI78" s="125"/>
      <c r="AJ78" s="125"/>
      <c r="AK78" s="125"/>
      <c r="AL78" s="125"/>
      <c r="AM78" s="125"/>
      <c r="AN78" s="125"/>
      <c r="AO78" s="125"/>
      <c r="AP78" s="125"/>
      <c r="AQ78" s="125"/>
      <c r="AR78" s="125"/>
      <c r="AS78" s="125"/>
      <c r="AT78" s="125"/>
      <c r="AU78" s="125"/>
      <c r="AV78" s="125"/>
      <c r="AW78" s="125"/>
      <c r="AX78" s="125"/>
      <c r="AY78" s="125"/>
      <c r="AZ78" s="125"/>
      <c r="BA78" s="125"/>
      <c r="BB78" s="125"/>
      <c r="BC78" s="125"/>
      <c r="BD78" s="125"/>
      <c r="BE78" s="125"/>
      <c r="BF78" s="125"/>
      <c r="BG78" s="125"/>
      <c r="BH78" s="125"/>
    </row>
    <row r="79" spans="1:60" s="124" customFormat="1" ht="139.5">
      <c r="A79" s="127"/>
      <c r="B79" s="92" t="s">
        <v>447</v>
      </c>
      <c r="C79" s="100" t="s">
        <v>477</v>
      </c>
      <c r="D79" s="100" t="s">
        <v>621</v>
      </c>
      <c r="E79" s="100" t="s">
        <v>620</v>
      </c>
      <c r="F79" s="100" t="s">
        <v>1064</v>
      </c>
      <c r="G79" s="100" t="s">
        <v>1066</v>
      </c>
      <c r="H79" s="100" t="s">
        <v>198</v>
      </c>
      <c r="I79" s="100"/>
      <c r="J79" s="96" t="s">
        <v>64</v>
      </c>
      <c r="K79" s="96" t="s">
        <v>63</v>
      </c>
      <c r="L79" s="99">
        <f t="shared" si="0"/>
        <v>148000</v>
      </c>
      <c r="M79" s="98">
        <f t="shared" si="1"/>
        <v>2</v>
      </c>
      <c r="N79" s="96"/>
      <c r="O79" s="96"/>
      <c r="P79" s="97" t="s">
        <v>472</v>
      </c>
      <c r="Q79" s="96"/>
      <c r="R79" s="96">
        <v>2</v>
      </c>
      <c r="S79" s="96"/>
      <c r="T79" s="95">
        <v>74000</v>
      </c>
      <c r="U79" s="94" t="s">
        <v>1065</v>
      </c>
      <c r="V79" s="125"/>
      <c r="W79" s="125"/>
      <c r="X79" s="125"/>
      <c r="Y79" s="125"/>
      <c r="Z79" s="125"/>
      <c r="AA79" s="125"/>
      <c r="AB79" s="125"/>
      <c r="AC79" s="125"/>
      <c r="AD79" s="125"/>
      <c r="AE79" s="125"/>
      <c r="AF79" s="125"/>
      <c r="AG79" s="125"/>
      <c r="AH79" s="125"/>
      <c r="AI79" s="125"/>
      <c r="AJ79" s="125"/>
      <c r="AK79" s="125"/>
      <c r="AL79" s="125"/>
      <c r="AM79" s="125"/>
      <c r="AN79" s="125"/>
      <c r="AO79" s="125"/>
      <c r="AP79" s="125"/>
      <c r="AQ79" s="125"/>
      <c r="AR79" s="125"/>
      <c r="AS79" s="125"/>
      <c r="AT79" s="125"/>
      <c r="AU79" s="125"/>
      <c r="AV79" s="125"/>
      <c r="AW79" s="125"/>
      <c r="AX79" s="125"/>
      <c r="AY79" s="125"/>
      <c r="AZ79" s="125"/>
      <c r="BA79" s="125"/>
      <c r="BB79" s="125"/>
      <c r="BC79" s="125"/>
      <c r="BD79" s="125"/>
      <c r="BE79" s="125"/>
      <c r="BF79" s="125"/>
      <c r="BG79" s="125"/>
      <c r="BH79" s="125"/>
    </row>
    <row r="80" spans="1:60" s="124" customFormat="1" ht="139.5">
      <c r="A80" s="127"/>
      <c r="B80" s="92" t="s">
        <v>447</v>
      </c>
      <c r="C80" s="100" t="s">
        <v>477</v>
      </c>
      <c r="D80" s="100" t="s">
        <v>621</v>
      </c>
      <c r="E80" s="100" t="s">
        <v>620</v>
      </c>
      <c r="F80" s="100" t="s">
        <v>1064</v>
      </c>
      <c r="G80" s="100" t="s">
        <v>1063</v>
      </c>
      <c r="H80" s="100" t="s">
        <v>198</v>
      </c>
      <c r="I80" s="100"/>
      <c r="J80" s="96" t="s">
        <v>64</v>
      </c>
      <c r="K80" s="96" t="s">
        <v>63</v>
      </c>
      <c r="L80" s="99">
        <f t="shared" si="0"/>
        <v>15000</v>
      </c>
      <c r="M80" s="98">
        <f t="shared" si="1"/>
        <v>1</v>
      </c>
      <c r="N80" s="96"/>
      <c r="O80" s="96"/>
      <c r="P80" s="97" t="s">
        <v>472</v>
      </c>
      <c r="Q80" s="96"/>
      <c r="R80" s="96">
        <v>1</v>
      </c>
      <c r="S80" s="96"/>
      <c r="T80" s="95">
        <v>15000</v>
      </c>
      <c r="U80" s="94" t="s">
        <v>1062</v>
      </c>
      <c r="V80" s="125"/>
      <c r="W80" s="125"/>
      <c r="X80" s="125"/>
      <c r="Y80" s="125"/>
      <c r="Z80" s="125"/>
      <c r="AA80" s="125"/>
      <c r="AB80" s="125"/>
      <c r="AC80" s="125"/>
      <c r="AD80" s="125"/>
      <c r="AE80" s="125"/>
      <c r="AF80" s="125"/>
      <c r="AG80" s="125"/>
      <c r="AH80" s="125"/>
      <c r="AI80" s="125"/>
      <c r="AJ80" s="125"/>
      <c r="AK80" s="125"/>
      <c r="AL80" s="125"/>
      <c r="AM80" s="125"/>
      <c r="AN80" s="125"/>
      <c r="AO80" s="125"/>
      <c r="AP80" s="125"/>
      <c r="AQ80" s="125"/>
      <c r="AR80" s="125"/>
      <c r="AS80" s="125"/>
      <c r="AT80" s="125"/>
      <c r="AU80" s="125"/>
      <c r="AV80" s="125"/>
      <c r="AW80" s="125"/>
      <c r="AX80" s="125"/>
      <c r="AY80" s="125"/>
      <c r="AZ80" s="125"/>
      <c r="BA80" s="125"/>
      <c r="BB80" s="125"/>
      <c r="BC80" s="125"/>
      <c r="BD80" s="125"/>
      <c r="BE80" s="125"/>
      <c r="BF80" s="125"/>
      <c r="BG80" s="125"/>
      <c r="BH80" s="125"/>
    </row>
    <row r="81" spans="1:60" s="124" customFormat="1" ht="116.25">
      <c r="A81" s="127"/>
      <c r="B81" s="92" t="s">
        <v>447</v>
      </c>
      <c r="C81" s="100" t="s">
        <v>555</v>
      </c>
      <c r="D81" s="100"/>
      <c r="E81" s="100" t="s">
        <v>667</v>
      </c>
      <c r="F81" s="100" t="s">
        <v>666</v>
      </c>
      <c r="G81" s="100" t="s">
        <v>1061</v>
      </c>
      <c r="H81" s="100" t="s">
        <v>156</v>
      </c>
      <c r="I81" s="100"/>
      <c r="J81" s="161" t="s">
        <v>154</v>
      </c>
      <c r="K81" s="96" t="s">
        <v>149</v>
      </c>
      <c r="L81" s="99">
        <f t="shared" si="0"/>
        <v>180000</v>
      </c>
      <c r="M81" s="98">
        <f t="shared" si="1"/>
        <v>1</v>
      </c>
      <c r="N81" s="96" t="s">
        <v>558</v>
      </c>
      <c r="O81" s="97" t="s">
        <v>472</v>
      </c>
      <c r="P81" s="96"/>
      <c r="Q81" s="96"/>
      <c r="R81" s="96">
        <v>1</v>
      </c>
      <c r="S81" s="96"/>
      <c r="T81" s="95">
        <v>180000</v>
      </c>
      <c r="U81" s="94" t="s">
        <v>1048</v>
      </c>
      <c r="V81" s="125"/>
      <c r="W81" s="125"/>
      <c r="X81" s="125"/>
      <c r="Y81" s="125"/>
      <c r="Z81" s="125"/>
      <c r="AA81" s="125"/>
      <c r="AB81" s="125"/>
      <c r="AC81" s="125"/>
      <c r="AD81" s="125"/>
      <c r="AE81" s="125"/>
      <c r="AF81" s="125"/>
      <c r="AG81" s="125"/>
      <c r="AH81" s="125"/>
      <c r="AI81" s="125"/>
      <c r="AJ81" s="125"/>
      <c r="AK81" s="125"/>
      <c r="AL81" s="125"/>
      <c r="AM81" s="125"/>
      <c r="AN81" s="125"/>
      <c r="AO81" s="125"/>
      <c r="AP81" s="125"/>
      <c r="AQ81" s="125"/>
      <c r="AR81" s="125"/>
      <c r="AS81" s="125"/>
      <c r="AT81" s="125"/>
      <c r="AU81" s="125"/>
      <c r="AV81" s="125"/>
      <c r="AW81" s="125"/>
      <c r="AX81" s="125"/>
      <c r="AY81" s="125"/>
      <c r="AZ81" s="125"/>
      <c r="BA81" s="125"/>
      <c r="BB81" s="125"/>
      <c r="BC81" s="125"/>
      <c r="BD81" s="125"/>
      <c r="BE81" s="125"/>
      <c r="BF81" s="125"/>
      <c r="BG81" s="125"/>
      <c r="BH81" s="125"/>
    </row>
    <row r="82" spans="1:60" s="124" customFormat="1" ht="116.25">
      <c r="A82" s="127"/>
      <c r="B82" s="92" t="s">
        <v>447</v>
      </c>
      <c r="C82" s="100" t="s">
        <v>555</v>
      </c>
      <c r="D82" s="100"/>
      <c r="E82" s="100" t="s">
        <v>667</v>
      </c>
      <c r="F82" s="100" t="s">
        <v>666</v>
      </c>
      <c r="G82" s="100" t="s">
        <v>1061</v>
      </c>
      <c r="H82" s="100" t="s">
        <v>451</v>
      </c>
      <c r="I82" s="100"/>
      <c r="J82" s="96" t="s">
        <v>444</v>
      </c>
      <c r="K82" s="96" t="s">
        <v>13</v>
      </c>
      <c r="L82" s="99">
        <f t="shared" si="0"/>
        <v>180000</v>
      </c>
      <c r="M82" s="98">
        <f t="shared" si="1"/>
        <v>1</v>
      </c>
      <c r="N82" s="96" t="s">
        <v>558</v>
      </c>
      <c r="O82" s="97" t="s">
        <v>472</v>
      </c>
      <c r="P82" s="96"/>
      <c r="Q82" s="96"/>
      <c r="R82" s="96">
        <v>1</v>
      </c>
      <c r="S82" s="96"/>
      <c r="T82" s="95">
        <v>180000</v>
      </c>
      <c r="U82" s="94" t="s">
        <v>1060</v>
      </c>
      <c r="V82" s="125"/>
      <c r="W82" s="125"/>
      <c r="X82" s="125"/>
      <c r="Y82" s="125"/>
      <c r="Z82" s="125"/>
      <c r="AA82" s="125"/>
      <c r="AB82" s="125"/>
      <c r="AC82" s="125"/>
      <c r="AD82" s="125"/>
      <c r="AE82" s="125"/>
      <c r="AF82" s="125"/>
      <c r="AG82" s="125"/>
      <c r="AH82" s="125"/>
      <c r="AI82" s="125"/>
      <c r="AJ82" s="125"/>
      <c r="AK82" s="125"/>
      <c r="AL82" s="125"/>
      <c r="AM82" s="125"/>
      <c r="AN82" s="125"/>
      <c r="AO82" s="125"/>
      <c r="AP82" s="125"/>
      <c r="AQ82" s="125"/>
      <c r="AR82" s="125"/>
      <c r="AS82" s="125"/>
      <c r="AT82" s="125"/>
      <c r="AU82" s="125"/>
      <c r="AV82" s="125"/>
      <c r="AW82" s="125"/>
      <c r="AX82" s="125"/>
      <c r="AY82" s="125"/>
      <c r="AZ82" s="125"/>
      <c r="BA82" s="125"/>
      <c r="BB82" s="125"/>
      <c r="BC82" s="125"/>
      <c r="BD82" s="125"/>
      <c r="BE82" s="125"/>
      <c r="BF82" s="125"/>
      <c r="BG82" s="125"/>
      <c r="BH82" s="125"/>
    </row>
    <row r="83" spans="1:60" s="124" customFormat="1" ht="116.25">
      <c r="A83" s="127"/>
      <c r="B83" s="92" t="s">
        <v>447</v>
      </c>
      <c r="C83" s="100" t="s">
        <v>555</v>
      </c>
      <c r="D83" s="100"/>
      <c r="E83" s="100" t="s">
        <v>667</v>
      </c>
      <c r="F83" s="100" t="s">
        <v>666</v>
      </c>
      <c r="G83" s="100" t="s">
        <v>1057</v>
      </c>
      <c r="H83" s="100" t="s">
        <v>433</v>
      </c>
      <c r="I83" s="100"/>
      <c r="J83" s="96" t="s">
        <v>428</v>
      </c>
      <c r="K83" s="96" t="s">
        <v>63</v>
      </c>
      <c r="L83" s="99">
        <f t="shared" si="0"/>
        <v>200000</v>
      </c>
      <c r="M83" s="98">
        <f t="shared" si="1"/>
        <v>1</v>
      </c>
      <c r="N83" s="96" t="s">
        <v>558</v>
      </c>
      <c r="O83" s="97" t="s">
        <v>472</v>
      </c>
      <c r="P83" s="96"/>
      <c r="Q83" s="96"/>
      <c r="R83" s="96">
        <v>1</v>
      </c>
      <c r="S83" s="96"/>
      <c r="T83" s="95">
        <v>200000</v>
      </c>
      <c r="U83" s="94" t="s">
        <v>1048</v>
      </c>
      <c r="V83" s="125"/>
      <c r="W83" s="125"/>
      <c r="X83" s="125"/>
      <c r="Y83" s="125"/>
      <c r="Z83" s="125"/>
      <c r="AA83" s="125"/>
      <c r="AB83" s="125"/>
      <c r="AC83" s="125"/>
      <c r="AD83" s="125"/>
      <c r="AE83" s="125"/>
      <c r="AF83" s="125"/>
      <c r="AG83" s="125"/>
      <c r="AH83" s="125"/>
      <c r="AI83" s="125"/>
      <c r="AJ83" s="125"/>
      <c r="AK83" s="125"/>
      <c r="AL83" s="125"/>
      <c r="AM83" s="125"/>
      <c r="AN83" s="125"/>
      <c r="AO83" s="125"/>
      <c r="AP83" s="125"/>
      <c r="AQ83" s="125"/>
      <c r="AR83" s="125"/>
      <c r="AS83" s="125"/>
      <c r="AT83" s="125"/>
      <c r="AU83" s="125"/>
      <c r="AV83" s="125"/>
      <c r="AW83" s="125"/>
      <c r="AX83" s="125"/>
      <c r="AY83" s="125"/>
      <c r="AZ83" s="125"/>
      <c r="BA83" s="125"/>
      <c r="BB83" s="125"/>
      <c r="BC83" s="125"/>
      <c r="BD83" s="125"/>
      <c r="BE83" s="125"/>
      <c r="BF83" s="125"/>
      <c r="BG83" s="125"/>
      <c r="BH83" s="125"/>
    </row>
    <row r="84" spans="1:60" s="124" customFormat="1" ht="116.25">
      <c r="A84" s="127"/>
      <c r="B84" s="92" t="s">
        <v>447</v>
      </c>
      <c r="C84" s="100" t="s">
        <v>555</v>
      </c>
      <c r="D84" s="100"/>
      <c r="E84" s="100" t="s">
        <v>667</v>
      </c>
      <c r="F84" s="100" t="s">
        <v>666</v>
      </c>
      <c r="G84" s="100" t="s">
        <v>1057</v>
      </c>
      <c r="H84" s="100" t="s">
        <v>343</v>
      </c>
      <c r="I84" s="100"/>
      <c r="J84" s="96" t="s">
        <v>340</v>
      </c>
      <c r="K84" s="96" t="s">
        <v>63</v>
      </c>
      <c r="L84" s="99">
        <f t="shared" si="0"/>
        <v>200000</v>
      </c>
      <c r="M84" s="98">
        <f t="shared" si="1"/>
        <v>1</v>
      </c>
      <c r="N84" s="96" t="s">
        <v>558</v>
      </c>
      <c r="O84" s="97" t="s">
        <v>472</v>
      </c>
      <c r="P84" s="97"/>
      <c r="Q84" s="96">
        <v>1</v>
      </c>
      <c r="R84" s="96"/>
      <c r="S84" s="96" t="s">
        <v>1059</v>
      </c>
      <c r="T84" s="95">
        <v>200000</v>
      </c>
      <c r="U84" s="94" t="s">
        <v>1058</v>
      </c>
      <c r="V84" s="125"/>
      <c r="W84" s="125"/>
      <c r="X84" s="125"/>
      <c r="Y84" s="125"/>
      <c r="Z84" s="125"/>
      <c r="AA84" s="125"/>
      <c r="AB84" s="125"/>
      <c r="AC84" s="125"/>
      <c r="AD84" s="125"/>
      <c r="AE84" s="125"/>
      <c r="AF84" s="125"/>
      <c r="AG84" s="125"/>
      <c r="AH84" s="125"/>
      <c r="AI84" s="125"/>
      <c r="AJ84" s="125"/>
      <c r="AK84" s="125"/>
      <c r="AL84" s="125"/>
      <c r="AM84" s="125"/>
      <c r="AN84" s="125"/>
      <c r="AO84" s="125"/>
      <c r="AP84" s="125"/>
      <c r="AQ84" s="125"/>
      <c r="AR84" s="125"/>
      <c r="AS84" s="125"/>
      <c r="AT84" s="125"/>
      <c r="AU84" s="125"/>
      <c r="AV84" s="125"/>
      <c r="AW84" s="125"/>
      <c r="AX84" s="125"/>
      <c r="AY84" s="125"/>
      <c r="AZ84" s="125"/>
      <c r="BA84" s="125"/>
      <c r="BB84" s="125"/>
      <c r="BC84" s="125"/>
      <c r="BD84" s="125"/>
      <c r="BE84" s="125"/>
      <c r="BF84" s="125"/>
      <c r="BG84" s="125"/>
      <c r="BH84" s="125"/>
    </row>
    <row r="85" spans="1:60" s="124" customFormat="1" ht="116.25">
      <c r="A85" s="127"/>
      <c r="B85" s="92" t="s">
        <v>447</v>
      </c>
      <c r="C85" s="100" t="s">
        <v>555</v>
      </c>
      <c r="D85" s="100"/>
      <c r="E85" s="100" t="s">
        <v>667</v>
      </c>
      <c r="F85" s="100" t="s">
        <v>666</v>
      </c>
      <c r="G85" s="100" t="s">
        <v>1057</v>
      </c>
      <c r="H85" s="100" t="s">
        <v>356</v>
      </c>
      <c r="I85" s="100"/>
      <c r="J85" s="96" t="s">
        <v>357</v>
      </c>
      <c r="K85" s="96" t="s">
        <v>63</v>
      </c>
      <c r="L85" s="99">
        <f t="shared" si="0"/>
        <v>200000</v>
      </c>
      <c r="M85" s="98">
        <f t="shared" si="1"/>
        <v>1</v>
      </c>
      <c r="N85" s="96" t="s">
        <v>558</v>
      </c>
      <c r="O85" s="97" t="s">
        <v>472</v>
      </c>
      <c r="P85" s="97"/>
      <c r="Q85" s="96"/>
      <c r="R85" s="96">
        <v>1</v>
      </c>
      <c r="S85" s="98"/>
      <c r="T85" s="95">
        <v>200000</v>
      </c>
      <c r="U85" s="94" t="s">
        <v>1056</v>
      </c>
      <c r="V85" s="125"/>
      <c r="W85" s="125"/>
      <c r="X85" s="125"/>
      <c r="Y85" s="125"/>
      <c r="Z85" s="125"/>
      <c r="AA85" s="125"/>
      <c r="AB85" s="125"/>
      <c r="AC85" s="125"/>
      <c r="AD85" s="125"/>
      <c r="AE85" s="125"/>
      <c r="AF85" s="125"/>
      <c r="AG85" s="125"/>
      <c r="AH85" s="125"/>
      <c r="AI85" s="125"/>
      <c r="AJ85" s="125"/>
      <c r="AK85" s="125"/>
      <c r="AL85" s="125"/>
      <c r="AM85" s="125"/>
      <c r="AN85" s="125"/>
      <c r="AO85" s="125"/>
      <c r="AP85" s="125"/>
      <c r="AQ85" s="125"/>
      <c r="AR85" s="125"/>
      <c r="AS85" s="125"/>
      <c r="AT85" s="125"/>
      <c r="AU85" s="125"/>
      <c r="AV85" s="125"/>
      <c r="AW85" s="125"/>
      <c r="AX85" s="125"/>
      <c r="AY85" s="125"/>
      <c r="AZ85" s="125"/>
      <c r="BA85" s="125"/>
      <c r="BB85" s="125"/>
      <c r="BC85" s="125"/>
      <c r="BD85" s="125"/>
      <c r="BE85" s="125"/>
      <c r="BF85" s="125"/>
      <c r="BG85" s="125"/>
      <c r="BH85" s="125"/>
    </row>
    <row r="86" spans="1:60" s="124" customFormat="1" ht="116.25">
      <c r="A86" s="127"/>
      <c r="B86" s="92" t="s">
        <v>447</v>
      </c>
      <c r="C86" s="100" t="s">
        <v>555</v>
      </c>
      <c r="D86" s="100"/>
      <c r="E86" s="100" t="s">
        <v>667</v>
      </c>
      <c r="F86" s="100" t="s">
        <v>666</v>
      </c>
      <c r="G86" s="100" t="s">
        <v>1055</v>
      </c>
      <c r="H86" s="100" t="s">
        <v>350</v>
      </c>
      <c r="I86" s="100"/>
      <c r="J86" s="135" t="s">
        <v>103</v>
      </c>
      <c r="K86" s="96" t="s">
        <v>63</v>
      </c>
      <c r="L86" s="99">
        <f t="shared" si="0"/>
        <v>250000</v>
      </c>
      <c r="M86" s="98">
        <f t="shared" si="1"/>
        <v>1</v>
      </c>
      <c r="N86" s="96" t="s">
        <v>558</v>
      </c>
      <c r="O86" s="97" t="s">
        <v>472</v>
      </c>
      <c r="P86" s="97"/>
      <c r="Q86" s="98"/>
      <c r="R86" s="98">
        <v>1</v>
      </c>
      <c r="S86" s="98"/>
      <c r="T86" s="95">
        <v>250000</v>
      </c>
      <c r="U86" s="109" t="s">
        <v>1048</v>
      </c>
      <c r="V86" s="125"/>
      <c r="W86" s="125"/>
      <c r="X86" s="125"/>
      <c r="Y86" s="125"/>
      <c r="Z86" s="125"/>
      <c r="AA86" s="125"/>
      <c r="AB86" s="125"/>
      <c r="AC86" s="125"/>
      <c r="AD86" s="125"/>
      <c r="AE86" s="125"/>
      <c r="AF86" s="125"/>
      <c r="AG86" s="125"/>
      <c r="AH86" s="125"/>
      <c r="AI86" s="125"/>
      <c r="AJ86" s="125"/>
      <c r="AK86" s="125"/>
      <c r="AL86" s="125"/>
      <c r="AM86" s="125"/>
      <c r="AN86" s="125"/>
      <c r="AO86" s="125"/>
      <c r="AP86" s="125"/>
      <c r="AQ86" s="125"/>
      <c r="AR86" s="125"/>
      <c r="AS86" s="125"/>
      <c r="AT86" s="125"/>
      <c r="AU86" s="125"/>
      <c r="AV86" s="125"/>
      <c r="AW86" s="125"/>
      <c r="AX86" s="125"/>
      <c r="AY86" s="125"/>
      <c r="AZ86" s="125"/>
      <c r="BA86" s="125"/>
      <c r="BB86" s="125"/>
      <c r="BC86" s="125"/>
      <c r="BD86" s="125"/>
      <c r="BE86" s="125"/>
      <c r="BF86" s="125"/>
      <c r="BG86" s="125"/>
      <c r="BH86" s="125"/>
    </row>
    <row r="87" spans="1:60" s="124" customFormat="1" ht="116.25">
      <c r="A87" s="127"/>
      <c r="B87" s="92" t="s">
        <v>447</v>
      </c>
      <c r="C87" s="100" t="s">
        <v>555</v>
      </c>
      <c r="D87" s="100"/>
      <c r="E87" s="100" t="s">
        <v>667</v>
      </c>
      <c r="F87" s="100" t="s">
        <v>666</v>
      </c>
      <c r="G87" s="100" t="s">
        <v>1050</v>
      </c>
      <c r="H87" s="100" t="s">
        <v>145</v>
      </c>
      <c r="I87" s="100"/>
      <c r="J87" s="96" t="s">
        <v>143</v>
      </c>
      <c r="K87" s="96" t="s">
        <v>63</v>
      </c>
      <c r="L87" s="99">
        <f t="shared" si="0"/>
        <v>120000</v>
      </c>
      <c r="M87" s="98">
        <f t="shared" si="1"/>
        <v>1</v>
      </c>
      <c r="N87" s="96" t="s">
        <v>558</v>
      </c>
      <c r="O87" s="97" t="s">
        <v>472</v>
      </c>
      <c r="P87" s="97"/>
      <c r="Q87" s="98">
        <v>1</v>
      </c>
      <c r="R87" s="98"/>
      <c r="S87" s="96" t="s">
        <v>1054</v>
      </c>
      <c r="T87" s="95">
        <v>120000</v>
      </c>
      <c r="U87" s="131" t="s">
        <v>1053</v>
      </c>
      <c r="V87" s="125"/>
      <c r="W87" s="125"/>
      <c r="X87" s="125"/>
      <c r="Y87" s="125"/>
      <c r="Z87" s="125"/>
      <c r="AA87" s="125"/>
      <c r="AB87" s="125"/>
      <c r="AC87" s="125"/>
      <c r="AD87" s="125"/>
      <c r="AE87" s="125"/>
      <c r="AF87" s="125"/>
      <c r="AG87" s="125"/>
      <c r="AH87" s="125"/>
      <c r="AI87" s="125"/>
      <c r="AJ87" s="125"/>
      <c r="AK87" s="125"/>
      <c r="AL87" s="125"/>
      <c r="AM87" s="125"/>
      <c r="AN87" s="125"/>
      <c r="AO87" s="125"/>
      <c r="AP87" s="125"/>
      <c r="AQ87" s="125"/>
      <c r="AR87" s="125"/>
      <c r="AS87" s="125"/>
      <c r="AT87" s="125"/>
      <c r="AU87" s="125"/>
      <c r="AV87" s="125"/>
      <c r="AW87" s="125"/>
      <c r="AX87" s="125"/>
      <c r="AY87" s="125"/>
      <c r="AZ87" s="125"/>
      <c r="BA87" s="125"/>
      <c r="BB87" s="125"/>
      <c r="BC87" s="125"/>
      <c r="BD87" s="125"/>
      <c r="BE87" s="125"/>
      <c r="BF87" s="125"/>
      <c r="BG87" s="125"/>
      <c r="BH87" s="125"/>
    </row>
    <row r="88" spans="1:60" s="124" customFormat="1" ht="116.25">
      <c r="A88" s="127"/>
      <c r="B88" s="92" t="s">
        <v>447</v>
      </c>
      <c r="C88" s="100" t="s">
        <v>555</v>
      </c>
      <c r="D88" s="100"/>
      <c r="E88" s="100" t="s">
        <v>667</v>
      </c>
      <c r="F88" s="100" t="s">
        <v>666</v>
      </c>
      <c r="G88" s="100" t="s">
        <v>1050</v>
      </c>
      <c r="H88" s="100" t="s">
        <v>148</v>
      </c>
      <c r="I88" s="100"/>
      <c r="J88" s="96" t="s">
        <v>146</v>
      </c>
      <c r="K88" s="96" t="s">
        <v>63</v>
      </c>
      <c r="L88" s="99">
        <f t="shared" si="0"/>
        <v>120000</v>
      </c>
      <c r="M88" s="98">
        <f t="shared" si="1"/>
        <v>1</v>
      </c>
      <c r="N88" s="96" t="s">
        <v>558</v>
      </c>
      <c r="O88" s="97" t="s">
        <v>472</v>
      </c>
      <c r="P88" s="96"/>
      <c r="Q88" s="98">
        <v>1</v>
      </c>
      <c r="R88" s="96"/>
      <c r="S88" s="96" t="s">
        <v>1052</v>
      </c>
      <c r="T88" s="95">
        <v>120000</v>
      </c>
      <c r="U88" s="94" t="s">
        <v>1051</v>
      </c>
      <c r="V88" s="125"/>
      <c r="W88" s="125"/>
      <c r="X88" s="125"/>
      <c r="Y88" s="125"/>
      <c r="Z88" s="125"/>
      <c r="AA88" s="125"/>
      <c r="AB88" s="125"/>
      <c r="AC88" s="125"/>
      <c r="AD88" s="125"/>
      <c r="AE88" s="125"/>
      <c r="AF88" s="125"/>
      <c r="AG88" s="125"/>
      <c r="AH88" s="125"/>
      <c r="AI88" s="125"/>
      <c r="AJ88" s="125"/>
      <c r="AK88" s="125"/>
      <c r="AL88" s="125"/>
      <c r="AM88" s="125"/>
      <c r="AN88" s="125"/>
      <c r="AO88" s="125"/>
      <c r="AP88" s="125"/>
      <c r="AQ88" s="125"/>
      <c r="AR88" s="125"/>
      <c r="AS88" s="125"/>
      <c r="AT88" s="125"/>
      <c r="AU88" s="125"/>
      <c r="AV88" s="125"/>
      <c r="AW88" s="125"/>
      <c r="AX88" s="125"/>
      <c r="AY88" s="125"/>
      <c r="AZ88" s="125"/>
      <c r="BA88" s="125"/>
      <c r="BB88" s="125"/>
      <c r="BC88" s="125"/>
      <c r="BD88" s="125"/>
      <c r="BE88" s="125"/>
      <c r="BF88" s="125"/>
      <c r="BG88" s="125"/>
      <c r="BH88" s="125"/>
    </row>
    <row r="89" spans="1:60" s="124" customFormat="1" ht="116.25">
      <c r="A89" s="127"/>
      <c r="B89" s="92" t="s">
        <v>447</v>
      </c>
      <c r="C89" s="100" t="s">
        <v>555</v>
      </c>
      <c r="D89" s="100"/>
      <c r="E89" s="100" t="s">
        <v>667</v>
      </c>
      <c r="F89" s="100" t="s">
        <v>666</v>
      </c>
      <c r="G89" s="100" t="s">
        <v>1050</v>
      </c>
      <c r="H89" s="100" t="s">
        <v>53</v>
      </c>
      <c r="I89" s="100"/>
      <c r="J89" s="100" t="s">
        <v>51</v>
      </c>
      <c r="K89" s="96" t="s">
        <v>40</v>
      </c>
      <c r="L89" s="99">
        <f t="shared" si="0"/>
        <v>120000</v>
      </c>
      <c r="M89" s="98">
        <f t="shared" si="1"/>
        <v>1</v>
      </c>
      <c r="N89" s="96" t="s">
        <v>558</v>
      </c>
      <c r="O89" s="97" t="s">
        <v>472</v>
      </c>
      <c r="P89" s="146"/>
      <c r="Q89" s="98"/>
      <c r="R89" s="96">
        <v>1</v>
      </c>
      <c r="S89" s="96"/>
      <c r="T89" s="95">
        <v>120000</v>
      </c>
      <c r="U89" s="94" t="s">
        <v>1048</v>
      </c>
      <c r="V89" s="125"/>
      <c r="W89" s="125"/>
      <c r="X89" s="125"/>
      <c r="Y89" s="125"/>
      <c r="Z89" s="125"/>
      <c r="AA89" s="125"/>
      <c r="AB89" s="125"/>
      <c r="AC89" s="125"/>
      <c r="AD89" s="125"/>
      <c r="AE89" s="125"/>
      <c r="AF89" s="125"/>
      <c r="AG89" s="125"/>
      <c r="AH89" s="125"/>
      <c r="AI89" s="125"/>
      <c r="AJ89" s="125"/>
      <c r="AK89" s="125"/>
      <c r="AL89" s="125"/>
      <c r="AM89" s="125"/>
      <c r="AN89" s="125"/>
      <c r="AO89" s="125"/>
      <c r="AP89" s="125"/>
      <c r="AQ89" s="125"/>
      <c r="AR89" s="125"/>
      <c r="AS89" s="125"/>
      <c r="AT89" s="125"/>
      <c r="AU89" s="125"/>
      <c r="AV89" s="125"/>
      <c r="AW89" s="125"/>
      <c r="AX89" s="125"/>
      <c r="AY89" s="125"/>
      <c r="AZ89" s="125"/>
      <c r="BA89" s="125"/>
      <c r="BB89" s="125"/>
      <c r="BC89" s="125"/>
      <c r="BD89" s="125"/>
      <c r="BE89" s="125"/>
      <c r="BF89" s="125"/>
      <c r="BG89" s="125"/>
      <c r="BH89" s="125"/>
    </row>
    <row r="90" spans="1:60" s="124" customFormat="1" ht="116.25">
      <c r="A90" s="127"/>
      <c r="B90" s="92" t="s">
        <v>447</v>
      </c>
      <c r="C90" s="100" t="s">
        <v>555</v>
      </c>
      <c r="D90" s="100"/>
      <c r="E90" s="100" t="s">
        <v>667</v>
      </c>
      <c r="F90" s="100" t="s">
        <v>666</v>
      </c>
      <c r="G90" s="100" t="s">
        <v>1049</v>
      </c>
      <c r="H90" s="100" t="s">
        <v>156</v>
      </c>
      <c r="I90" s="100"/>
      <c r="J90" s="96" t="s">
        <v>154</v>
      </c>
      <c r="K90" s="96" t="s">
        <v>149</v>
      </c>
      <c r="L90" s="99">
        <f t="shared" si="0"/>
        <v>180000</v>
      </c>
      <c r="M90" s="98">
        <f t="shared" si="1"/>
        <v>1</v>
      </c>
      <c r="N90" s="98" t="s">
        <v>558</v>
      </c>
      <c r="O90" s="97" t="s">
        <v>472</v>
      </c>
      <c r="P90" s="97"/>
      <c r="Q90" s="98"/>
      <c r="R90" s="98">
        <v>1</v>
      </c>
      <c r="S90" s="98"/>
      <c r="T90" s="95">
        <v>180000</v>
      </c>
      <c r="U90" s="94" t="s">
        <v>1048</v>
      </c>
      <c r="V90" s="125"/>
      <c r="W90" s="125"/>
      <c r="X90" s="125"/>
      <c r="Y90" s="125"/>
      <c r="Z90" s="125"/>
      <c r="AA90" s="125"/>
      <c r="AB90" s="125"/>
      <c r="AC90" s="125"/>
      <c r="AD90" s="125"/>
      <c r="AE90" s="125"/>
      <c r="AF90" s="125"/>
      <c r="AG90" s="125"/>
      <c r="AH90" s="125"/>
      <c r="AI90" s="125"/>
      <c r="AJ90" s="125"/>
      <c r="AK90" s="125"/>
      <c r="AL90" s="125"/>
      <c r="AM90" s="125"/>
      <c r="AN90" s="125"/>
      <c r="AO90" s="125"/>
      <c r="AP90" s="125"/>
      <c r="AQ90" s="125"/>
      <c r="AR90" s="125"/>
      <c r="AS90" s="125"/>
      <c r="AT90" s="125"/>
      <c r="AU90" s="125"/>
      <c r="AV90" s="125"/>
      <c r="AW90" s="125"/>
      <c r="AX90" s="125"/>
      <c r="AY90" s="125"/>
      <c r="AZ90" s="125"/>
      <c r="BA90" s="125"/>
      <c r="BB90" s="125"/>
      <c r="BC90" s="125"/>
      <c r="BD90" s="125"/>
      <c r="BE90" s="125"/>
      <c r="BF90" s="125"/>
      <c r="BG90" s="125"/>
      <c r="BH90" s="125"/>
    </row>
    <row r="91" spans="1:60" s="124" customFormat="1" ht="116.25">
      <c r="A91" s="127"/>
      <c r="B91" s="92" t="s">
        <v>447</v>
      </c>
      <c r="C91" s="100" t="s">
        <v>555</v>
      </c>
      <c r="D91" s="100"/>
      <c r="E91" s="100" t="s">
        <v>667</v>
      </c>
      <c r="F91" s="100" t="s">
        <v>666</v>
      </c>
      <c r="G91" s="100" t="s">
        <v>1046</v>
      </c>
      <c r="H91" s="100" t="s">
        <v>458</v>
      </c>
      <c r="I91" s="100"/>
      <c r="J91" s="100" t="s">
        <v>440</v>
      </c>
      <c r="K91" s="96" t="s">
        <v>40</v>
      </c>
      <c r="L91" s="99">
        <f t="shared" si="0"/>
        <v>8600</v>
      </c>
      <c r="M91" s="98">
        <f t="shared" si="1"/>
        <v>1</v>
      </c>
      <c r="N91" s="98" t="s">
        <v>558</v>
      </c>
      <c r="O91" s="97" t="s">
        <v>472</v>
      </c>
      <c r="P91" s="98"/>
      <c r="Q91" s="98"/>
      <c r="R91" s="98">
        <v>1</v>
      </c>
      <c r="S91" s="98"/>
      <c r="T91" s="95">
        <v>8600</v>
      </c>
      <c r="U91" s="131" t="s">
        <v>1047</v>
      </c>
      <c r="V91" s="125"/>
      <c r="W91" s="125"/>
      <c r="X91" s="125"/>
      <c r="Y91" s="125"/>
      <c r="Z91" s="125"/>
      <c r="AA91" s="125"/>
      <c r="AB91" s="125"/>
      <c r="AC91" s="125"/>
      <c r="AD91" s="125"/>
      <c r="AE91" s="125"/>
      <c r="AF91" s="125"/>
      <c r="AG91" s="125"/>
      <c r="AH91" s="125"/>
      <c r="AI91" s="125"/>
      <c r="AJ91" s="125"/>
      <c r="AK91" s="125"/>
      <c r="AL91" s="125"/>
      <c r="AM91" s="125"/>
      <c r="AN91" s="125"/>
      <c r="AO91" s="125"/>
      <c r="AP91" s="125"/>
      <c r="AQ91" s="125"/>
      <c r="AR91" s="125"/>
      <c r="AS91" s="125"/>
      <c r="AT91" s="125"/>
      <c r="AU91" s="125"/>
      <c r="AV91" s="125"/>
      <c r="AW91" s="125"/>
      <c r="AX91" s="125"/>
      <c r="AY91" s="125"/>
      <c r="AZ91" s="125"/>
      <c r="BA91" s="125"/>
      <c r="BB91" s="125"/>
      <c r="BC91" s="125"/>
      <c r="BD91" s="125"/>
      <c r="BE91" s="125"/>
      <c r="BF91" s="125"/>
      <c r="BG91" s="125"/>
      <c r="BH91" s="125"/>
    </row>
    <row r="92" spans="1:60" s="124" customFormat="1" ht="116.25">
      <c r="A92" s="127"/>
      <c r="B92" s="92" t="s">
        <v>447</v>
      </c>
      <c r="C92" s="100" t="s">
        <v>555</v>
      </c>
      <c r="D92" s="100"/>
      <c r="E92" s="100" t="s">
        <v>667</v>
      </c>
      <c r="F92" s="100" t="s">
        <v>666</v>
      </c>
      <c r="G92" s="100" t="s">
        <v>1046</v>
      </c>
      <c r="H92" s="100" t="s">
        <v>381</v>
      </c>
      <c r="I92" s="100"/>
      <c r="J92" s="100" t="s">
        <v>379</v>
      </c>
      <c r="K92" s="96" t="s">
        <v>63</v>
      </c>
      <c r="L92" s="106">
        <f t="shared" si="0"/>
        <v>8000</v>
      </c>
      <c r="M92" s="98">
        <f t="shared" si="1"/>
        <v>1</v>
      </c>
      <c r="N92" s="98" t="s">
        <v>558</v>
      </c>
      <c r="O92" s="97"/>
      <c r="P92" s="108" t="s">
        <v>472</v>
      </c>
      <c r="Q92" s="98"/>
      <c r="R92" s="98">
        <v>1</v>
      </c>
      <c r="S92" s="98"/>
      <c r="T92" s="104">
        <v>8000</v>
      </c>
      <c r="U92" s="131" t="s">
        <v>1040</v>
      </c>
      <c r="V92" s="125"/>
      <c r="W92" s="125"/>
      <c r="X92" s="125"/>
      <c r="Y92" s="125"/>
      <c r="Z92" s="125"/>
      <c r="AA92" s="125"/>
      <c r="AB92" s="125"/>
      <c r="AC92" s="125"/>
      <c r="AD92" s="125"/>
      <c r="AE92" s="125"/>
      <c r="AF92" s="125"/>
      <c r="AG92" s="125"/>
      <c r="AH92" s="125"/>
      <c r="AI92" s="125"/>
      <c r="AJ92" s="125"/>
      <c r="AK92" s="125"/>
      <c r="AL92" s="125"/>
      <c r="AM92" s="125"/>
      <c r="AN92" s="125"/>
      <c r="AO92" s="125"/>
      <c r="AP92" s="125"/>
      <c r="AQ92" s="125"/>
      <c r="AR92" s="125"/>
      <c r="AS92" s="125"/>
      <c r="AT92" s="125"/>
      <c r="AU92" s="125"/>
      <c r="AV92" s="125"/>
      <c r="AW92" s="125"/>
      <c r="AX92" s="125"/>
      <c r="AY92" s="125"/>
      <c r="AZ92" s="125"/>
      <c r="BA92" s="125"/>
      <c r="BB92" s="125"/>
      <c r="BC92" s="125"/>
      <c r="BD92" s="125"/>
      <c r="BE92" s="125"/>
      <c r="BF92" s="125"/>
      <c r="BG92" s="125"/>
      <c r="BH92" s="125"/>
    </row>
    <row r="93" spans="1:60" s="124" customFormat="1" ht="116.25">
      <c r="A93" s="127"/>
      <c r="B93" s="92" t="s">
        <v>447</v>
      </c>
      <c r="C93" s="100" t="s">
        <v>555</v>
      </c>
      <c r="D93" s="100"/>
      <c r="E93" s="100" t="s">
        <v>667</v>
      </c>
      <c r="F93" s="100" t="s">
        <v>666</v>
      </c>
      <c r="G93" s="100" t="s">
        <v>1046</v>
      </c>
      <c r="H93" s="100" t="s">
        <v>164</v>
      </c>
      <c r="I93" s="100"/>
      <c r="J93" s="100" t="s">
        <v>160</v>
      </c>
      <c r="K93" s="96" t="s">
        <v>149</v>
      </c>
      <c r="L93" s="99">
        <f t="shared" si="0"/>
        <v>8600</v>
      </c>
      <c r="M93" s="98">
        <f t="shared" si="1"/>
        <v>1</v>
      </c>
      <c r="N93" s="98" t="s">
        <v>558</v>
      </c>
      <c r="O93" s="97" t="s">
        <v>472</v>
      </c>
      <c r="P93" s="96"/>
      <c r="Q93" s="98"/>
      <c r="R93" s="98">
        <v>1</v>
      </c>
      <c r="S93" s="98"/>
      <c r="T93" s="95">
        <v>8600</v>
      </c>
      <c r="U93" s="131" t="s">
        <v>1040</v>
      </c>
      <c r="V93" s="125"/>
      <c r="W93" s="125"/>
      <c r="X93" s="125"/>
      <c r="Y93" s="125"/>
      <c r="Z93" s="125"/>
      <c r="AA93" s="125"/>
      <c r="AB93" s="125"/>
      <c r="AC93" s="125"/>
      <c r="AD93" s="125"/>
      <c r="AE93" s="125"/>
      <c r="AF93" s="125"/>
      <c r="AG93" s="125"/>
      <c r="AH93" s="125"/>
      <c r="AI93" s="125"/>
      <c r="AJ93" s="125"/>
      <c r="AK93" s="125"/>
      <c r="AL93" s="125"/>
      <c r="AM93" s="125"/>
      <c r="AN93" s="125"/>
      <c r="AO93" s="125"/>
      <c r="AP93" s="125"/>
      <c r="AQ93" s="125"/>
      <c r="AR93" s="125"/>
      <c r="AS93" s="125"/>
      <c r="AT93" s="125"/>
      <c r="AU93" s="125"/>
      <c r="AV93" s="125"/>
      <c r="AW93" s="125"/>
      <c r="AX93" s="125"/>
      <c r="AY93" s="125"/>
      <c r="AZ93" s="125"/>
      <c r="BA93" s="125"/>
      <c r="BB93" s="125"/>
      <c r="BC93" s="125"/>
      <c r="BD93" s="125"/>
      <c r="BE93" s="125"/>
      <c r="BF93" s="125"/>
      <c r="BG93" s="125"/>
      <c r="BH93" s="125"/>
    </row>
    <row r="94" spans="1:60" s="124" customFormat="1" ht="116.25">
      <c r="A94" s="127"/>
      <c r="B94" s="92" t="s">
        <v>447</v>
      </c>
      <c r="C94" s="100" t="s">
        <v>555</v>
      </c>
      <c r="D94" s="100"/>
      <c r="E94" s="100" t="s">
        <v>667</v>
      </c>
      <c r="F94" s="100" t="s">
        <v>666</v>
      </c>
      <c r="G94" s="100" t="s">
        <v>1046</v>
      </c>
      <c r="H94" s="100" t="s">
        <v>56</v>
      </c>
      <c r="I94" s="100"/>
      <c r="J94" s="100" t="s">
        <v>54</v>
      </c>
      <c r="K94" s="96" t="s">
        <v>40</v>
      </c>
      <c r="L94" s="99">
        <f t="shared" si="0"/>
        <v>8600</v>
      </c>
      <c r="M94" s="98">
        <f t="shared" si="1"/>
        <v>1</v>
      </c>
      <c r="N94" s="98" t="s">
        <v>558</v>
      </c>
      <c r="O94" s="97" t="s">
        <v>472</v>
      </c>
      <c r="P94" s="98"/>
      <c r="Q94" s="98"/>
      <c r="R94" s="98">
        <v>1</v>
      </c>
      <c r="S94" s="98"/>
      <c r="T94" s="95">
        <v>8600</v>
      </c>
      <c r="U94" s="131" t="s">
        <v>1040</v>
      </c>
      <c r="V94" s="125"/>
      <c r="W94" s="125"/>
      <c r="X94" s="125"/>
      <c r="Y94" s="125"/>
      <c r="Z94" s="125"/>
      <c r="AA94" s="125"/>
      <c r="AB94" s="125"/>
      <c r="AC94" s="125"/>
      <c r="AD94" s="125"/>
      <c r="AE94" s="125"/>
      <c r="AF94" s="125"/>
      <c r="AG94" s="125"/>
      <c r="AH94" s="125"/>
      <c r="AI94" s="125"/>
      <c r="AJ94" s="125"/>
      <c r="AK94" s="125"/>
      <c r="AL94" s="125"/>
      <c r="AM94" s="125"/>
      <c r="AN94" s="125"/>
      <c r="AO94" s="125"/>
      <c r="AP94" s="125"/>
      <c r="AQ94" s="125"/>
      <c r="AR94" s="125"/>
      <c r="AS94" s="125"/>
      <c r="AT94" s="125"/>
      <c r="AU94" s="125"/>
      <c r="AV94" s="125"/>
      <c r="AW94" s="125"/>
      <c r="AX94" s="125"/>
      <c r="AY94" s="125"/>
      <c r="AZ94" s="125"/>
      <c r="BA94" s="125"/>
      <c r="BB94" s="125"/>
      <c r="BC94" s="125"/>
      <c r="BD94" s="125"/>
      <c r="BE94" s="125"/>
      <c r="BF94" s="125"/>
      <c r="BG94" s="125"/>
      <c r="BH94" s="125"/>
    </row>
    <row r="95" spans="1:60" s="124" customFormat="1" ht="116.25">
      <c r="A95" s="127"/>
      <c r="B95" s="92" t="s">
        <v>447</v>
      </c>
      <c r="C95" s="100" t="s">
        <v>555</v>
      </c>
      <c r="D95" s="100"/>
      <c r="E95" s="100" t="s">
        <v>667</v>
      </c>
      <c r="F95" s="100" t="s">
        <v>666</v>
      </c>
      <c r="G95" s="103" t="s">
        <v>1043</v>
      </c>
      <c r="H95" s="100" t="s">
        <v>24</v>
      </c>
      <c r="I95" s="100"/>
      <c r="J95" s="100" t="s">
        <v>22</v>
      </c>
      <c r="K95" s="96" t="s">
        <v>13</v>
      </c>
      <c r="L95" s="106">
        <f t="shared" si="0"/>
        <v>13700</v>
      </c>
      <c r="M95" s="98">
        <f t="shared" si="1"/>
        <v>1</v>
      </c>
      <c r="N95" s="98" t="s">
        <v>558</v>
      </c>
      <c r="O95" s="97" t="s">
        <v>472</v>
      </c>
      <c r="P95" s="98"/>
      <c r="Q95" s="98"/>
      <c r="R95" s="98">
        <v>1</v>
      </c>
      <c r="S95" s="98"/>
      <c r="T95" s="104">
        <v>13700</v>
      </c>
      <c r="U95" s="131" t="s">
        <v>1045</v>
      </c>
      <c r="V95" s="125"/>
      <c r="W95" s="125"/>
      <c r="X95" s="125"/>
      <c r="Y95" s="125"/>
      <c r="Z95" s="125"/>
      <c r="AA95" s="125"/>
      <c r="AB95" s="125"/>
      <c r="AC95" s="125"/>
      <c r="AD95" s="125"/>
      <c r="AE95" s="125"/>
      <c r="AF95" s="125"/>
      <c r="AG95" s="125"/>
      <c r="AH95" s="125"/>
      <c r="AI95" s="125"/>
      <c r="AJ95" s="125"/>
      <c r="AK95" s="125"/>
      <c r="AL95" s="125"/>
      <c r="AM95" s="125"/>
      <c r="AN95" s="125"/>
      <c r="AO95" s="125"/>
      <c r="AP95" s="125"/>
      <c r="AQ95" s="125"/>
      <c r="AR95" s="125"/>
      <c r="AS95" s="125"/>
      <c r="AT95" s="125"/>
      <c r="AU95" s="125"/>
      <c r="AV95" s="125"/>
      <c r="AW95" s="125"/>
      <c r="AX95" s="125"/>
      <c r="AY95" s="125"/>
      <c r="AZ95" s="125"/>
      <c r="BA95" s="125"/>
      <c r="BB95" s="125"/>
      <c r="BC95" s="125"/>
      <c r="BD95" s="125"/>
      <c r="BE95" s="125"/>
      <c r="BF95" s="125"/>
      <c r="BG95" s="125"/>
      <c r="BH95" s="125"/>
    </row>
    <row r="96" spans="1:60" s="124" customFormat="1" ht="116.25">
      <c r="A96" s="127"/>
      <c r="B96" s="92" t="s">
        <v>447</v>
      </c>
      <c r="C96" s="100" t="s">
        <v>555</v>
      </c>
      <c r="D96" s="100"/>
      <c r="E96" s="100" t="s">
        <v>667</v>
      </c>
      <c r="F96" s="100" t="s">
        <v>666</v>
      </c>
      <c r="G96" s="100" t="s">
        <v>1043</v>
      </c>
      <c r="H96" s="100" t="s">
        <v>39</v>
      </c>
      <c r="I96" s="100"/>
      <c r="J96" s="100" t="s">
        <v>34</v>
      </c>
      <c r="K96" s="96" t="s">
        <v>13</v>
      </c>
      <c r="L96" s="99">
        <f t="shared" si="0"/>
        <v>13700</v>
      </c>
      <c r="M96" s="98">
        <f t="shared" si="1"/>
        <v>1</v>
      </c>
      <c r="N96" s="98" t="s">
        <v>558</v>
      </c>
      <c r="O96" s="97" t="s">
        <v>472</v>
      </c>
      <c r="P96" s="96"/>
      <c r="Q96" s="96"/>
      <c r="R96" s="98">
        <v>1</v>
      </c>
      <c r="S96" s="96"/>
      <c r="T96" s="95">
        <v>13700</v>
      </c>
      <c r="U96" s="94" t="s">
        <v>1040</v>
      </c>
      <c r="V96" s="125"/>
      <c r="W96" s="125"/>
      <c r="X96" s="125"/>
      <c r="Y96" s="125"/>
      <c r="Z96" s="125"/>
      <c r="AA96" s="125"/>
      <c r="AB96" s="125"/>
      <c r="AC96" s="125"/>
      <c r="AD96" s="125"/>
      <c r="AE96" s="125"/>
      <c r="AF96" s="125"/>
      <c r="AG96" s="125"/>
      <c r="AH96" s="125"/>
      <c r="AI96" s="125"/>
      <c r="AJ96" s="125"/>
      <c r="AK96" s="125"/>
      <c r="AL96" s="125"/>
      <c r="AM96" s="125"/>
      <c r="AN96" s="125"/>
      <c r="AO96" s="125"/>
      <c r="AP96" s="125"/>
      <c r="AQ96" s="125"/>
      <c r="AR96" s="125"/>
      <c r="AS96" s="125"/>
      <c r="AT96" s="125"/>
      <c r="AU96" s="125"/>
      <c r="AV96" s="125"/>
      <c r="AW96" s="125"/>
      <c r="AX96" s="125"/>
      <c r="AY96" s="125"/>
      <c r="AZ96" s="125"/>
      <c r="BA96" s="125"/>
      <c r="BB96" s="125"/>
      <c r="BC96" s="125"/>
      <c r="BD96" s="125"/>
      <c r="BE96" s="125"/>
      <c r="BF96" s="125"/>
      <c r="BG96" s="125"/>
      <c r="BH96" s="125"/>
    </row>
    <row r="97" spans="1:60" s="124" customFormat="1" ht="116.25">
      <c r="A97" s="127"/>
      <c r="B97" s="92" t="s">
        <v>447</v>
      </c>
      <c r="C97" s="100" t="s">
        <v>555</v>
      </c>
      <c r="D97" s="100"/>
      <c r="E97" s="100" t="s">
        <v>667</v>
      </c>
      <c r="F97" s="100" t="s">
        <v>666</v>
      </c>
      <c r="G97" s="100" t="s">
        <v>1043</v>
      </c>
      <c r="H97" s="100" t="s">
        <v>232</v>
      </c>
      <c r="I97" s="100"/>
      <c r="J97" s="100" t="s">
        <v>230</v>
      </c>
      <c r="K97" s="96" t="s">
        <v>13</v>
      </c>
      <c r="L97" s="99">
        <f t="shared" si="0"/>
        <v>13700</v>
      </c>
      <c r="M97" s="98">
        <f t="shared" si="1"/>
        <v>1</v>
      </c>
      <c r="N97" s="98" t="s">
        <v>558</v>
      </c>
      <c r="O97" s="97" t="s">
        <v>472</v>
      </c>
      <c r="P97" s="96"/>
      <c r="Q97" s="96"/>
      <c r="R97" s="98">
        <v>1</v>
      </c>
      <c r="S97" s="96"/>
      <c r="T97" s="95">
        <v>13700</v>
      </c>
      <c r="U97" s="94" t="s">
        <v>1040</v>
      </c>
      <c r="V97" s="125"/>
      <c r="W97" s="125"/>
      <c r="X97" s="125"/>
      <c r="Y97" s="125"/>
      <c r="Z97" s="125"/>
      <c r="AA97" s="125"/>
      <c r="AB97" s="125"/>
      <c r="AC97" s="125"/>
      <c r="AD97" s="125"/>
      <c r="AE97" s="125"/>
      <c r="AF97" s="125"/>
      <c r="AG97" s="125"/>
      <c r="AH97" s="125"/>
      <c r="AI97" s="125"/>
      <c r="AJ97" s="125"/>
      <c r="AK97" s="125"/>
      <c r="AL97" s="125"/>
      <c r="AM97" s="125"/>
      <c r="AN97" s="125"/>
      <c r="AO97" s="125"/>
      <c r="AP97" s="125"/>
      <c r="AQ97" s="125"/>
      <c r="AR97" s="125"/>
      <c r="AS97" s="125"/>
      <c r="AT97" s="125"/>
      <c r="AU97" s="125"/>
      <c r="AV97" s="125"/>
      <c r="AW97" s="125"/>
      <c r="AX97" s="125"/>
      <c r="AY97" s="125"/>
      <c r="AZ97" s="125"/>
      <c r="BA97" s="125"/>
      <c r="BB97" s="125"/>
      <c r="BC97" s="125"/>
      <c r="BD97" s="125"/>
      <c r="BE97" s="125"/>
      <c r="BF97" s="125"/>
      <c r="BG97" s="125"/>
      <c r="BH97" s="125"/>
    </row>
    <row r="98" spans="1:60" s="124" customFormat="1" ht="116.25">
      <c r="A98" s="127"/>
      <c r="B98" s="92" t="s">
        <v>447</v>
      </c>
      <c r="C98" s="100" t="s">
        <v>555</v>
      </c>
      <c r="D98" s="100"/>
      <c r="E98" s="100" t="s">
        <v>667</v>
      </c>
      <c r="F98" s="100" t="s">
        <v>666</v>
      </c>
      <c r="G98" s="100" t="s">
        <v>1043</v>
      </c>
      <c r="H98" s="100" t="s">
        <v>50</v>
      </c>
      <c r="I98" s="100"/>
      <c r="J98" s="100" t="s">
        <v>46</v>
      </c>
      <c r="K98" s="96" t="s">
        <v>40</v>
      </c>
      <c r="L98" s="99">
        <f t="shared" si="0"/>
        <v>13700</v>
      </c>
      <c r="M98" s="98">
        <f t="shared" si="1"/>
        <v>1</v>
      </c>
      <c r="N98" s="98" t="s">
        <v>558</v>
      </c>
      <c r="O98" s="97" t="s">
        <v>472</v>
      </c>
      <c r="P98" s="96"/>
      <c r="Q98" s="96"/>
      <c r="R98" s="98">
        <v>1</v>
      </c>
      <c r="S98" s="96"/>
      <c r="T98" s="95">
        <v>13700</v>
      </c>
      <c r="U98" s="94" t="s">
        <v>1040</v>
      </c>
      <c r="V98" s="125"/>
      <c r="W98" s="125"/>
      <c r="X98" s="125"/>
      <c r="Y98" s="125"/>
      <c r="Z98" s="125"/>
      <c r="AA98" s="125"/>
      <c r="AB98" s="125"/>
      <c r="AC98" s="125"/>
      <c r="AD98" s="125"/>
      <c r="AE98" s="125"/>
      <c r="AF98" s="125"/>
      <c r="AG98" s="125"/>
      <c r="AH98" s="125"/>
      <c r="AI98" s="125"/>
      <c r="AJ98" s="125"/>
      <c r="AK98" s="125"/>
      <c r="AL98" s="125"/>
      <c r="AM98" s="125"/>
      <c r="AN98" s="125"/>
      <c r="AO98" s="125"/>
      <c r="AP98" s="125"/>
      <c r="AQ98" s="125"/>
      <c r="AR98" s="125"/>
      <c r="AS98" s="125"/>
      <c r="AT98" s="125"/>
      <c r="AU98" s="125"/>
      <c r="AV98" s="125"/>
      <c r="AW98" s="125"/>
      <c r="AX98" s="125"/>
      <c r="AY98" s="125"/>
      <c r="AZ98" s="125"/>
      <c r="BA98" s="125"/>
      <c r="BB98" s="125"/>
      <c r="BC98" s="125"/>
      <c r="BD98" s="125"/>
      <c r="BE98" s="125"/>
      <c r="BF98" s="125"/>
      <c r="BG98" s="125"/>
      <c r="BH98" s="125"/>
    </row>
    <row r="99" spans="1:60" s="124" customFormat="1" ht="116.25">
      <c r="A99" s="127"/>
      <c r="B99" s="92" t="s">
        <v>447</v>
      </c>
      <c r="C99" s="100" t="s">
        <v>555</v>
      </c>
      <c r="D99" s="100"/>
      <c r="E99" s="100" t="s">
        <v>667</v>
      </c>
      <c r="F99" s="100" t="s">
        <v>666</v>
      </c>
      <c r="G99" s="100" t="s">
        <v>1043</v>
      </c>
      <c r="H99" s="100" t="s">
        <v>451</v>
      </c>
      <c r="I99" s="100"/>
      <c r="J99" s="100" t="s">
        <v>444</v>
      </c>
      <c r="K99" s="96" t="s">
        <v>13</v>
      </c>
      <c r="L99" s="106">
        <f t="shared" si="0"/>
        <v>13800</v>
      </c>
      <c r="M99" s="98">
        <f t="shared" si="1"/>
        <v>1</v>
      </c>
      <c r="N99" s="98" t="s">
        <v>558</v>
      </c>
      <c r="O99" s="97"/>
      <c r="P99" s="108" t="s">
        <v>472</v>
      </c>
      <c r="Q99" s="96"/>
      <c r="R99" s="98">
        <v>1</v>
      </c>
      <c r="S99" s="96"/>
      <c r="T99" s="104">
        <v>13800</v>
      </c>
      <c r="U99" s="94" t="s">
        <v>1044</v>
      </c>
      <c r="V99" s="125"/>
      <c r="W99" s="125"/>
      <c r="X99" s="125"/>
      <c r="Y99" s="125"/>
      <c r="Z99" s="125"/>
      <c r="AA99" s="125"/>
      <c r="AB99" s="125"/>
      <c r="AC99" s="125"/>
      <c r="AD99" s="125"/>
      <c r="AE99" s="125"/>
      <c r="AF99" s="125"/>
      <c r="AG99" s="125"/>
      <c r="AH99" s="125"/>
      <c r="AI99" s="125"/>
      <c r="AJ99" s="125"/>
      <c r="AK99" s="125"/>
      <c r="AL99" s="125"/>
      <c r="AM99" s="125"/>
      <c r="AN99" s="125"/>
      <c r="AO99" s="125"/>
      <c r="AP99" s="125"/>
      <c r="AQ99" s="125"/>
      <c r="AR99" s="125"/>
      <c r="AS99" s="125"/>
      <c r="AT99" s="125"/>
      <c r="AU99" s="125"/>
      <c r="AV99" s="125"/>
      <c r="AW99" s="125"/>
      <c r="AX99" s="125"/>
      <c r="AY99" s="125"/>
      <c r="AZ99" s="125"/>
      <c r="BA99" s="125"/>
      <c r="BB99" s="125"/>
      <c r="BC99" s="125"/>
      <c r="BD99" s="125"/>
      <c r="BE99" s="125"/>
      <c r="BF99" s="125"/>
      <c r="BG99" s="125"/>
      <c r="BH99" s="125"/>
    </row>
    <row r="100" spans="1:60" s="124" customFormat="1" ht="116.25">
      <c r="A100" s="127"/>
      <c r="B100" s="92" t="s">
        <v>447</v>
      </c>
      <c r="C100" s="100" t="s">
        <v>555</v>
      </c>
      <c r="D100" s="100"/>
      <c r="E100" s="100" t="s">
        <v>667</v>
      </c>
      <c r="F100" s="100" t="s">
        <v>666</v>
      </c>
      <c r="G100" s="100" t="s">
        <v>1043</v>
      </c>
      <c r="H100" s="100" t="s">
        <v>356</v>
      </c>
      <c r="I100" s="100"/>
      <c r="J100" s="100" t="s">
        <v>357</v>
      </c>
      <c r="K100" s="96" t="s">
        <v>63</v>
      </c>
      <c r="L100" s="99">
        <f t="shared" si="0"/>
        <v>13700</v>
      </c>
      <c r="M100" s="98">
        <f t="shared" si="1"/>
        <v>1</v>
      </c>
      <c r="N100" s="98" t="s">
        <v>558</v>
      </c>
      <c r="O100" s="97" t="s">
        <v>472</v>
      </c>
      <c r="P100" s="96"/>
      <c r="Q100" s="96"/>
      <c r="R100" s="98">
        <v>1</v>
      </c>
      <c r="S100" s="96"/>
      <c r="T100" s="95">
        <v>13700</v>
      </c>
      <c r="U100" s="94" t="s">
        <v>1042</v>
      </c>
      <c r="V100" s="125"/>
      <c r="W100" s="125"/>
      <c r="X100" s="125"/>
      <c r="Y100" s="125"/>
      <c r="Z100" s="125"/>
      <c r="AA100" s="125"/>
      <c r="AB100" s="125"/>
      <c r="AC100" s="125"/>
      <c r="AD100" s="125"/>
      <c r="AE100" s="125"/>
      <c r="AF100" s="125"/>
      <c r="AG100" s="125"/>
      <c r="AH100" s="125"/>
      <c r="AI100" s="125"/>
      <c r="AJ100" s="125"/>
      <c r="AK100" s="125"/>
      <c r="AL100" s="125"/>
      <c r="AM100" s="125"/>
      <c r="AN100" s="125"/>
      <c r="AO100" s="125"/>
      <c r="AP100" s="125"/>
      <c r="AQ100" s="125"/>
      <c r="AR100" s="125"/>
      <c r="AS100" s="125"/>
      <c r="AT100" s="125"/>
      <c r="AU100" s="125"/>
      <c r="AV100" s="125"/>
      <c r="AW100" s="125"/>
      <c r="AX100" s="125"/>
      <c r="AY100" s="125"/>
      <c r="AZ100" s="125"/>
      <c r="BA100" s="125"/>
      <c r="BB100" s="125"/>
      <c r="BC100" s="125"/>
      <c r="BD100" s="125"/>
      <c r="BE100" s="125"/>
      <c r="BF100" s="125"/>
      <c r="BG100" s="125"/>
      <c r="BH100" s="125"/>
    </row>
    <row r="101" spans="1:60" s="124" customFormat="1" ht="116.25">
      <c r="A101" s="127"/>
      <c r="B101" s="92" t="s">
        <v>447</v>
      </c>
      <c r="C101" s="100" t="s">
        <v>555</v>
      </c>
      <c r="D101" s="100"/>
      <c r="E101" s="100" t="s">
        <v>667</v>
      </c>
      <c r="F101" s="100" t="s">
        <v>666</v>
      </c>
      <c r="G101" s="100" t="s">
        <v>1041</v>
      </c>
      <c r="H101" s="100" t="s">
        <v>56</v>
      </c>
      <c r="I101" s="100"/>
      <c r="J101" s="100" t="s">
        <v>54</v>
      </c>
      <c r="K101" s="96" t="s">
        <v>40</v>
      </c>
      <c r="L101" s="99">
        <f t="shared" si="0"/>
        <v>21000</v>
      </c>
      <c r="M101" s="98">
        <f t="shared" si="1"/>
        <v>1</v>
      </c>
      <c r="N101" s="98" t="s">
        <v>558</v>
      </c>
      <c r="O101" s="97" t="s">
        <v>472</v>
      </c>
      <c r="P101" s="96"/>
      <c r="Q101" s="96"/>
      <c r="R101" s="98">
        <v>1</v>
      </c>
      <c r="S101" s="96"/>
      <c r="T101" s="95">
        <v>21000</v>
      </c>
      <c r="U101" s="94" t="s">
        <v>1040</v>
      </c>
      <c r="V101" s="125"/>
      <c r="W101" s="125"/>
      <c r="X101" s="125"/>
      <c r="Y101" s="125"/>
      <c r="Z101" s="125"/>
      <c r="AA101" s="125"/>
      <c r="AB101" s="125"/>
      <c r="AC101" s="125"/>
      <c r="AD101" s="125"/>
      <c r="AE101" s="125"/>
      <c r="AF101" s="125"/>
      <c r="AG101" s="125"/>
      <c r="AH101" s="125"/>
      <c r="AI101" s="125"/>
      <c r="AJ101" s="125"/>
      <c r="AK101" s="125"/>
      <c r="AL101" s="125"/>
      <c r="AM101" s="125"/>
      <c r="AN101" s="125"/>
      <c r="AO101" s="125"/>
      <c r="AP101" s="125"/>
      <c r="AQ101" s="125"/>
      <c r="AR101" s="125"/>
      <c r="AS101" s="125"/>
      <c r="AT101" s="125"/>
      <c r="AU101" s="125"/>
      <c r="AV101" s="125"/>
      <c r="AW101" s="125"/>
      <c r="AX101" s="125"/>
      <c r="AY101" s="125"/>
      <c r="AZ101" s="125"/>
      <c r="BA101" s="125"/>
      <c r="BB101" s="125"/>
      <c r="BC101" s="125"/>
      <c r="BD101" s="125"/>
      <c r="BE101" s="125"/>
      <c r="BF101" s="125"/>
      <c r="BG101" s="125"/>
      <c r="BH101" s="125"/>
    </row>
    <row r="102" spans="1:60" s="124" customFormat="1" ht="116.25">
      <c r="A102" s="127"/>
      <c r="B102" s="92" t="s">
        <v>447</v>
      </c>
      <c r="C102" s="100" t="s">
        <v>555</v>
      </c>
      <c r="D102" s="100"/>
      <c r="E102" s="100" t="s">
        <v>667</v>
      </c>
      <c r="F102" s="100" t="s">
        <v>666</v>
      </c>
      <c r="G102" s="100" t="s">
        <v>1038</v>
      </c>
      <c r="H102" s="100" t="s">
        <v>463</v>
      </c>
      <c r="I102" s="100"/>
      <c r="J102" s="96" t="s">
        <v>438</v>
      </c>
      <c r="K102" s="96" t="s">
        <v>63</v>
      </c>
      <c r="L102" s="99">
        <f t="shared" si="0"/>
        <v>67000</v>
      </c>
      <c r="M102" s="98">
        <f t="shared" si="1"/>
        <v>1</v>
      </c>
      <c r="N102" s="98" t="s">
        <v>558</v>
      </c>
      <c r="O102" s="97" t="s">
        <v>472</v>
      </c>
      <c r="P102" s="96"/>
      <c r="Q102" s="96"/>
      <c r="R102" s="98">
        <v>1</v>
      </c>
      <c r="S102" s="96"/>
      <c r="T102" s="95">
        <v>67000</v>
      </c>
      <c r="U102" s="94" t="s">
        <v>1039</v>
      </c>
      <c r="V102" s="125"/>
      <c r="W102" s="125"/>
      <c r="X102" s="125"/>
      <c r="Y102" s="125"/>
      <c r="Z102" s="125"/>
      <c r="AA102" s="125"/>
      <c r="AB102" s="125"/>
      <c r="AC102" s="125"/>
      <c r="AD102" s="125"/>
      <c r="AE102" s="125"/>
      <c r="AF102" s="125"/>
      <c r="AG102" s="125"/>
      <c r="AH102" s="125"/>
      <c r="AI102" s="125"/>
      <c r="AJ102" s="125"/>
      <c r="AK102" s="125"/>
      <c r="AL102" s="125"/>
      <c r="AM102" s="125"/>
      <c r="AN102" s="125"/>
      <c r="AO102" s="125"/>
      <c r="AP102" s="125"/>
      <c r="AQ102" s="125"/>
      <c r="AR102" s="125"/>
      <c r="AS102" s="125"/>
      <c r="AT102" s="125"/>
      <c r="AU102" s="125"/>
      <c r="AV102" s="125"/>
      <c r="AW102" s="125"/>
      <c r="AX102" s="125"/>
      <c r="AY102" s="125"/>
      <c r="AZ102" s="125"/>
      <c r="BA102" s="125"/>
      <c r="BB102" s="125"/>
      <c r="BC102" s="125"/>
      <c r="BD102" s="125"/>
      <c r="BE102" s="125"/>
      <c r="BF102" s="125"/>
      <c r="BG102" s="125"/>
      <c r="BH102" s="125"/>
    </row>
    <row r="103" spans="1:60" s="124" customFormat="1" ht="116.25">
      <c r="A103" s="127"/>
      <c r="B103" s="92" t="s">
        <v>447</v>
      </c>
      <c r="C103" s="100" t="s">
        <v>555</v>
      </c>
      <c r="D103" s="100"/>
      <c r="E103" s="100" t="s">
        <v>667</v>
      </c>
      <c r="F103" s="100" t="s">
        <v>666</v>
      </c>
      <c r="G103" s="100" t="s">
        <v>1038</v>
      </c>
      <c r="H103" s="100" t="s">
        <v>109</v>
      </c>
      <c r="I103" s="100"/>
      <c r="J103" s="100" t="s">
        <v>107</v>
      </c>
      <c r="K103" s="96" t="s">
        <v>63</v>
      </c>
      <c r="L103" s="99">
        <f t="shared" si="0"/>
        <v>67000</v>
      </c>
      <c r="M103" s="98">
        <f t="shared" si="1"/>
        <v>1</v>
      </c>
      <c r="N103" s="98" t="s">
        <v>558</v>
      </c>
      <c r="O103" s="97" t="s">
        <v>472</v>
      </c>
      <c r="P103" s="96"/>
      <c r="Q103" s="96">
        <v>1</v>
      </c>
      <c r="R103" s="96"/>
      <c r="S103" s="134"/>
      <c r="T103" s="95">
        <v>67000</v>
      </c>
      <c r="U103" s="94" t="s">
        <v>1039</v>
      </c>
      <c r="V103" s="125"/>
      <c r="W103" s="125"/>
      <c r="X103" s="125"/>
      <c r="Y103" s="125"/>
      <c r="Z103" s="125"/>
      <c r="AA103" s="125"/>
      <c r="AB103" s="125"/>
      <c r="AC103" s="125"/>
      <c r="AD103" s="125"/>
      <c r="AE103" s="125"/>
      <c r="AF103" s="125"/>
      <c r="AG103" s="125"/>
      <c r="AH103" s="125"/>
      <c r="AI103" s="125"/>
      <c r="AJ103" s="125"/>
      <c r="AK103" s="125"/>
      <c r="AL103" s="125"/>
      <c r="AM103" s="125"/>
      <c r="AN103" s="125"/>
      <c r="AO103" s="125"/>
      <c r="AP103" s="125"/>
      <c r="AQ103" s="125"/>
      <c r="AR103" s="125"/>
      <c r="AS103" s="125"/>
      <c r="AT103" s="125"/>
      <c r="AU103" s="125"/>
      <c r="AV103" s="125"/>
      <c r="AW103" s="125"/>
      <c r="AX103" s="125"/>
      <c r="AY103" s="125"/>
      <c r="AZ103" s="125"/>
      <c r="BA103" s="125"/>
      <c r="BB103" s="125"/>
      <c r="BC103" s="125"/>
      <c r="BD103" s="125"/>
      <c r="BE103" s="125"/>
      <c r="BF103" s="125"/>
      <c r="BG103" s="125"/>
      <c r="BH103" s="125"/>
    </row>
    <row r="104" spans="1:60" s="124" customFormat="1" ht="116.25">
      <c r="A104" s="127"/>
      <c r="B104" s="92" t="s">
        <v>447</v>
      </c>
      <c r="C104" s="100" t="s">
        <v>555</v>
      </c>
      <c r="D104" s="100"/>
      <c r="E104" s="100" t="s">
        <v>667</v>
      </c>
      <c r="F104" s="100" t="s">
        <v>666</v>
      </c>
      <c r="G104" s="100" t="s">
        <v>1038</v>
      </c>
      <c r="H104" s="100" t="s">
        <v>365</v>
      </c>
      <c r="I104" s="100"/>
      <c r="J104" s="100" t="s">
        <v>110</v>
      </c>
      <c r="K104" s="96" t="s">
        <v>63</v>
      </c>
      <c r="L104" s="99">
        <f t="shared" si="0"/>
        <v>67000</v>
      </c>
      <c r="M104" s="98">
        <f t="shared" si="1"/>
        <v>1</v>
      </c>
      <c r="N104" s="98" t="s">
        <v>558</v>
      </c>
      <c r="O104" s="97" t="s">
        <v>472</v>
      </c>
      <c r="P104" s="96"/>
      <c r="Q104" s="96">
        <v>1</v>
      </c>
      <c r="R104" s="96"/>
      <c r="S104" s="134"/>
      <c r="T104" s="95">
        <v>67000</v>
      </c>
      <c r="U104" s="94" t="s">
        <v>1029</v>
      </c>
      <c r="V104" s="125"/>
      <c r="W104" s="125"/>
      <c r="X104" s="125"/>
      <c r="Y104" s="125"/>
      <c r="Z104" s="125"/>
      <c r="AA104" s="125"/>
      <c r="AB104" s="125"/>
      <c r="AC104" s="125"/>
      <c r="AD104" s="125"/>
      <c r="AE104" s="125"/>
      <c r="AF104" s="125"/>
      <c r="AG104" s="125"/>
      <c r="AH104" s="125"/>
      <c r="AI104" s="125"/>
      <c r="AJ104" s="125"/>
      <c r="AK104" s="125"/>
      <c r="AL104" s="125"/>
      <c r="AM104" s="125"/>
      <c r="AN104" s="125"/>
      <c r="AO104" s="125"/>
      <c r="AP104" s="125"/>
      <c r="AQ104" s="125"/>
      <c r="AR104" s="125"/>
      <c r="AS104" s="125"/>
      <c r="AT104" s="125"/>
      <c r="AU104" s="125"/>
      <c r="AV104" s="125"/>
      <c r="AW104" s="125"/>
      <c r="AX104" s="125"/>
      <c r="AY104" s="125"/>
      <c r="AZ104" s="125"/>
      <c r="BA104" s="125"/>
      <c r="BB104" s="125"/>
      <c r="BC104" s="125"/>
      <c r="BD104" s="125"/>
      <c r="BE104" s="125"/>
      <c r="BF104" s="125"/>
      <c r="BG104" s="125"/>
      <c r="BH104" s="125"/>
    </row>
    <row r="105" spans="1:60" s="124" customFormat="1" ht="116.25">
      <c r="A105" s="127"/>
      <c r="B105" s="92" t="s">
        <v>447</v>
      </c>
      <c r="C105" s="100" t="s">
        <v>555</v>
      </c>
      <c r="D105" s="100"/>
      <c r="E105" s="100" t="s">
        <v>667</v>
      </c>
      <c r="F105" s="100" t="s">
        <v>666</v>
      </c>
      <c r="G105" s="100" t="s">
        <v>1038</v>
      </c>
      <c r="H105" s="100" t="s">
        <v>39</v>
      </c>
      <c r="I105" s="100"/>
      <c r="J105" s="100" t="s">
        <v>34</v>
      </c>
      <c r="K105" s="96" t="s">
        <v>13</v>
      </c>
      <c r="L105" s="99">
        <f t="shared" si="0"/>
        <v>67000</v>
      </c>
      <c r="M105" s="98">
        <f t="shared" si="1"/>
        <v>1</v>
      </c>
      <c r="N105" s="98" t="s">
        <v>558</v>
      </c>
      <c r="O105" s="97" t="s">
        <v>472</v>
      </c>
      <c r="P105" s="96"/>
      <c r="Q105" s="96"/>
      <c r="R105" s="96">
        <v>1</v>
      </c>
      <c r="S105" s="96"/>
      <c r="T105" s="95">
        <v>67000</v>
      </c>
      <c r="U105" s="94" t="s">
        <v>1029</v>
      </c>
      <c r="V105" s="125"/>
      <c r="W105" s="125"/>
      <c r="X105" s="125"/>
      <c r="Y105" s="125"/>
      <c r="Z105" s="125"/>
      <c r="AA105" s="125"/>
      <c r="AB105" s="125"/>
      <c r="AC105" s="125"/>
      <c r="AD105" s="125"/>
      <c r="AE105" s="125"/>
      <c r="AF105" s="125"/>
      <c r="AG105" s="125"/>
      <c r="AH105" s="125"/>
      <c r="AI105" s="125"/>
      <c r="AJ105" s="125"/>
      <c r="AK105" s="125"/>
      <c r="AL105" s="125"/>
      <c r="AM105" s="125"/>
      <c r="AN105" s="125"/>
      <c r="AO105" s="125"/>
      <c r="AP105" s="125"/>
      <c r="AQ105" s="125"/>
      <c r="AR105" s="125"/>
      <c r="AS105" s="125"/>
      <c r="AT105" s="125"/>
      <c r="AU105" s="125"/>
      <c r="AV105" s="125"/>
      <c r="AW105" s="125"/>
      <c r="AX105" s="125"/>
      <c r="AY105" s="125"/>
      <c r="AZ105" s="125"/>
      <c r="BA105" s="125"/>
      <c r="BB105" s="125"/>
      <c r="BC105" s="125"/>
      <c r="BD105" s="125"/>
      <c r="BE105" s="125"/>
      <c r="BF105" s="125"/>
      <c r="BG105" s="125"/>
      <c r="BH105" s="125"/>
    </row>
    <row r="106" spans="1:60" s="124" customFormat="1" ht="116.25">
      <c r="A106" s="127"/>
      <c r="B106" s="92" t="s">
        <v>447</v>
      </c>
      <c r="C106" s="100" t="s">
        <v>555</v>
      </c>
      <c r="D106" s="100"/>
      <c r="E106" s="100" t="s">
        <v>667</v>
      </c>
      <c r="F106" s="100" t="s">
        <v>666</v>
      </c>
      <c r="G106" s="100" t="s">
        <v>1038</v>
      </c>
      <c r="H106" s="100" t="s">
        <v>204</v>
      </c>
      <c r="I106" s="100"/>
      <c r="J106" s="100" t="s">
        <v>202</v>
      </c>
      <c r="K106" s="96" t="s">
        <v>63</v>
      </c>
      <c r="L106" s="106">
        <f t="shared" si="0"/>
        <v>126000</v>
      </c>
      <c r="M106" s="98">
        <f t="shared" si="1"/>
        <v>2</v>
      </c>
      <c r="N106" s="98" t="s">
        <v>558</v>
      </c>
      <c r="O106" s="97"/>
      <c r="P106" s="108" t="s">
        <v>472</v>
      </c>
      <c r="Q106" s="96"/>
      <c r="R106" s="96">
        <v>2</v>
      </c>
      <c r="S106" s="96"/>
      <c r="T106" s="104">
        <v>63000</v>
      </c>
      <c r="U106" s="94" t="s">
        <v>1029</v>
      </c>
      <c r="V106" s="125"/>
      <c r="W106" s="125"/>
      <c r="X106" s="125"/>
      <c r="Y106" s="125"/>
      <c r="Z106" s="125"/>
      <c r="AA106" s="125"/>
      <c r="AB106" s="125"/>
      <c r="AC106" s="125"/>
      <c r="AD106" s="125"/>
      <c r="AE106" s="125"/>
      <c r="AF106" s="125"/>
      <c r="AG106" s="125"/>
      <c r="AH106" s="125"/>
      <c r="AI106" s="125"/>
      <c r="AJ106" s="125"/>
      <c r="AK106" s="125"/>
      <c r="AL106" s="125"/>
      <c r="AM106" s="125"/>
      <c r="AN106" s="125"/>
      <c r="AO106" s="125"/>
      <c r="AP106" s="125"/>
      <c r="AQ106" s="125"/>
      <c r="AR106" s="125"/>
      <c r="AS106" s="125"/>
      <c r="AT106" s="125"/>
      <c r="AU106" s="125"/>
      <c r="AV106" s="125"/>
      <c r="AW106" s="125"/>
      <c r="AX106" s="125"/>
      <c r="AY106" s="125"/>
      <c r="AZ106" s="125"/>
      <c r="BA106" s="125"/>
      <c r="BB106" s="125"/>
      <c r="BC106" s="125"/>
      <c r="BD106" s="125"/>
      <c r="BE106" s="125"/>
      <c r="BF106" s="125"/>
      <c r="BG106" s="125"/>
      <c r="BH106" s="125"/>
    </row>
    <row r="107" spans="1:60" s="124" customFormat="1" ht="116.25">
      <c r="A107" s="127"/>
      <c r="B107" s="92" t="s">
        <v>447</v>
      </c>
      <c r="C107" s="100" t="s">
        <v>555</v>
      </c>
      <c r="D107" s="100"/>
      <c r="E107" s="100" t="s">
        <v>667</v>
      </c>
      <c r="F107" s="100" t="s">
        <v>666</v>
      </c>
      <c r="G107" s="100" t="s">
        <v>1038</v>
      </c>
      <c r="H107" s="100" t="s">
        <v>243</v>
      </c>
      <c r="I107" s="100"/>
      <c r="J107" s="100" t="s">
        <v>241</v>
      </c>
      <c r="K107" s="96" t="s">
        <v>40</v>
      </c>
      <c r="L107" s="99">
        <f t="shared" si="0"/>
        <v>67000</v>
      </c>
      <c r="M107" s="98">
        <f t="shared" si="1"/>
        <v>1</v>
      </c>
      <c r="N107" s="98" t="s">
        <v>558</v>
      </c>
      <c r="O107" s="97" t="s">
        <v>472</v>
      </c>
      <c r="P107" s="96"/>
      <c r="Q107" s="96"/>
      <c r="R107" s="96">
        <v>1</v>
      </c>
      <c r="S107" s="96"/>
      <c r="T107" s="95">
        <v>67000</v>
      </c>
      <c r="U107" s="94" t="s">
        <v>1029</v>
      </c>
      <c r="V107" s="125"/>
      <c r="W107" s="125"/>
      <c r="X107" s="125"/>
      <c r="Y107" s="125"/>
      <c r="Z107" s="125"/>
      <c r="AA107" s="125"/>
      <c r="AB107" s="125"/>
      <c r="AC107" s="125"/>
      <c r="AD107" s="125"/>
      <c r="AE107" s="125"/>
      <c r="AF107" s="125"/>
      <c r="AG107" s="125"/>
      <c r="AH107" s="125"/>
      <c r="AI107" s="125"/>
      <c r="AJ107" s="125"/>
      <c r="AK107" s="125"/>
      <c r="AL107" s="125"/>
      <c r="AM107" s="125"/>
      <c r="AN107" s="125"/>
      <c r="AO107" s="125"/>
      <c r="AP107" s="125"/>
      <c r="AQ107" s="125"/>
      <c r="AR107" s="125"/>
      <c r="AS107" s="125"/>
      <c r="AT107" s="125"/>
      <c r="AU107" s="125"/>
      <c r="AV107" s="125"/>
      <c r="AW107" s="125"/>
      <c r="AX107" s="125"/>
      <c r="AY107" s="125"/>
      <c r="AZ107" s="125"/>
      <c r="BA107" s="125"/>
      <c r="BB107" s="125"/>
      <c r="BC107" s="125"/>
      <c r="BD107" s="125"/>
      <c r="BE107" s="125"/>
      <c r="BF107" s="125"/>
      <c r="BG107" s="125"/>
      <c r="BH107" s="125"/>
    </row>
    <row r="108" spans="1:60" s="124" customFormat="1" ht="116.25">
      <c r="A108" s="127"/>
      <c r="B108" s="92" t="s">
        <v>447</v>
      </c>
      <c r="C108" s="100" t="s">
        <v>555</v>
      </c>
      <c r="D108" s="100"/>
      <c r="E108" s="100" t="s">
        <v>667</v>
      </c>
      <c r="F108" s="100" t="s">
        <v>666</v>
      </c>
      <c r="G108" s="100" t="s">
        <v>1038</v>
      </c>
      <c r="H108" s="100" t="s">
        <v>50</v>
      </c>
      <c r="I108" s="100"/>
      <c r="J108" s="100" t="s">
        <v>46</v>
      </c>
      <c r="K108" s="96" t="s">
        <v>40</v>
      </c>
      <c r="L108" s="99">
        <f t="shared" si="0"/>
        <v>67000</v>
      </c>
      <c r="M108" s="98">
        <f t="shared" si="1"/>
        <v>1</v>
      </c>
      <c r="N108" s="98" t="s">
        <v>558</v>
      </c>
      <c r="O108" s="97" t="s">
        <v>472</v>
      </c>
      <c r="P108" s="96"/>
      <c r="Q108" s="96"/>
      <c r="R108" s="96">
        <v>1</v>
      </c>
      <c r="S108" s="96"/>
      <c r="T108" s="95">
        <v>67000</v>
      </c>
      <c r="U108" s="94" t="s">
        <v>1029</v>
      </c>
      <c r="V108" s="125"/>
      <c r="W108" s="125"/>
      <c r="X108" s="125"/>
      <c r="Y108" s="125"/>
      <c r="Z108" s="125"/>
      <c r="AA108" s="125"/>
      <c r="AB108" s="125"/>
      <c r="AC108" s="125"/>
      <c r="AD108" s="125"/>
      <c r="AE108" s="125"/>
      <c r="AF108" s="125"/>
      <c r="AG108" s="125"/>
      <c r="AH108" s="125"/>
      <c r="AI108" s="125"/>
      <c r="AJ108" s="125"/>
      <c r="AK108" s="125"/>
      <c r="AL108" s="125"/>
      <c r="AM108" s="125"/>
      <c r="AN108" s="125"/>
      <c r="AO108" s="125"/>
      <c r="AP108" s="125"/>
      <c r="AQ108" s="125"/>
      <c r="AR108" s="125"/>
      <c r="AS108" s="125"/>
      <c r="AT108" s="125"/>
      <c r="AU108" s="125"/>
      <c r="AV108" s="125"/>
      <c r="AW108" s="125"/>
      <c r="AX108" s="125"/>
      <c r="AY108" s="125"/>
      <c r="AZ108" s="125"/>
      <c r="BA108" s="125"/>
      <c r="BB108" s="125"/>
      <c r="BC108" s="125"/>
      <c r="BD108" s="125"/>
      <c r="BE108" s="125"/>
      <c r="BF108" s="125"/>
      <c r="BG108" s="125"/>
      <c r="BH108" s="125"/>
    </row>
    <row r="109" spans="1:60" s="124" customFormat="1" ht="116.25">
      <c r="A109" s="127"/>
      <c r="B109" s="92" t="s">
        <v>447</v>
      </c>
      <c r="C109" s="100" t="s">
        <v>555</v>
      </c>
      <c r="D109" s="100"/>
      <c r="E109" s="100" t="s">
        <v>667</v>
      </c>
      <c r="F109" s="100" t="s">
        <v>666</v>
      </c>
      <c r="G109" s="100" t="s">
        <v>1038</v>
      </c>
      <c r="H109" s="100" t="s">
        <v>159</v>
      </c>
      <c r="I109" s="100"/>
      <c r="J109" s="100" t="s">
        <v>157</v>
      </c>
      <c r="K109" s="96" t="s">
        <v>149</v>
      </c>
      <c r="L109" s="99">
        <f t="shared" si="0"/>
        <v>67000</v>
      </c>
      <c r="M109" s="98">
        <f t="shared" si="1"/>
        <v>1</v>
      </c>
      <c r="N109" s="98" t="s">
        <v>558</v>
      </c>
      <c r="O109" s="97" t="s">
        <v>472</v>
      </c>
      <c r="P109" s="96"/>
      <c r="Q109" s="96"/>
      <c r="R109" s="96">
        <v>1</v>
      </c>
      <c r="S109" s="96"/>
      <c r="T109" s="95">
        <v>67000</v>
      </c>
      <c r="U109" s="94" t="s">
        <v>1029</v>
      </c>
      <c r="V109" s="125"/>
      <c r="W109" s="125"/>
      <c r="X109" s="125"/>
      <c r="Y109" s="125"/>
      <c r="Z109" s="125"/>
      <c r="AA109" s="125"/>
      <c r="AB109" s="125"/>
      <c r="AC109" s="125"/>
      <c r="AD109" s="125"/>
      <c r="AE109" s="125"/>
      <c r="AF109" s="125"/>
      <c r="AG109" s="125"/>
      <c r="AH109" s="125"/>
      <c r="AI109" s="125"/>
      <c r="AJ109" s="125"/>
      <c r="AK109" s="125"/>
      <c r="AL109" s="125"/>
      <c r="AM109" s="125"/>
      <c r="AN109" s="125"/>
      <c r="AO109" s="125"/>
      <c r="AP109" s="125"/>
      <c r="AQ109" s="125"/>
      <c r="AR109" s="125"/>
      <c r="AS109" s="125"/>
      <c r="AT109" s="125"/>
      <c r="AU109" s="125"/>
      <c r="AV109" s="125"/>
      <c r="AW109" s="125"/>
      <c r="AX109" s="125"/>
      <c r="AY109" s="125"/>
      <c r="AZ109" s="125"/>
      <c r="BA109" s="125"/>
      <c r="BB109" s="125"/>
      <c r="BC109" s="125"/>
      <c r="BD109" s="125"/>
      <c r="BE109" s="125"/>
      <c r="BF109" s="125"/>
      <c r="BG109" s="125"/>
      <c r="BH109" s="125"/>
    </row>
    <row r="110" spans="1:60" s="124" customFormat="1" ht="116.25">
      <c r="A110" s="127"/>
      <c r="B110" s="92" t="s">
        <v>447</v>
      </c>
      <c r="C110" s="100" t="s">
        <v>555</v>
      </c>
      <c r="D110" s="100"/>
      <c r="E110" s="100" t="s">
        <v>667</v>
      </c>
      <c r="F110" s="100" t="s">
        <v>666</v>
      </c>
      <c r="G110" s="100" t="s">
        <v>1038</v>
      </c>
      <c r="H110" s="100" t="s">
        <v>171</v>
      </c>
      <c r="I110" s="100"/>
      <c r="J110" s="100" t="s">
        <v>169</v>
      </c>
      <c r="K110" s="96" t="s">
        <v>149</v>
      </c>
      <c r="L110" s="99">
        <f t="shared" si="0"/>
        <v>67000</v>
      </c>
      <c r="M110" s="98">
        <f t="shared" si="1"/>
        <v>1</v>
      </c>
      <c r="N110" s="98" t="s">
        <v>558</v>
      </c>
      <c r="O110" s="97" t="s">
        <v>472</v>
      </c>
      <c r="P110" s="96"/>
      <c r="Q110" s="96"/>
      <c r="R110" s="96">
        <v>1</v>
      </c>
      <c r="S110" s="96"/>
      <c r="T110" s="95">
        <v>67000</v>
      </c>
      <c r="U110" s="94" t="s">
        <v>1029</v>
      </c>
      <c r="V110" s="125"/>
      <c r="W110" s="125"/>
      <c r="X110" s="125"/>
      <c r="Y110" s="125"/>
      <c r="Z110" s="125"/>
      <c r="AA110" s="125"/>
      <c r="AB110" s="125"/>
      <c r="AC110" s="125"/>
      <c r="AD110" s="125"/>
      <c r="AE110" s="125"/>
      <c r="AF110" s="125"/>
      <c r="AG110" s="125"/>
      <c r="AH110" s="125"/>
      <c r="AI110" s="125"/>
      <c r="AJ110" s="125"/>
      <c r="AK110" s="125"/>
      <c r="AL110" s="125"/>
      <c r="AM110" s="125"/>
      <c r="AN110" s="125"/>
      <c r="AO110" s="125"/>
      <c r="AP110" s="125"/>
      <c r="AQ110" s="125"/>
      <c r="AR110" s="125"/>
      <c r="AS110" s="125"/>
      <c r="AT110" s="125"/>
      <c r="AU110" s="125"/>
      <c r="AV110" s="125"/>
      <c r="AW110" s="125"/>
      <c r="AX110" s="125"/>
      <c r="AY110" s="125"/>
      <c r="AZ110" s="125"/>
      <c r="BA110" s="125"/>
      <c r="BB110" s="125"/>
      <c r="BC110" s="125"/>
      <c r="BD110" s="125"/>
      <c r="BE110" s="125"/>
      <c r="BF110" s="125"/>
      <c r="BG110" s="125"/>
      <c r="BH110" s="125"/>
    </row>
    <row r="111" spans="1:60" s="124" customFormat="1" ht="116.25">
      <c r="A111" s="127"/>
      <c r="B111" s="92" t="s">
        <v>447</v>
      </c>
      <c r="C111" s="100" t="s">
        <v>555</v>
      </c>
      <c r="D111" s="100"/>
      <c r="E111" s="100" t="s">
        <v>667</v>
      </c>
      <c r="F111" s="100" t="s">
        <v>666</v>
      </c>
      <c r="G111" s="100" t="s">
        <v>1038</v>
      </c>
      <c r="H111" s="100" t="s">
        <v>451</v>
      </c>
      <c r="I111" s="100"/>
      <c r="J111" s="100" t="s">
        <v>444</v>
      </c>
      <c r="K111" s="96" t="s">
        <v>13</v>
      </c>
      <c r="L111" s="99">
        <f t="shared" si="0"/>
        <v>67000</v>
      </c>
      <c r="M111" s="98">
        <f t="shared" si="1"/>
        <v>1</v>
      </c>
      <c r="N111" s="98" t="s">
        <v>558</v>
      </c>
      <c r="O111" s="97" t="s">
        <v>472</v>
      </c>
      <c r="P111" s="96"/>
      <c r="Q111" s="96"/>
      <c r="R111" s="96">
        <v>1</v>
      </c>
      <c r="S111" s="96"/>
      <c r="T111" s="95">
        <v>67000</v>
      </c>
      <c r="U111" s="94" t="s">
        <v>1037</v>
      </c>
      <c r="V111" s="125"/>
      <c r="W111" s="125"/>
      <c r="X111" s="125"/>
      <c r="Y111" s="125"/>
      <c r="Z111" s="125"/>
      <c r="AA111" s="125"/>
      <c r="AB111" s="125"/>
      <c r="AC111" s="125"/>
      <c r="AD111" s="125"/>
      <c r="AE111" s="125"/>
      <c r="AF111" s="125"/>
      <c r="AG111" s="125"/>
      <c r="AH111" s="125"/>
      <c r="AI111" s="125"/>
      <c r="AJ111" s="125"/>
      <c r="AK111" s="125"/>
      <c r="AL111" s="125"/>
      <c r="AM111" s="125"/>
      <c r="AN111" s="125"/>
      <c r="AO111" s="125"/>
      <c r="AP111" s="125"/>
      <c r="AQ111" s="125"/>
      <c r="AR111" s="125"/>
      <c r="AS111" s="125"/>
      <c r="AT111" s="125"/>
      <c r="AU111" s="125"/>
      <c r="AV111" s="125"/>
      <c r="AW111" s="125"/>
      <c r="AX111" s="125"/>
      <c r="AY111" s="125"/>
      <c r="AZ111" s="125"/>
      <c r="BA111" s="125"/>
      <c r="BB111" s="125"/>
      <c r="BC111" s="125"/>
      <c r="BD111" s="125"/>
      <c r="BE111" s="125"/>
      <c r="BF111" s="125"/>
      <c r="BG111" s="125"/>
      <c r="BH111" s="125"/>
    </row>
    <row r="112" spans="1:60" s="124" customFormat="1" ht="116.25">
      <c r="A112" s="127"/>
      <c r="B112" s="92" t="s">
        <v>447</v>
      </c>
      <c r="C112" s="100" t="s">
        <v>555</v>
      </c>
      <c r="D112" s="100"/>
      <c r="E112" s="100" t="s">
        <v>667</v>
      </c>
      <c r="F112" s="100" t="s">
        <v>666</v>
      </c>
      <c r="G112" s="100" t="s">
        <v>1038</v>
      </c>
      <c r="H112" s="100" t="s">
        <v>223</v>
      </c>
      <c r="I112" s="100"/>
      <c r="J112" s="100" t="s">
        <v>221</v>
      </c>
      <c r="K112" s="96" t="s">
        <v>149</v>
      </c>
      <c r="L112" s="99">
        <f t="shared" si="0"/>
        <v>67000</v>
      </c>
      <c r="M112" s="98">
        <f t="shared" si="1"/>
        <v>1</v>
      </c>
      <c r="N112" s="98" t="s">
        <v>558</v>
      </c>
      <c r="O112" s="97" t="s">
        <v>472</v>
      </c>
      <c r="P112" s="96"/>
      <c r="Q112" s="96"/>
      <c r="R112" s="96">
        <v>1</v>
      </c>
      <c r="S112" s="96"/>
      <c r="T112" s="95">
        <v>67000</v>
      </c>
      <c r="U112" s="94" t="s">
        <v>1037</v>
      </c>
      <c r="V112" s="125"/>
      <c r="W112" s="125"/>
      <c r="X112" s="125"/>
      <c r="Y112" s="125"/>
      <c r="Z112" s="125"/>
      <c r="AA112" s="125"/>
      <c r="AB112" s="125"/>
      <c r="AC112" s="125"/>
      <c r="AD112" s="125"/>
      <c r="AE112" s="125"/>
      <c r="AF112" s="125"/>
      <c r="AG112" s="125"/>
      <c r="AH112" s="125"/>
      <c r="AI112" s="125"/>
      <c r="AJ112" s="125"/>
      <c r="AK112" s="125"/>
      <c r="AL112" s="125"/>
      <c r="AM112" s="125"/>
      <c r="AN112" s="125"/>
      <c r="AO112" s="125"/>
      <c r="AP112" s="125"/>
      <c r="AQ112" s="125"/>
      <c r="AR112" s="125"/>
      <c r="AS112" s="125"/>
      <c r="AT112" s="125"/>
      <c r="AU112" s="125"/>
      <c r="AV112" s="125"/>
      <c r="AW112" s="125"/>
      <c r="AX112" s="125"/>
      <c r="AY112" s="125"/>
      <c r="AZ112" s="125"/>
      <c r="BA112" s="125"/>
      <c r="BB112" s="125"/>
      <c r="BC112" s="125"/>
      <c r="BD112" s="125"/>
      <c r="BE112" s="125"/>
      <c r="BF112" s="125"/>
      <c r="BG112" s="125"/>
      <c r="BH112" s="125"/>
    </row>
    <row r="113" spans="1:60" s="124" customFormat="1" ht="116.25">
      <c r="A113" s="127"/>
      <c r="B113" s="92" t="s">
        <v>447</v>
      </c>
      <c r="C113" s="100" t="s">
        <v>555</v>
      </c>
      <c r="D113" s="100"/>
      <c r="E113" s="100" t="s">
        <v>667</v>
      </c>
      <c r="F113" s="100" t="s">
        <v>666</v>
      </c>
      <c r="G113" s="100" t="s">
        <v>1038</v>
      </c>
      <c r="H113" s="100" t="s">
        <v>456</v>
      </c>
      <c r="I113" s="100"/>
      <c r="J113" s="100" t="s">
        <v>442</v>
      </c>
      <c r="K113" s="96" t="s">
        <v>40</v>
      </c>
      <c r="L113" s="99">
        <f t="shared" ref="L113:L176" si="2">M113*T113</f>
        <v>67000</v>
      </c>
      <c r="M113" s="98">
        <f t="shared" ref="M113:M176" si="3">Q113+R113</f>
        <v>1</v>
      </c>
      <c r="N113" s="98" t="s">
        <v>558</v>
      </c>
      <c r="O113" s="97" t="s">
        <v>472</v>
      </c>
      <c r="P113" s="96"/>
      <c r="Q113" s="96"/>
      <c r="R113" s="96">
        <v>1</v>
      </c>
      <c r="S113" s="96"/>
      <c r="T113" s="95">
        <v>67000</v>
      </c>
      <c r="U113" s="94" t="s">
        <v>1037</v>
      </c>
      <c r="V113" s="125"/>
      <c r="W113" s="125"/>
      <c r="X113" s="125"/>
      <c r="Y113" s="125"/>
      <c r="Z113" s="125"/>
      <c r="AA113" s="125"/>
      <c r="AB113" s="125"/>
      <c r="AC113" s="125"/>
      <c r="AD113" s="125"/>
      <c r="AE113" s="125"/>
      <c r="AF113" s="125"/>
      <c r="AG113" s="125"/>
      <c r="AH113" s="125"/>
      <c r="AI113" s="125"/>
      <c r="AJ113" s="125"/>
      <c r="AK113" s="125"/>
      <c r="AL113" s="125"/>
      <c r="AM113" s="125"/>
      <c r="AN113" s="125"/>
      <c r="AO113" s="125"/>
      <c r="AP113" s="125"/>
      <c r="AQ113" s="125"/>
      <c r="AR113" s="125"/>
      <c r="AS113" s="125"/>
      <c r="AT113" s="125"/>
      <c r="AU113" s="125"/>
      <c r="AV113" s="125"/>
      <c r="AW113" s="125"/>
      <c r="AX113" s="125"/>
      <c r="AY113" s="125"/>
      <c r="AZ113" s="125"/>
      <c r="BA113" s="125"/>
      <c r="BB113" s="125"/>
      <c r="BC113" s="125"/>
      <c r="BD113" s="125"/>
      <c r="BE113" s="125"/>
      <c r="BF113" s="125"/>
      <c r="BG113" s="125"/>
      <c r="BH113" s="125"/>
    </row>
    <row r="114" spans="1:60" s="124" customFormat="1" ht="116.25">
      <c r="A114" s="127"/>
      <c r="B114" s="92" t="s">
        <v>447</v>
      </c>
      <c r="C114" s="100" t="s">
        <v>555</v>
      </c>
      <c r="D114" s="100"/>
      <c r="E114" s="100" t="s">
        <v>667</v>
      </c>
      <c r="F114" s="100" t="s">
        <v>666</v>
      </c>
      <c r="G114" s="100" t="s">
        <v>1036</v>
      </c>
      <c r="H114" s="100" t="s">
        <v>53</v>
      </c>
      <c r="I114" s="100"/>
      <c r="J114" s="100" t="s">
        <v>51</v>
      </c>
      <c r="K114" s="96" t="s">
        <v>40</v>
      </c>
      <c r="L114" s="99">
        <f t="shared" si="2"/>
        <v>42600</v>
      </c>
      <c r="M114" s="98">
        <f t="shared" si="3"/>
        <v>1</v>
      </c>
      <c r="N114" s="98" t="s">
        <v>558</v>
      </c>
      <c r="O114" s="97" t="s">
        <v>472</v>
      </c>
      <c r="P114" s="96"/>
      <c r="Q114" s="96"/>
      <c r="R114" s="96">
        <v>1</v>
      </c>
      <c r="S114" s="96"/>
      <c r="T114" s="95">
        <v>42600</v>
      </c>
      <c r="U114" s="94" t="s">
        <v>1029</v>
      </c>
      <c r="V114" s="125"/>
      <c r="W114" s="125"/>
      <c r="X114" s="125"/>
      <c r="Y114" s="125"/>
      <c r="Z114" s="125"/>
      <c r="AA114" s="125"/>
      <c r="AB114" s="125"/>
      <c r="AC114" s="125"/>
      <c r="AD114" s="125"/>
      <c r="AE114" s="125"/>
      <c r="AF114" s="125"/>
      <c r="AG114" s="125"/>
      <c r="AH114" s="125"/>
      <c r="AI114" s="125"/>
      <c r="AJ114" s="125"/>
      <c r="AK114" s="125"/>
      <c r="AL114" s="125"/>
      <c r="AM114" s="125"/>
      <c r="AN114" s="125"/>
      <c r="AO114" s="125"/>
      <c r="AP114" s="125"/>
      <c r="AQ114" s="125"/>
      <c r="AR114" s="125"/>
      <c r="AS114" s="125"/>
      <c r="AT114" s="125"/>
      <c r="AU114" s="125"/>
      <c r="AV114" s="125"/>
      <c r="AW114" s="125"/>
      <c r="AX114" s="125"/>
      <c r="AY114" s="125"/>
      <c r="AZ114" s="125"/>
      <c r="BA114" s="125"/>
      <c r="BB114" s="125"/>
      <c r="BC114" s="125"/>
      <c r="BD114" s="125"/>
      <c r="BE114" s="125"/>
      <c r="BF114" s="125"/>
      <c r="BG114" s="125"/>
      <c r="BH114" s="125"/>
    </row>
    <row r="115" spans="1:60" s="124" customFormat="1" ht="116.25">
      <c r="A115" s="127"/>
      <c r="B115" s="92" t="s">
        <v>447</v>
      </c>
      <c r="C115" s="100" t="s">
        <v>555</v>
      </c>
      <c r="D115" s="100"/>
      <c r="E115" s="100" t="s">
        <v>667</v>
      </c>
      <c r="F115" s="100" t="s">
        <v>666</v>
      </c>
      <c r="G115" s="100" t="s">
        <v>1036</v>
      </c>
      <c r="H115" s="100" t="s">
        <v>262</v>
      </c>
      <c r="I115" s="100"/>
      <c r="J115" s="100" t="s">
        <v>260</v>
      </c>
      <c r="K115" s="96" t="s">
        <v>63</v>
      </c>
      <c r="L115" s="99">
        <f t="shared" si="2"/>
        <v>42600</v>
      </c>
      <c r="M115" s="98">
        <f t="shared" si="3"/>
        <v>1</v>
      </c>
      <c r="N115" s="98" t="s">
        <v>558</v>
      </c>
      <c r="O115" s="97" t="s">
        <v>472</v>
      </c>
      <c r="P115" s="96"/>
      <c r="Q115" s="96"/>
      <c r="R115" s="96">
        <v>1</v>
      </c>
      <c r="S115" s="96"/>
      <c r="T115" s="95">
        <v>42600</v>
      </c>
      <c r="U115" s="94" t="s">
        <v>1029</v>
      </c>
      <c r="V115" s="125"/>
      <c r="W115" s="125"/>
      <c r="X115" s="125"/>
      <c r="Y115" s="125"/>
      <c r="Z115" s="125"/>
      <c r="AA115" s="125"/>
      <c r="AB115" s="125"/>
      <c r="AC115" s="125"/>
      <c r="AD115" s="125"/>
      <c r="AE115" s="125"/>
      <c r="AF115" s="125"/>
      <c r="AG115" s="125"/>
      <c r="AH115" s="125"/>
      <c r="AI115" s="125"/>
      <c r="AJ115" s="125"/>
      <c r="AK115" s="125"/>
      <c r="AL115" s="125"/>
      <c r="AM115" s="125"/>
      <c r="AN115" s="125"/>
      <c r="AO115" s="125"/>
      <c r="AP115" s="125"/>
      <c r="AQ115" s="125"/>
      <c r="AR115" s="125"/>
      <c r="AS115" s="125"/>
      <c r="AT115" s="125"/>
      <c r="AU115" s="125"/>
      <c r="AV115" s="125"/>
      <c r="AW115" s="125"/>
      <c r="AX115" s="125"/>
      <c r="AY115" s="125"/>
      <c r="AZ115" s="125"/>
      <c r="BA115" s="125"/>
      <c r="BB115" s="125"/>
      <c r="BC115" s="125"/>
      <c r="BD115" s="125"/>
      <c r="BE115" s="125"/>
      <c r="BF115" s="125"/>
      <c r="BG115" s="125"/>
      <c r="BH115" s="125"/>
    </row>
    <row r="116" spans="1:60" s="124" customFormat="1" ht="116.25">
      <c r="A116" s="127"/>
      <c r="B116" s="92" t="s">
        <v>447</v>
      </c>
      <c r="C116" s="100" t="s">
        <v>555</v>
      </c>
      <c r="D116" s="100"/>
      <c r="E116" s="100" t="s">
        <v>667</v>
      </c>
      <c r="F116" s="100" t="s">
        <v>666</v>
      </c>
      <c r="G116" s="100" t="s">
        <v>1036</v>
      </c>
      <c r="H116" s="100" t="s">
        <v>465</v>
      </c>
      <c r="I116" s="100"/>
      <c r="J116" s="100" t="s">
        <v>436</v>
      </c>
      <c r="K116" s="96" t="s">
        <v>63</v>
      </c>
      <c r="L116" s="99">
        <f t="shared" si="2"/>
        <v>42600</v>
      </c>
      <c r="M116" s="98">
        <f t="shared" si="3"/>
        <v>1</v>
      </c>
      <c r="N116" s="98" t="s">
        <v>558</v>
      </c>
      <c r="O116" s="97" t="s">
        <v>472</v>
      </c>
      <c r="P116" s="96"/>
      <c r="Q116" s="96"/>
      <c r="R116" s="96">
        <v>1</v>
      </c>
      <c r="S116" s="96"/>
      <c r="T116" s="95">
        <v>42600</v>
      </c>
      <c r="U116" s="94" t="s">
        <v>1029</v>
      </c>
      <c r="V116" s="125"/>
      <c r="W116" s="125"/>
      <c r="X116" s="125"/>
      <c r="Y116" s="125"/>
      <c r="Z116" s="125"/>
      <c r="AA116" s="125"/>
      <c r="AB116" s="125"/>
      <c r="AC116" s="125"/>
      <c r="AD116" s="125"/>
      <c r="AE116" s="125"/>
      <c r="AF116" s="125"/>
      <c r="AG116" s="125"/>
      <c r="AH116" s="125"/>
      <c r="AI116" s="125"/>
      <c r="AJ116" s="125"/>
      <c r="AK116" s="125"/>
      <c r="AL116" s="125"/>
      <c r="AM116" s="125"/>
      <c r="AN116" s="125"/>
      <c r="AO116" s="125"/>
      <c r="AP116" s="125"/>
      <c r="AQ116" s="125"/>
      <c r="AR116" s="125"/>
      <c r="AS116" s="125"/>
      <c r="AT116" s="125"/>
      <c r="AU116" s="125"/>
      <c r="AV116" s="125"/>
      <c r="AW116" s="125"/>
      <c r="AX116" s="125"/>
      <c r="AY116" s="125"/>
      <c r="AZ116" s="125"/>
      <c r="BA116" s="125"/>
      <c r="BB116" s="125"/>
      <c r="BC116" s="125"/>
      <c r="BD116" s="125"/>
      <c r="BE116" s="125"/>
      <c r="BF116" s="125"/>
      <c r="BG116" s="125"/>
      <c r="BH116" s="125"/>
    </row>
    <row r="117" spans="1:60" s="124" customFormat="1" ht="116.25">
      <c r="A117" s="127"/>
      <c r="B117" s="92" t="s">
        <v>447</v>
      </c>
      <c r="C117" s="100" t="s">
        <v>555</v>
      </c>
      <c r="D117" s="100"/>
      <c r="E117" s="100" t="s">
        <v>667</v>
      </c>
      <c r="F117" s="100" t="s">
        <v>666</v>
      </c>
      <c r="G117" s="100" t="s">
        <v>1036</v>
      </c>
      <c r="H117" s="100" t="s">
        <v>145</v>
      </c>
      <c r="I117" s="100"/>
      <c r="J117" s="100" t="s">
        <v>143</v>
      </c>
      <c r="K117" s="96" t="s">
        <v>63</v>
      </c>
      <c r="L117" s="99">
        <f t="shared" si="2"/>
        <v>42600</v>
      </c>
      <c r="M117" s="98">
        <f t="shared" si="3"/>
        <v>1</v>
      </c>
      <c r="N117" s="98" t="s">
        <v>558</v>
      </c>
      <c r="O117" s="97" t="s">
        <v>472</v>
      </c>
      <c r="P117" s="96"/>
      <c r="Q117" s="96"/>
      <c r="R117" s="96">
        <v>1</v>
      </c>
      <c r="S117" s="96"/>
      <c r="T117" s="95">
        <v>42600</v>
      </c>
      <c r="U117" s="94" t="s">
        <v>1029</v>
      </c>
      <c r="V117" s="125"/>
      <c r="W117" s="125"/>
      <c r="X117" s="125"/>
      <c r="Y117" s="125"/>
      <c r="Z117" s="125"/>
      <c r="AA117" s="125"/>
      <c r="AB117" s="125"/>
      <c r="AC117" s="125"/>
      <c r="AD117" s="125"/>
      <c r="AE117" s="125"/>
      <c r="AF117" s="125"/>
      <c r="AG117" s="125"/>
      <c r="AH117" s="125"/>
      <c r="AI117" s="125"/>
      <c r="AJ117" s="125"/>
      <c r="AK117" s="125"/>
      <c r="AL117" s="125"/>
      <c r="AM117" s="125"/>
      <c r="AN117" s="125"/>
      <c r="AO117" s="125"/>
      <c r="AP117" s="125"/>
      <c r="AQ117" s="125"/>
      <c r="AR117" s="125"/>
      <c r="AS117" s="125"/>
      <c r="AT117" s="125"/>
      <c r="AU117" s="125"/>
      <c r="AV117" s="125"/>
      <c r="AW117" s="125"/>
      <c r="AX117" s="125"/>
      <c r="AY117" s="125"/>
      <c r="AZ117" s="125"/>
      <c r="BA117" s="125"/>
      <c r="BB117" s="125"/>
      <c r="BC117" s="125"/>
      <c r="BD117" s="125"/>
      <c r="BE117" s="125"/>
      <c r="BF117" s="125"/>
      <c r="BG117" s="125"/>
      <c r="BH117" s="125"/>
    </row>
    <row r="118" spans="1:60" s="124" customFormat="1" ht="116.25">
      <c r="A118" s="127"/>
      <c r="B118" s="92" t="s">
        <v>447</v>
      </c>
      <c r="C118" s="100" t="s">
        <v>555</v>
      </c>
      <c r="D118" s="100"/>
      <c r="E118" s="100" t="s">
        <v>667</v>
      </c>
      <c r="F118" s="100" t="s">
        <v>666</v>
      </c>
      <c r="G118" s="100" t="s">
        <v>1036</v>
      </c>
      <c r="H118" s="100" t="s">
        <v>59</v>
      </c>
      <c r="I118" s="100"/>
      <c r="J118" s="100" t="s">
        <v>57</v>
      </c>
      <c r="K118" s="96" t="s">
        <v>40</v>
      </c>
      <c r="L118" s="99">
        <f t="shared" si="2"/>
        <v>42600</v>
      </c>
      <c r="M118" s="98">
        <f t="shared" si="3"/>
        <v>1</v>
      </c>
      <c r="N118" s="98" t="s">
        <v>558</v>
      </c>
      <c r="O118" s="97" t="s">
        <v>472</v>
      </c>
      <c r="P118" s="96"/>
      <c r="Q118" s="96"/>
      <c r="R118" s="96">
        <v>1</v>
      </c>
      <c r="S118" s="96"/>
      <c r="T118" s="95">
        <v>42600</v>
      </c>
      <c r="U118" s="94" t="s">
        <v>1029</v>
      </c>
      <c r="V118" s="125"/>
      <c r="W118" s="125"/>
      <c r="X118" s="125"/>
      <c r="Y118" s="125"/>
      <c r="Z118" s="125"/>
      <c r="AA118" s="125"/>
      <c r="AB118" s="125"/>
      <c r="AC118" s="125"/>
      <c r="AD118" s="125"/>
      <c r="AE118" s="125"/>
      <c r="AF118" s="125"/>
      <c r="AG118" s="125"/>
      <c r="AH118" s="125"/>
      <c r="AI118" s="125"/>
      <c r="AJ118" s="125"/>
      <c r="AK118" s="125"/>
      <c r="AL118" s="125"/>
      <c r="AM118" s="125"/>
      <c r="AN118" s="125"/>
      <c r="AO118" s="125"/>
      <c r="AP118" s="125"/>
      <c r="AQ118" s="125"/>
      <c r="AR118" s="125"/>
      <c r="AS118" s="125"/>
      <c r="AT118" s="125"/>
      <c r="AU118" s="125"/>
      <c r="AV118" s="125"/>
      <c r="AW118" s="125"/>
      <c r="AX118" s="125"/>
      <c r="AY118" s="125"/>
      <c r="AZ118" s="125"/>
      <c r="BA118" s="125"/>
      <c r="BB118" s="125"/>
      <c r="BC118" s="125"/>
      <c r="BD118" s="125"/>
      <c r="BE118" s="125"/>
      <c r="BF118" s="125"/>
      <c r="BG118" s="125"/>
      <c r="BH118" s="125"/>
    </row>
    <row r="119" spans="1:60" s="124" customFormat="1" ht="116.25">
      <c r="A119" s="127"/>
      <c r="B119" s="92" t="s">
        <v>447</v>
      </c>
      <c r="C119" s="100" t="s">
        <v>555</v>
      </c>
      <c r="D119" s="100"/>
      <c r="E119" s="100" t="s">
        <v>667</v>
      </c>
      <c r="F119" s="100" t="s">
        <v>666</v>
      </c>
      <c r="G119" s="103" t="s">
        <v>1032</v>
      </c>
      <c r="H119" s="100" t="s">
        <v>50</v>
      </c>
      <c r="I119" s="100"/>
      <c r="J119" s="100" t="s">
        <v>46</v>
      </c>
      <c r="K119" s="96" t="s">
        <v>40</v>
      </c>
      <c r="L119" s="99">
        <f t="shared" si="2"/>
        <v>59400</v>
      </c>
      <c r="M119" s="98">
        <f t="shared" si="3"/>
        <v>2</v>
      </c>
      <c r="N119" s="98" t="s">
        <v>558</v>
      </c>
      <c r="O119" s="97" t="s">
        <v>472</v>
      </c>
      <c r="P119" s="96"/>
      <c r="Q119" s="96"/>
      <c r="R119" s="96">
        <v>2</v>
      </c>
      <c r="S119" s="96"/>
      <c r="T119" s="95">
        <v>29700</v>
      </c>
      <c r="U119" s="94" t="s">
        <v>1035</v>
      </c>
      <c r="V119" s="125"/>
      <c r="W119" s="125"/>
      <c r="X119" s="125"/>
      <c r="Y119" s="125"/>
      <c r="Z119" s="125"/>
      <c r="AA119" s="125"/>
      <c r="AB119" s="125"/>
      <c r="AC119" s="125"/>
      <c r="AD119" s="125"/>
      <c r="AE119" s="125"/>
      <c r="AF119" s="125"/>
      <c r="AG119" s="125"/>
      <c r="AH119" s="125"/>
      <c r="AI119" s="125"/>
      <c r="AJ119" s="125"/>
      <c r="AK119" s="125"/>
      <c r="AL119" s="125"/>
      <c r="AM119" s="125"/>
      <c r="AN119" s="125"/>
      <c r="AO119" s="125"/>
      <c r="AP119" s="125"/>
      <c r="AQ119" s="125"/>
      <c r="AR119" s="125"/>
      <c r="AS119" s="125"/>
      <c r="AT119" s="125"/>
      <c r="AU119" s="125"/>
      <c r="AV119" s="125"/>
      <c r="AW119" s="125"/>
      <c r="AX119" s="125"/>
      <c r="AY119" s="125"/>
      <c r="AZ119" s="125"/>
      <c r="BA119" s="125"/>
      <c r="BB119" s="125"/>
      <c r="BC119" s="125"/>
      <c r="BD119" s="125"/>
      <c r="BE119" s="125"/>
      <c r="BF119" s="125"/>
      <c r="BG119" s="125"/>
      <c r="BH119" s="125"/>
    </row>
    <row r="120" spans="1:60" s="124" customFormat="1" ht="116.25">
      <c r="A120" s="127"/>
      <c r="B120" s="92" t="s">
        <v>447</v>
      </c>
      <c r="C120" s="100" t="s">
        <v>555</v>
      </c>
      <c r="D120" s="100"/>
      <c r="E120" s="100" t="s">
        <v>667</v>
      </c>
      <c r="F120" s="100" t="s">
        <v>666</v>
      </c>
      <c r="G120" s="126" t="s">
        <v>1032</v>
      </c>
      <c r="H120" s="100" t="s">
        <v>363</v>
      </c>
      <c r="I120" s="100"/>
      <c r="J120" s="100" t="s">
        <v>205</v>
      </c>
      <c r="K120" s="96" t="s">
        <v>63</v>
      </c>
      <c r="L120" s="99">
        <f t="shared" si="2"/>
        <v>29700</v>
      </c>
      <c r="M120" s="98">
        <f t="shared" si="3"/>
        <v>1</v>
      </c>
      <c r="N120" s="98" t="s">
        <v>558</v>
      </c>
      <c r="O120" s="97" t="s">
        <v>472</v>
      </c>
      <c r="P120" s="96"/>
      <c r="Q120" s="96">
        <v>1</v>
      </c>
      <c r="R120" s="96"/>
      <c r="S120" s="96" t="s">
        <v>1034</v>
      </c>
      <c r="T120" s="95">
        <v>29700</v>
      </c>
      <c r="U120" s="94" t="s">
        <v>1033</v>
      </c>
      <c r="V120" s="125"/>
      <c r="W120" s="125"/>
      <c r="X120" s="125"/>
      <c r="Y120" s="125"/>
      <c r="Z120" s="125"/>
      <c r="AA120" s="125"/>
      <c r="AB120" s="125"/>
      <c r="AC120" s="125"/>
      <c r="AD120" s="125"/>
      <c r="AE120" s="125"/>
      <c r="AF120" s="125"/>
      <c r="AG120" s="125"/>
      <c r="AH120" s="125"/>
      <c r="AI120" s="125"/>
      <c r="AJ120" s="125"/>
      <c r="AK120" s="125"/>
      <c r="AL120" s="125"/>
      <c r="AM120" s="125"/>
      <c r="AN120" s="125"/>
      <c r="AO120" s="125"/>
      <c r="AP120" s="125"/>
      <c r="AQ120" s="125"/>
      <c r="AR120" s="125"/>
      <c r="AS120" s="125"/>
      <c r="AT120" s="125"/>
      <c r="AU120" s="125"/>
      <c r="AV120" s="125"/>
      <c r="AW120" s="125"/>
      <c r="AX120" s="125"/>
      <c r="AY120" s="125"/>
      <c r="AZ120" s="125"/>
      <c r="BA120" s="125"/>
      <c r="BB120" s="125"/>
      <c r="BC120" s="125"/>
      <c r="BD120" s="125"/>
      <c r="BE120" s="125"/>
      <c r="BF120" s="125"/>
      <c r="BG120" s="125"/>
      <c r="BH120" s="125"/>
    </row>
    <row r="121" spans="1:60" s="124" customFormat="1" ht="116.25">
      <c r="A121" s="127"/>
      <c r="B121" s="92" t="s">
        <v>447</v>
      </c>
      <c r="C121" s="100" t="s">
        <v>555</v>
      </c>
      <c r="D121" s="100"/>
      <c r="E121" s="100" t="s">
        <v>667</v>
      </c>
      <c r="F121" s="100" t="s">
        <v>666</v>
      </c>
      <c r="G121" s="126" t="s">
        <v>1032</v>
      </c>
      <c r="H121" s="100" t="s">
        <v>141</v>
      </c>
      <c r="I121" s="100"/>
      <c r="J121" s="100" t="s">
        <v>139</v>
      </c>
      <c r="K121" s="96" t="s">
        <v>63</v>
      </c>
      <c r="L121" s="99">
        <f t="shared" si="2"/>
        <v>29700</v>
      </c>
      <c r="M121" s="98">
        <f t="shared" si="3"/>
        <v>1</v>
      </c>
      <c r="N121" s="96" t="s">
        <v>558</v>
      </c>
      <c r="O121" s="97" t="s">
        <v>472</v>
      </c>
      <c r="P121" s="96"/>
      <c r="Q121" s="96"/>
      <c r="R121" s="96">
        <v>1</v>
      </c>
      <c r="S121" s="96"/>
      <c r="T121" s="95">
        <v>29700</v>
      </c>
      <c r="U121" s="94" t="s">
        <v>1029</v>
      </c>
      <c r="V121" s="125"/>
      <c r="W121" s="125"/>
      <c r="X121" s="125"/>
      <c r="Y121" s="125"/>
      <c r="Z121" s="125"/>
      <c r="AA121" s="125"/>
      <c r="AB121" s="125"/>
      <c r="AC121" s="125"/>
      <c r="AD121" s="125"/>
      <c r="AE121" s="125"/>
      <c r="AF121" s="125"/>
      <c r="AG121" s="125"/>
      <c r="AH121" s="125"/>
      <c r="AI121" s="125"/>
      <c r="AJ121" s="125"/>
      <c r="AK121" s="125"/>
      <c r="AL121" s="125"/>
      <c r="AM121" s="125"/>
      <c r="AN121" s="125"/>
      <c r="AO121" s="125"/>
      <c r="AP121" s="125"/>
      <c r="AQ121" s="125"/>
      <c r="AR121" s="125"/>
      <c r="AS121" s="125"/>
      <c r="AT121" s="125"/>
      <c r="AU121" s="125"/>
      <c r="AV121" s="125"/>
      <c r="AW121" s="125"/>
      <c r="AX121" s="125"/>
      <c r="AY121" s="125"/>
      <c r="AZ121" s="125"/>
      <c r="BA121" s="125"/>
      <c r="BB121" s="125"/>
      <c r="BC121" s="125"/>
      <c r="BD121" s="125"/>
      <c r="BE121" s="125"/>
      <c r="BF121" s="125"/>
      <c r="BG121" s="125"/>
      <c r="BH121" s="125"/>
    </row>
    <row r="122" spans="1:60" s="124" customFormat="1" ht="116.25">
      <c r="A122" s="127"/>
      <c r="B122" s="92" t="s">
        <v>447</v>
      </c>
      <c r="C122" s="100" t="s">
        <v>555</v>
      </c>
      <c r="D122" s="100"/>
      <c r="E122" s="100" t="s">
        <v>667</v>
      </c>
      <c r="F122" s="100" t="s">
        <v>666</v>
      </c>
      <c r="G122" s="126" t="s">
        <v>1032</v>
      </c>
      <c r="H122" s="100" t="s">
        <v>53</v>
      </c>
      <c r="I122" s="100"/>
      <c r="J122" s="100" t="s">
        <v>51</v>
      </c>
      <c r="K122" s="96" t="s">
        <v>40</v>
      </c>
      <c r="L122" s="99">
        <f t="shared" si="2"/>
        <v>29700</v>
      </c>
      <c r="M122" s="98">
        <f t="shared" si="3"/>
        <v>1</v>
      </c>
      <c r="N122" s="98" t="s">
        <v>558</v>
      </c>
      <c r="O122" s="97" t="s">
        <v>472</v>
      </c>
      <c r="P122" s="96"/>
      <c r="Q122" s="96"/>
      <c r="R122" s="96">
        <v>1</v>
      </c>
      <c r="S122" s="96"/>
      <c r="T122" s="95">
        <v>29700</v>
      </c>
      <c r="U122" s="94" t="s">
        <v>1029</v>
      </c>
      <c r="V122" s="125"/>
      <c r="W122" s="125"/>
      <c r="X122" s="125"/>
      <c r="Y122" s="125"/>
      <c r="Z122" s="125"/>
      <c r="AA122" s="125"/>
      <c r="AB122" s="125"/>
      <c r="AC122" s="125"/>
      <c r="AD122" s="125"/>
      <c r="AE122" s="125"/>
      <c r="AF122" s="125"/>
      <c r="AG122" s="125"/>
      <c r="AH122" s="125"/>
      <c r="AI122" s="125"/>
      <c r="AJ122" s="125"/>
      <c r="AK122" s="125"/>
      <c r="AL122" s="125"/>
      <c r="AM122" s="125"/>
      <c r="AN122" s="125"/>
      <c r="AO122" s="125"/>
      <c r="AP122" s="125"/>
      <c r="AQ122" s="125"/>
      <c r="AR122" s="125"/>
      <c r="AS122" s="125"/>
      <c r="AT122" s="125"/>
      <c r="AU122" s="125"/>
      <c r="AV122" s="125"/>
      <c r="AW122" s="125"/>
      <c r="AX122" s="125"/>
      <c r="AY122" s="125"/>
      <c r="AZ122" s="125"/>
      <c r="BA122" s="125"/>
      <c r="BB122" s="125"/>
      <c r="BC122" s="125"/>
      <c r="BD122" s="125"/>
      <c r="BE122" s="125"/>
      <c r="BF122" s="125"/>
      <c r="BG122" s="125"/>
      <c r="BH122" s="125"/>
    </row>
    <row r="123" spans="1:60" s="124" customFormat="1" ht="116.25">
      <c r="A123" s="127"/>
      <c r="B123" s="92" t="s">
        <v>447</v>
      </c>
      <c r="C123" s="100" t="s">
        <v>555</v>
      </c>
      <c r="D123" s="100"/>
      <c r="E123" s="100" t="s">
        <v>667</v>
      </c>
      <c r="F123" s="100" t="s">
        <v>666</v>
      </c>
      <c r="G123" s="126" t="s">
        <v>1032</v>
      </c>
      <c r="H123" s="100" t="s">
        <v>426</v>
      </c>
      <c r="I123" s="100"/>
      <c r="J123" s="100" t="s">
        <v>424</v>
      </c>
      <c r="K123" s="96" t="s">
        <v>40</v>
      </c>
      <c r="L123" s="99">
        <f t="shared" si="2"/>
        <v>29700</v>
      </c>
      <c r="M123" s="98">
        <f t="shared" si="3"/>
        <v>1</v>
      </c>
      <c r="N123" s="98" t="s">
        <v>558</v>
      </c>
      <c r="O123" s="97" t="s">
        <v>472</v>
      </c>
      <c r="P123" s="96"/>
      <c r="Q123" s="96"/>
      <c r="R123" s="96">
        <v>1</v>
      </c>
      <c r="S123" s="96"/>
      <c r="T123" s="95">
        <v>29700</v>
      </c>
      <c r="U123" s="94" t="s">
        <v>1029</v>
      </c>
      <c r="V123" s="125"/>
      <c r="W123" s="125"/>
      <c r="X123" s="125"/>
      <c r="Y123" s="125"/>
      <c r="Z123" s="125"/>
      <c r="AA123" s="125"/>
      <c r="AB123" s="125"/>
      <c r="AC123" s="125"/>
      <c r="AD123" s="125"/>
      <c r="AE123" s="125"/>
      <c r="AF123" s="125"/>
      <c r="AG123" s="125"/>
      <c r="AH123" s="125"/>
      <c r="AI123" s="125"/>
      <c r="AJ123" s="125"/>
      <c r="AK123" s="125"/>
      <c r="AL123" s="125"/>
      <c r="AM123" s="125"/>
      <c r="AN123" s="125"/>
      <c r="AO123" s="125"/>
      <c r="AP123" s="125"/>
      <c r="AQ123" s="125"/>
      <c r="AR123" s="125"/>
      <c r="AS123" s="125"/>
      <c r="AT123" s="125"/>
      <c r="AU123" s="125"/>
      <c r="AV123" s="125"/>
      <c r="AW123" s="125"/>
      <c r="AX123" s="125"/>
      <c r="AY123" s="125"/>
      <c r="AZ123" s="125"/>
      <c r="BA123" s="125"/>
      <c r="BB123" s="125"/>
      <c r="BC123" s="125"/>
      <c r="BD123" s="125"/>
      <c r="BE123" s="125"/>
      <c r="BF123" s="125"/>
      <c r="BG123" s="125"/>
      <c r="BH123" s="125"/>
    </row>
    <row r="124" spans="1:60" s="124" customFormat="1" ht="116.25">
      <c r="A124" s="127"/>
      <c r="B124" s="92" t="s">
        <v>447</v>
      </c>
      <c r="C124" s="100" t="s">
        <v>555</v>
      </c>
      <c r="D124" s="100"/>
      <c r="E124" s="100" t="s">
        <v>667</v>
      </c>
      <c r="F124" s="100" t="s">
        <v>666</v>
      </c>
      <c r="G124" s="100" t="s">
        <v>1030</v>
      </c>
      <c r="H124" s="100" t="s">
        <v>343</v>
      </c>
      <c r="I124" s="100"/>
      <c r="J124" s="100" t="s">
        <v>340</v>
      </c>
      <c r="K124" s="96" t="s">
        <v>63</v>
      </c>
      <c r="L124" s="99">
        <f t="shared" si="2"/>
        <v>63000</v>
      </c>
      <c r="M124" s="98">
        <f t="shared" si="3"/>
        <v>1</v>
      </c>
      <c r="N124" s="98" t="s">
        <v>558</v>
      </c>
      <c r="O124" s="97" t="s">
        <v>472</v>
      </c>
      <c r="P124" s="96"/>
      <c r="Q124" s="96"/>
      <c r="R124" s="96">
        <v>1</v>
      </c>
      <c r="S124" s="96"/>
      <c r="T124" s="95">
        <v>63000</v>
      </c>
      <c r="U124" s="94" t="s">
        <v>1031</v>
      </c>
      <c r="V124" s="125"/>
      <c r="W124" s="125"/>
      <c r="X124" s="125"/>
      <c r="Y124" s="125"/>
      <c r="Z124" s="125"/>
      <c r="AA124" s="125"/>
      <c r="AB124" s="125"/>
      <c r="AC124" s="125"/>
      <c r="AD124" s="125"/>
      <c r="AE124" s="125"/>
      <c r="AF124" s="125"/>
      <c r="AG124" s="125"/>
      <c r="AH124" s="125"/>
      <c r="AI124" s="125"/>
      <c r="AJ124" s="125"/>
      <c r="AK124" s="125"/>
      <c r="AL124" s="125"/>
      <c r="AM124" s="125"/>
      <c r="AN124" s="125"/>
      <c r="AO124" s="125"/>
      <c r="AP124" s="125"/>
      <c r="AQ124" s="125"/>
      <c r="AR124" s="125"/>
      <c r="AS124" s="125"/>
      <c r="AT124" s="125"/>
      <c r="AU124" s="125"/>
      <c r="AV124" s="125"/>
      <c r="AW124" s="125"/>
      <c r="AX124" s="125"/>
      <c r="AY124" s="125"/>
      <c r="AZ124" s="125"/>
      <c r="BA124" s="125"/>
      <c r="BB124" s="125"/>
      <c r="BC124" s="125"/>
      <c r="BD124" s="125"/>
      <c r="BE124" s="125"/>
      <c r="BF124" s="125"/>
      <c r="BG124" s="125"/>
      <c r="BH124" s="125"/>
    </row>
    <row r="125" spans="1:60" s="124" customFormat="1" ht="116.25">
      <c r="A125" s="127"/>
      <c r="B125" s="92" t="s">
        <v>447</v>
      </c>
      <c r="C125" s="100" t="s">
        <v>555</v>
      </c>
      <c r="D125" s="100"/>
      <c r="E125" s="100" t="s">
        <v>667</v>
      </c>
      <c r="F125" s="100" t="s">
        <v>666</v>
      </c>
      <c r="G125" s="100" t="s">
        <v>1030</v>
      </c>
      <c r="H125" s="100" t="s">
        <v>426</v>
      </c>
      <c r="I125" s="100"/>
      <c r="J125" s="100" t="s">
        <v>424</v>
      </c>
      <c r="K125" s="96" t="s">
        <v>40</v>
      </c>
      <c r="L125" s="99">
        <f t="shared" si="2"/>
        <v>63000</v>
      </c>
      <c r="M125" s="98">
        <f t="shared" si="3"/>
        <v>1</v>
      </c>
      <c r="N125" s="98" t="s">
        <v>558</v>
      </c>
      <c r="O125" s="97" t="s">
        <v>472</v>
      </c>
      <c r="P125" s="96"/>
      <c r="Q125" s="96"/>
      <c r="R125" s="96">
        <v>1</v>
      </c>
      <c r="S125" s="96"/>
      <c r="T125" s="95">
        <v>63000</v>
      </c>
      <c r="U125" s="94" t="s">
        <v>1029</v>
      </c>
      <c r="V125" s="125"/>
      <c r="W125" s="125"/>
      <c r="X125" s="125"/>
      <c r="Y125" s="125"/>
      <c r="Z125" s="125"/>
      <c r="AA125" s="125"/>
      <c r="AB125" s="125"/>
      <c r="AC125" s="125"/>
      <c r="AD125" s="125"/>
      <c r="AE125" s="125"/>
      <c r="AF125" s="125"/>
      <c r="AG125" s="125"/>
      <c r="AH125" s="125"/>
      <c r="AI125" s="125"/>
      <c r="AJ125" s="125"/>
      <c r="AK125" s="125"/>
      <c r="AL125" s="125"/>
      <c r="AM125" s="125"/>
      <c r="AN125" s="125"/>
      <c r="AO125" s="125"/>
      <c r="AP125" s="125"/>
      <c r="AQ125" s="125"/>
      <c r="AR125" s="125"/>
      <c r="AS125" s="125"/>
      <c r="AT125" s="125"/>
      <c r="AU125" s="125"/>
      <c r="AV125" s="125"/>
      <c r="AW125" s="125"/>
      <c r="AX125" s="125"/>
      <c r="AY125" s="125"/>
      <c r="AZ125" s="125"/>
      <c r="BA125" s="125"/>
      <c r="BB125" s="125"/>
      <c r="BC125" s="125"/>
      <c r="BD125" s="125"/>
      <c r="BE125" s="125"/>
      <c r="BF125" s="125"/>
      <c r="BG125" s="125"/>
      <c r="BH125" s="125"/>
    </row>
    <row r="126" spans="1:60" s="124" customFormat="1" ht="116.25">
      <c r="A126" s="127"/>
      <c r="B126" s="92" t="s">
        <v>447</v>
      </c>
      <c r="C126" s="100" t="s">
        <v>555</v>
      </c>
      <c r="D126" s="100"/>
      <c r="E126" s="100" t="s">
        <v>667</v>
      </c>
      <c r="F126" s="100" t="s">
        <v>666</v>
      </c>
      <c r="G126" s="103" t="s">
        <v>1028</v>
      </c>
      <c r="H126" s="100" t="s">
        <v>53</v>
      </c>
      <c r="I126" s="100"/>
      <c r="J126" s="100" t="s">
        <v>51</v>
      </c>
      <c r="K126" s="96" t="s">
        <v>40</v>
      </c>
      <c r="L126" s="99">
        <f t="shared" si="2"/>
        <v>18200</v>
      </c>
      <c r="M126" s="98">
        <f t="shared" si="3"/>
        <v>1</v>
      </c>
      <c r="N126" s="98" t="s">
        <v>558</v>
      </c>
      <c r="O126" s="97" t="s">
        <v>472</v>
      </c>
      <c r="P126" s="96"/>
      <c r="Q126" s="96">
        <v>1</v>
      </c>
      <c r="R126" s="96"/>
      <c r="S126" s="134"/>
      <c r="T126" s="104">
        <v>18200</v>
      </c>
      <c r="U126" s="94" t="s">
        <v>1026</v>
      </c>
      <c r="V126" s="125"/>
      <c r="W126" s="125"/>
      <c r="X126" s="125"/>
      <c r="Y126" s="125"/>
      <c r="Z126" s="125"/>
      <c r="AA126" s="125"/>
      <c r="AB126" s="125"/>
      <c r="AC126" s="125"/>
      <c r="AD126" s="125"/>
      <c r="AE126" s="125"/>
      <c r="AF126" s="125"/>
      <c r="AG126" s="125"/>
      <c r="AH126" s="125"/>
      <c r="AI126" s="125"/>
      <c r="AJ126" s="125"/>
      <c r="AK126" s="125"/>
      <c r="AL126" s="125"/>
      <c r="AM126" s="125"/>
      <c r="AN126" s="125"/>
      <c r="AO126" s="125"/>
      <c r="AP126" s="125"/>
      <c r="AQ126" s="125"/>
      <c r="AR126" s="125"/>
      <c r="AS126" s="125"/>
      <c r="AT126" s="125"/>
      <c r="AU126" s="125"/>
      <c r="AV126" s="125"/>
      <c r="AW126" s="125"/>
      <c r="AX126" s="125"/>
      <c r="AY126" s="125"/>
      <c r="AZ126" s="125"/>
      <c r="BA126" s="125"/>
      <c r="BB126" s="125"/>
      <c r="BC126" s="125"/>
      <c r="BD126" s="125"/>
      <c r="BE126" s="125"/>
      <c r="BF126" s="125"/>
      <c r="BG126" s="125"/>
      <c r="BH126" s="125"/>
    </row>
    <row r="127" spans="1:60" s="124" customFormat="1" ht="116.25">
      <c r="A127" s="127"/>
      <c r="B127" s="92" t="s">
        <v>447</v>
      </c>
      <c r="C127" s="100" t="s">
        <v>555</v>
      </c>
      <c r="D127" s="100"/>
      <c r="E127" s="100" t="s">
        <v>667</v>
      </c>
      <c r="F127" s="100" t="s">
        <v>666</v>
      </c>
      <c r="G127" s="100" t="s">
        <v>1027</v>
      </c>
      <c r="H127" s="100" t="s">
        <v>56</v>
      </c>
      <c r="I127" s="100"/>
      <c r="J127" s="100" t="s">
        <v>54</v>
      </c>
      <c r="K127" s="96" t="s">
        <v>40</v>
      </c>
      <c r="L127" s="99">
        <f t="shared" si="2"/>
        <v>18200</v>
      </c>
      <c r="M127" s="98">
        <f t="shared" si="3"/>
        <v>1</v>
      </c>
      <c r="N127" s="98" t="s">
        <v>558</v>
      </c>
      <c r="O127" s="97" t="s">
        <v>472</v>
      </c>
      <c r="P127" s="96"/>
      <c r="Q127" s="96"/>
      <c r="R127" s="96">
        <v>1</v>
      </c>
      <c r="S127" s="134"/>
      <c r="T127" s="104">
        <v>18200</v>
      </c>
      <c r="U127" s="94" t="s">
        <v>522</v>
      </c>
      <c r="V127" s="125"/>
      <c r="W127" s="125"/>
      <c r="X127" s="125"/>
      <c r="Y127" s="125"/>
      <c r="Z127" s="125"/>
      <c r="AA127" s="125"/>
      <c r="AB127" s="125"/>
      <c r="AC127" s="125"/>
      <c r="AD127" s="125"/>
      <c r="AE127" s="125"/>
      <c r="AF127" s="125"/>
      <c r="AG127" s="125"/>
      <c r="AH127" s="125"/>
      <c r="AI127" s="125"/>
      <c r="AJ127" s="125"/>
      <c r="AK127" s="125"/>
      <c r="AL127" s="125"/>
      <c r="AM127" s="125"/>
      <c r="AN127" s="125"/>
      <c r="AO127" s="125"/>
      <c r="AP127" s="125"/>
      <c r="AQ127" s="125"/>
      <c r="AR127" s="125"/>
      <c r="AS127" s="125"/>
      <c r="AT127" s="125"/>
      <c r="AU127" s="125"/>
      <c r="AV127" s="125"/>
      <c r="AW127" s="125"/>
      <c r="AX127" s="125"/>
      <c r="AY127" s="125"/>
      <c r="AZ127" s="125"/>
      <c r="BA127" s="125"/>
      <c r="BB127" s="125"/>
      <c r="BC127" s="125"/>
      <c r="BD127" s="125"/>
      <c r="BE127" s="125"/>
      <c r="BF127" s="125"/>
      <c r="BG127" s="125"/>
      <c r="BH127" s="125"/>
    </row>
    <row r="128" spans="1:60" s="124" customFormat="1" ht="116.25">
      <c r="A128" s="127"/>
      <c r="B128" s="92" t="s">
        <v>447</v>
      </c>
      <c r="C128" s="100" t="s">
        <v>555</v>
      </c>
      <c r="D128" s="100"/>
      <c r="E128" s="100" t="s">
        <v>667</v>
      </c>
      <c r="F128" s="100" t="s">
        <v>666</v>
      </c>
      <c r="G128" s="100" t="s">
        <v>1025</v>
      </c>
      <c r="H128" s="100" t="s">
        <v>365</v>
      </c>
      <c r="I128" s="100"/>
      <c r="J128" s="100" t="s">
        <v>110</v>
      </c>
      <c r="K128" s="96" t="s">
        <v>63</v>
      </c>
      <c r="L128" s="99">
        <f t="shared" si="2"/>
        <v>52800</v>
      </c>
      <c r="M128" s="98">
        <f t="shared" si="3"/>
        <v>8</v>
      </c>
      <c r="N128" s="96" t="s">
        <v>561</v>
      </c>
      <c r="O128" s="97" t="s">
        <v>472</v>
      </c>
      <c r="P128" s="96"/>
      <c r="Q128" s="96">
        <v>8</v>
      </c>
      <c r="R128" s="96"/>
      <c r="S128" s="134"/>
      <c r="T128" s="95">
        <v>6600</v>
      </c>
      <c r="U128" s="94" t="s">
        <v>1026</v>
      </c>
      <c r="V128" s="125"/>
      <c r="W128" s="125"/>
      <c r="X128" s="125"/>
      <c r="Y128" s="125"/>
      <c r="Z128" s="125"/>
      <c r="AA128" s="125"/>
      <c r="AB128" s="125"/>
      <c r="AC128" s="125"/>
      <c r="AD128" s="125"/>
      <c r="AE128" s="125"/>
      <c r="AF128" s="125"/>
      <c r="AG128" s="125"/>
      <c r="AH128" s="125"/>
      <c r="AI128" s="125"/>
      <c r="AJ128" s="125"/>
      <c r="AK128" s="125"/>
      <c r="AL128" s="125"/>
      <c r="AM128" s="125"/>
      <c r="AN128" s="125"/>
      <c r="AO128" s="125"/>
      <c r="AP128" s="125"/>
      <c r="AQ128" s="125"/>
      <c r="AR128" s="125"/>
      <c r="AS128" s="125"/>
      <c r="AT128" s="125"/>
      <c r="AU128" s="125"/>
      <c r="AV128" s="125"/>
      <c r="AW128" s="125"/>
      <c r="AX128" s="125"/>
      <c r="AY128" s="125"/>
      <c r="AZ128" s="125"/>
      <c r="BA128" s="125"/>
      <c r="BB128" s="125"/>
      <c r="BC128" s="125"/>
      <c r="BD128" s="125"/>
      <c r="BE128" s="125"/>
      <c r="BF128" s="125"/>
      <c r="BG128" s="125"/>
      <c r="BH128" s="125"/>
    </row>
    <row r="129" spans="1:60" s="124" customFormat="1" ht="116.25">
      <c r="A129" s="127"/>
      <c r="B129" s="92" t="s">
        <v>447</v>
      </c>
      <c r="C129" s="100" t="s">
        <v>555</v>
      </c>
      <c r="D129" s="100"/>
      <c r="E129" s="100" t="s">
        <v>667</v>
      </c>
      <c r="F129" s="100" t="s">
        <v>666</v>
      </c>
      <c r="G129" s="100" t="s">
        <v>1025</v>
      </c>
      <c r="H129" s="100" t="s">
        <v>109</v>
      </c>
      <c r="I129" s="100"/>
      <c r="J129" s="100" t="s">
        <v>107</v>
      </c>
      <c r="K129" s="96" t="s">
        <v>63</v>
      </c>
      <c r="L129" s="99">
        <f t="shared" si="2"/>
        <v>39600</v>
      </c>
      <c r="M129" s="98">
        <f t="shared" si="3"/>
        <v>6</v>
      </c>
      <c r="N129" s="96" t="s">
        <v>561</v>
      </c>
      <c r="O129" s="97" t="s">
        <v>472</v>
      </c>
      <c r="P129" s="98"/>
      <c r="Q129" s="98">
        <v>6</v>
      </c>
      <c r="R129" s="98"/>
      <c r="S129" s="149"/>
      <c r="T129" s="95">
        <v>6600</v>
      </c>
      <c r="U129" s="109" t="s">
        <v>1026</v>
      </c>
      <c r="V129" s="125"/>
      <c r="W129" s="125"/>
      <c r="X129" s="125"/>
      <c r="Y129" s="125"/>
      <c r="Z129" s="125"/>
      <c r="AA129" s="125"/>
      <c r="AB129" s="125"/>
      <c r="AC129" s="125"/>
      <c r="AD129" s="125"/>
      <c r="AE129" s="125"/>
      <c r="AF129" s="125"/>
      <c r="AG129" s="125"/>
      <c r="AH129" s="125"/>
      <c r="AI129" s="125"/>
      <c r="AJ129" s="125"/>
      <c r="AK129" s="125"/>
      <c r="AL129" s="125"/>
      <c r="AM129" s="125"/>
      <c r="AN129" s="125"/>
      <c r="AO129" s="125"/>
      <c r="AP129" s="125"/>
      <c r="AQ129" s="125"/>
      <c r="AR129" s="125"/>
      <c r="AS129" s="125"/>
      <c r="AT129" s="125"/>
      <c r="AU129" s="125"/>
      <c r="AV129" s="125"/>
      <c r="AW129" s="125"/>
      <c r="AX129" s="125"/>
      <c r="AY129" s="125"/>
      <c r="AZ129" s="125"/>
      <c r="BA129" s="125"/>
      <c r="BB129" s="125"/>
      <c r="BC129" s="125"/>
      <c r="BD129" s="125"/>
      <c r="BE129" s="125"/>
      <c r="BF129" s="125"/>
      <c r="BG129" s="125"/>
      <c r="BH129" s="125"/>
    </row>
    <row r="130" spans="1:60" s="124" customFormat="1" ht="116.25">
      <c r="A130" s="127"/>
      <c r="B130" s="92" t="s">
        <v>447</v>
      </c>
      <c r="C130" s="100" t="s">
        <v>555</v>
      </c>
      <c r="D130" s="100"/>
      <c r="E130" s="100" t="s">
        <v>667</v>
      </c>
      <c r="F130" s="100" t="s">
        <v>666</v>
      </c>
      <c r="G130" s="100" t="s">
        <v>1025</v>
      </c>
      <c r="H130" s="100" t="s">
        <v>243</v>
      </c>
      <c r="I130" s="100"/>
      <c r="J130" s="100" t="s">
        <v>241</v>
      </c>
      <c r="K130" s="96" t="s">
        <v>40</v>
      </c>
      <c r="L130" s="99">
        <f t="shared" si="2"/>
        <v>66000</v>
      </c>
      <c r="M130" s="98">
        <f t="shared" si="3"/>
        <v>10</v>
      </c>
      <c r="N130" s="96" t="s">
        <v>561</v>
      </c>
      <c r="O130" s="97" t="s">
        <v>472</v>
      </c>
      <c r="P130" s="96"/>
      <c r="Q130" s="96"/>
      <c r="R130" s="96">
        <v>10</v>
      </c>
      <c r="S130" s="96"/>
      <c r="T130" s="95">
        <v>6600</v>
      </c>
      <c r="U130" s="94" t="s">
        <v>1024</v>
      </c>
      <c r="V130" s="125"/>
      <c r="W130" s="125"/>
      <c r="X130" s="125"/>
      <c r="Y130" s="125"/>
      <c r="Z130" s="125"/>
      <c r="AA130" s="125"/>
      <c r="AB130" s="125"/>
      <c r="AC130" s="125"/>
      <c r="AD130" s="125"/>
      <c r="AE130" s="125"/>
      <c r="AF130" s="125"/>
      <c r="AG130" s="125"/>
      <c r="AH130" s="125"/>
      <c r="AI130" s="125"/>
      <c r="AJ130" s="125"/>
      <c r="AK130" s="125"/>
      <c r="AL130" s="125"/>
      <c r="AM130" s="125"/>
      <c r="AN130" s="125"/>
      <c r="AO130" s="125"/>
      <c r="AP130" s="125"/>
      <c r="AQ130" s="125"/>
      <c r="AR130" s="125"/>
      <c r="AS130" s="125"/>
      <c r="AT130" s="125"/>
      <c r="AU130" s="125"/>
      <c r="AV130" s="125"/>
      <c r="AW130" s="125"/>
      <c r="AX130" s="125"/>
      <c r="AY130" s="125"/>
      <c r="AZ130" s="125"/>
      <c r="BA130" s="125"/>
      <c r="BB130" s="125"/>
      <c r="BC130" s="125"/>
      <c r="BD130" s="125"/>
      <c r="BE130" s="125"/>
      <c r="BF130" s="125"/>
      <c r="BG130" s="125"/>
      <c r="BH130" s="125"/>
    </row>
    <row r="131" spans="1:60" s="124" customFormat="1" ht="116.25">
      <c r="A131" s="127"/>
      <c r="B131" s="92" t="s">
        <v>447</v>
      </c>
      <c r="C131" s="100" t="s">
        <v>555</v>
      </c>
      <c r="D131" s="100"/>
      <c r="E131" s="100" t="s">
        <v>667</v>
      </c>
      <c r="F131" s="100" t="s">
        <v>666</v>
      </c>
      <c r="G131" s="100" t="s">
        <v>1025</v>
      </c>
      <c r="H131" s="100" t="s">
        <v>350</v>
      </c>
      <c r="I131" s="100"/>
      <c r="J131" s="100" t="s">
        <v>103</v>
      </c>
      <c r="K131" s="96" t="s">
        <v>63</v>
      </c>
      <c r="L131" s="99">
        <f t="shared" si="2"/>
        <v>33000</v>
      </c>
      <c r="M131" s="98">
        <f t="shared" si="3"/>
        <v>5</v>
      </c>
      <c r="N131" s="96" t="s">
        <v>561</v>
      </c>
      <c r="O131" s="97" t="s">
        <v>472</v>
      </c>
      <c r="P131" s="96"/>
      <c r="Q131" s="96"/>
      <c r="R131" s="96">
        <v>5</v>
      </c>
      <c r="S131" s="96"/>
      <c r="T131" s="95">
        <v>6600</v>
      </c>
      <c r="U131" s="94" t="s">
        <v>868</v>
      </c>
      <c r="V131" s="125"/>
      <c r="W131" s="125"/>
      <c r="X131" s="125"/>
      <c r="Y131" s="125"/>
      <c r="Z131" s="125"/>
      <c r="AA131" s="125"/>
      <c r="AB131" s="125"/>
      <c r="AC131" s="125"/>
      <c r="AD131" s="125"/>
      <c r="AE131" s="125"/>
      <c r="AF131" s="125"/>
      <c r="AG131" s="125"/>
      <c r="AH131" s="125"/>
      <c r="AI131" s="125"/>
      <c r="AJ131" s="125"/>
      <c r="AK131" s="125"/>
      <c r="AL131" s="125"/>
      <c r="AM131" s="125"/>
      <c r="AN131" s="125"/>
      <c r="AO131" s="125"/>
      <c r="AP131" s="125"/>
      <c r="AQ131" s="125"/>
      <c r="AR131" s="125"/>
      <c r="AS131" s="125"/>
      <c r="AT131" s="125"/>
      <c r="AU131" s="125"/>
      <c r="AV131" s="125"/>
      <c r="AW131" s="125"/>
      <c r="AX131" s="125"/>
      <c r="AY131" s="125"/>
      <c r="AZ131" s="125"/>
      <c r="BA131" s="125"/>
      <c r="BB131" s="125"/>
      <c r="BC131" s="125"/>
      <c r="BD131" s="125"/>
      <c r="BE131" s="125"/>
      <c r="BF131" s="125"/>
      <c r="BG131" s="125"/>
      <c r="BH131" s="125"/>
    </row>
    <row r="132" spans="1:60" s="124" customFormat="1" ht="116.25">
      <c r="A132" s="127"/>
      <c r="B132" s="92" t="s">
        <v>447</v>
      </c>
      <c r="C132" s="100" t="s">
        <v>555</v>
      </c>
      <c r="D132" s="100"/>
      <c r="E132" s="100" t="s">
        <v>667</v>
      </c>
      <c r="F132" s="100" t="s">
        <v>666</v>
      </c>
      <c r="G132" s="100" t="s">
        <v>1025</v>
      </c>
      <c r="H132" s="100" t="s">
        <v>59</v>
      </c>
      <c r="I132" s="100"/>
      <c r="J132" s="100" t="s">
        <v>57</v>
      </c>
      <c r="K132" s="96" t="s">
        <v>40</v>
      </c>
      <c r="L132" s="99">
        <f t="shared" si="2"/>
        <v>33000</v>
      </c>
      <c r="M132" s="98">
        <f t="shared" si="3"/>
        <v>5</v>
      </c>
      <c r="N132" s="96" t="s">
        <v>561</v>
      </c>
      <c r="O132" s="97" t="s">
        <v>472</v>
      </c>
      <c r="P132" s="96"/>
      <c r="Q132" s="96"/>
      <c r="R132" s="96">
        <v>5</v>
      </c>
      <c r="S132" s="96"/>
      <c r="T132" s="95">
        <v>6600</v>
      </c>
      <c r="U132" s="94" t="s">
        <v>868</v>
      </c>
      <c r="V132" s="125"/>
      <c r="W132" s="125"/>
      <c r="X132" s="125"/>
      <c r="Y132" s="125"/>
      <c r="Z132" s="125"/>
      <c r="AA132" s="125"/>
      <c r="AB132" s="125"/>
      <c r="AC132" s="125"/>
      <c r="AD132" s="125"/>
      <c r="AE132" s="125"/>
      <c r="AF132" s="125"/>
      <c r="AG132" s="125"/>
      <c r="AH132" s="125"/>
      <c r="AI132" s="125"/>
      <c r="AJ132" s="125"/>
      <c r="AK132" s="125"/>
      <c r="AL132" s="125"/>
      <c r="AM132" s="125"/>
      <c r="AN132" s="125"/>
      <c r="AO132" s="125"/>
      <c r="AP132" s="125"/>
      <c r="AQ132" s="125"/>
      <c r="AR132" s="125"/>
      <c r="AS132" s="125"/>
      <c r="AT132" s="125"/>
      <c r="AU132" s="125"/>
      <c r="AV132" s="125"/>
      <c r="AW132" s="125"/>
      <c r="AX132" s="125"/>
      <c r="AY132" s="125"/>
      <c r="AZ132" s="125"/>
      <c r="BA132" s="125"/>
      <c r="BB132" s="125"/>
      <c r="BC132" s="125"/>
      <c r="BD132" s="125"/>
      <c r="BE132" s="125"/>
      <c r="BF132" s="125"/>
      <c r="BG132" s="125"/>
      <c r="BH132" s="125"/>
    </row>
    <row r="133" spans="1:60" s="124" customFormat="1" ht="116.25">
      <c r="A133" s="127"/>
      <c r="B133" s="92" t="s">
        <v>447</v>
      </c>
      <c r="C133" s="100" t="s">
        <v>555</v>
      </c>
      <c r="D133" s="100"/>
      <c r="E133" s="100" t="s">
        <v>667</v>
      </c>
      <c r="F133" s="100" t="s">
        <v>666</v>
      </c>
      <c r="G133" s="100" t="s">
        <v>1025</v>
      </c>
      <c r="H133" s="100" t="s">
        <v>243</v>
      </c>
      <c r="I133" s="100"/>
      <c r="J133" s="100" t="s">
        <v>241</v>
      </c>
      <c r="K133" s="96" t="s">
        <v>40</v>
      </c>
      <c r="L133" s="99">
        <f t="shared" si="2"/>
        <v>66000</v>
      </c>
      <c r="M133" s="98">
        <f t="shared" si="3"/>
        <v>10</v>
      </c>
      <c r="N133" s="96" t="s">
        <v>561</v>
      </c>
      <c r="O133" s="97" t="s">
        <v>472</v>
      </c>
      <c r="P133" s="96"/>
      <c r="Q133" s="96"/>
      <c r="R133" s="96">
        <v>10</v>
      </c>
      <c r="S133" s="96"/>
      <c r="T133" s="95">
        <v>6600</v>
      </c>
      <c r="U133" s="94" t="s">
        <v>1024</v>
      </c>
      <c r="V133" s="125"/>
      <c r="W133" s="125"/>
      <c r="X133" s="125"/>
      <c r="Y133" s="125"/>
      <c r="Z133" s="125"/>
      <c r="AA133" s="125"/>
      <c r="AB133" s="125"/>
      <c r="AC133" s="125"/>
      <c r="AD133" s="125"/>
      <c r="AE133" s="125"/>
      <c r="AF133" s="125"/>
      <c r="AG133" s="125"/>
      <c r="AH133" s="125"/>
      <c r="AI133" s="125"/>
      <c r="AJ133" s="125"/>
      <c r="AK133" s="125"/>
      <c r="AL133" s="125"/>
      <c r="AM133" s="125"/>
      <c r="AN133" s="125"/>
      <c r="AO133" s="125"/>
      <c r="AP133" s="125"/>
      <c r="AQ133" s="125"/>
      <c r="AR133" s="125"/>
      <c r="AS133" s="125"/>
      <c r="AT133" s="125"/>
      <c r="AU133" s="125"/>
      <c r="AV133" s="125"/>
      <c r="AW133" s="125"/>
      <c r="AX133" s="125"/>
      <c r="AY133" s="125"/>
      <c r="AZ133" s="125"/>
      <c r="BA133" s="125"/>
      <c r="BB133" s="125"/>
      <c r="BC133" s="125"/>
      <c r="BD133" s="125"/>
      <c r="BE133" s="125"/>
      <c r="BF133" s="125"/>
      <c r="BG133" s="125"/>
      <c r="BH133" s="125"/>
    </row>
    <row r="134" spans="1:60" s="124" customFormat="1" ht="116.25">
      <c r="A134" s="127"/>
      <c r="B134" s="92" t="s">
        <v>447</v>
      </c>
      <c r="C134" s="100" t="s">
        <v>555</v>
      </c>
      <c r="D134" s="100"/>
      <c r="E134" s="100" t="s">
        <v>667</v>
      </c>
      <c r="F134" s="100" t="s">
        <v>666</v>
      </c>
      <c r="G134" s="100" t="s">
        <v>1025</v>
      </c>
      <c r="H134" s="100" t="s">
        <v>56</v>
      </c>
      <c r="I134" s="100"/>
      <c r="J134" s="100" t="s">
        <v>54</v>
      </c>
      <c r="K134" s="96" t="s">
        <v>40</v>
      </c>
      <c r="L134" s="99">
        <f t="shared" si="2"/>
        <v>13200</v>
      </c>
      <c r="M134" s="98">
        <f t="shared" si="3"/>
        <v>2</v>
      </c>
      <c r="N134" s="96" t="s">
        <v>561</v>
      </c>
      <c r="O134" s="97" t="s">
        <v>472</v>
      </c>
      <c r="P134" s="96"/>
      <c r="Q134" s="96"/>
      <c r="R134" s="96">
        <v>2</v>
      </c>
      <c r="S134" s="96"/>
      <c r="T134" s="95">
        <v>6600</v>
      </c>
      <c r="U134" s="94" t="s">
        <v>868</v>
      </c>
      <c r="V134" s="125"/>
      <c r="W134" s="125"/>
      <c r="X134" s="125"/>
      <c r="Y134" s="125"/>
      <c r="Z134" s="125"/>
      <c r="AA134" s="125"/>
      <c r="AB134" s="125"/>
      <c r="AC134" s="125"/>
      <c r="AD134" s="125"/>
      <c r="AE134" s="125"/>
      <c r="AF134" s="125"/>
      <c r="AG134" s="125"/>
      <c r="AH134" s="125"/>
      <c r="AI134" s="125"/>
      <c r="AJ134" s="125"/>
      <c r="AK134" s="125"/>
      <c r="AL134" s="125"/>
      <c r="AM134" s="125"/>
      <c r="AN134" s="125"/>
      <c r="AO134" s="125"/>
      <c r="AP134" s="125"/>
      <c r="AQ134" s="125"/>
      <c r="AR134" s="125"/>
      <c r="AS134" s="125"/>
      <c r="AT134" s="125"/>
      <c r="AU134" s="125"/>
      <c r="AV134" s="125"/>
      <c r="AW134" s="125"/>
      <c r="AX134" s="125"/>
      <c r="AY134" s="125"/>
      <c r="AZ134" s="125"/>
      <c r="BA134" s="125"/>
      <c r="BB134" s="125"/>
      <c r="BC134" s="125"/>
      <c r="BD134" s="125"/>
      <c r="BE134" s="125"/>
      <c r="BF134" s="125"/>
      <c r="BG134" s="125"/>
      <c r="BH134" s="125"/>
    </row>
    <row r="135" spans="1:60" s="124" customFormat="1" ht="116.25">
      <c r="A135" s="127"/>
      <c r="B135" s="92" t="s">
        <v>447</v>
      </c>
      <c r="C135" s="100" t="s">
        <v>555</v>
      </c>
      <c r="D135" s="100"/>
      <c r="E135" s="100" t="s">
        <v>667</v>
      </c>
      <c r="F135" s="100" t="s">
        <v>666</v>
      </c>
      <c r="G135" s="100" t="s">
        <v>1023</v>
      </c>
      <c r="H135" s="100" t="s">
        <v>243</v>
      </c>
      <c r="I135" s="100"/>
      <c r="J135" s="100" t="s">
        <v>241</v>
      </c>
      <c r="K135" s="96" t="s">
        <v>40</v>
      </c>
      <c r="L135" s="99">
        <f t="shared" si="2"/>
        <v>72000</v>
      </c>
      <c r="M135" s="98">
        <f t="shared" si="3"/>
        <v>10</v>
      </c>
      <c r="N135" s="96" t="s">
        <v>561</v>
      </c>
      <c r="O135" s="97" t="s">
        <v>472</v>
      </c>
      <c r="P135" s="96"/>
      <c r="Q135" s="96"/>
      <c r="R135" s="96">
        <v>10</v>
      </c>
      <c r="S135" s="96"/>
      <c r="T135" s="95">
        <v>7200</v>
      </c>
      <c r="U135" s="94" t="s">
        <v>1024</v>
      </c>
      <c r="V135" s="125"/>
      <c r="W135" s="125"/>
      <c r="X135" s="125"/>
      <c r="Y135" s="125"/>
      <c r="Z135" s="125"/>
      <c r="AA135" s="125"/>
      <c r="AB135" s="125"/>
      <c r="AC135" s="125"/>
      <c r="AD135" s="125"/>
      <c r="AE135" s="125"/>
      <c r="AF135" s="125"/>
      <c r="AG135" s="125"/>
      <c r="AH135" s="125"/>
      <c r="AI135" s="125"/>
      <c r="AJ135" s="125"/>
      <c r="AK135" s="125"/>
      <c r="AL135" s="125"/>
      <c r="AM135" s="125"/>
      <c r="AN135" s="125"/>
      <c r="AO135" s="125"/>
      <c r="AP135" s="125"/>
      <c r="AQ135" s="125"/>
      <c r="AR135" s="125"/>
      <c r="AS135" s="125"/>
      <c r="AT135" s="125"/>
      <c r="AU135" s="125"/>
      <c r="AV135" s="125"/>
      <c r="AW135" s="125"/>
      <c r="AX135" s="125"/>
      <c r="AY135" s="125"/>
      <c r="AZ135" s="125"/>
      <c r="BA135" s="125"/>
      <c r="BB135" s="125"/>
      <c r="BC135" s="125"/>
      <c r="BD135" s="125"/>
      <c r="BE135" s="125"/>
      <c r="BF135" s="125"/>
      <c r="BG135" s="125"/>
      <c r="BH135" s="125"/>
    </row>
    <row r="136" spans="1:60" s="124" customFormat="1" ht="116.25">
      <c r="A136" s="127"/>
      <c r="B136" s="92" t="s">
        <v>447</v>
      </c>
      <c r="C136" s="100" t="s">
        <v>555</v>
      </c>
      <c r="D136" s="100"/>
      <c r="E136" s="100" t="s">
        <v>667</v>
      </c>
      <c r="F136" s="100" t="s">
        <v>666</v>
      </c>
      <c r="G136" s="100" t="s">
        <v>1023</v>
      </c>
      <c r="H136" s="100" t="s">
        <v>45</v>
      </c>
      <c r="I136" s="100"/>
      <c r="J136" s="100" t="s">
        <v>41</v>
      </c>
      <c r="K136" s="96" t="s">
        <v>40</v>
      </c>
      <c r="L136" s="99">
        <f t="shared" si="2"/>
        <v>14400</v>
      </c>
      <c r="M136" s="98">
        <f t="shared" si="3"/>
        <v>2</v>
      </c>
      <c r="N136" s="96" t="s">
        <v>561</v>
      </c>
      <c r="O136" s="97" t="s">
        <v>472</v>
      </c>
      <c r="P136" s="96"/>
      <c r="Q136" s="96"/>
      <c r="R136" s="96">
        <v>2</v>
      </c>
      <c r="S136" s="96"/>
      <c r="T136" s="95">
        <v>7200</v>
      </c>
      <c r="U136" s="94" t="s">
        <v>1024</v>
      </c>
      <c r="V136" s="125"/>
      <c r="W136" s="125"/>
      <c r="X136" s="125"/>
      <c r="Y136" s="125"/>
      <c r="Z136" s="125"/>
      <c r="AA136" s="125"/>
      <c r="AB136" s="125"/>
      <c r="AC136" s="125"/>
      <c r="AD136" s="125"/>
      <c r="AE136" s="125"/>
      <c r="AF136" s="125"/>
      <c r="AG136" s="125"/>
      <c r="AH136" s="125"/>
      <c r="AI136" s="125"/>
      <c r="AJ136" s="125"/>
      <c r="AK136" s="125"/>
      <c r="AL136" s="125"/>
      <c r="AM136" s="125"/>
      <c r="AN136" s="125"/>
      <c r="AO136" s="125"/>
      <c r="AP136" s="125"/>
      <c r="AQ136" s="125"/>
      <c r="AR136" s="125"/>
      <c r="AS136" s="125"/>
      <c r="AT136" s="125"/>
      <c r="AU136" s="125"/>
      <c r="AV136" s="125"/>
      <c r="AW136" s="125"/>
      <c r="AX136" s="125"/>
      <c r="AY136" s="125"/>
      <c r="AZ136" s="125"/>
      <c r="BA136" s="125"/>
      <c r="BB136" s="125"/>
      <c r="BC136" s="125"/>
      <c r="BD136" s="125"/>
      <c r="BE136" s="125"/>
      <c r="BF136" s="125"/>
      <c r="BG136" s="125"/>
      <c r="BH136" s="125"/>
    </row>
    <row r="137" spans="1:60" s="124" customFormat="1" ht="116.25">
      <c r="A137" s="127"/>
      <c r="B137" s="92" t="s">
        <v>447</v>
      </c>
      <c r="C137" s="100" t="s">
        <v>555</v>
      </c>
      <c r="D137" s="100"/>
      <c r="E137" s="100" t="s">
        <v>667</v>
      </c>
      <c r="F137" s="100" t="s">
        <v>666</v>
      </c>
      <c r="G137" s="100" t="s">
        <v>1023</v>
      </c>
      <c r="H137" s="100" t="s">
        <v>59</v>
      </c>
      <c r="I137" s="100"/>
      <c r="J137" s="100" t="s">
        <v>57</v>
      </c>
      <c r="K137" s="96" t="s">
        <v>40</v>
      </c>
      <c r="L137" s="99">
        <f t="shared" si="2"/>
        <v>36000</v>
      </c>
      <c r="M137" s="98">
        <f t="shared" si="3"/>
        <v>5</v>
      </c>
      <c r="N137" s="96" t="s">
        <v>561</v>
      </c>
      <c r="O137" s="97" t="s">
        <v>472</v>
      </c>
      <c r="P137" s="96"/>
      <c r="Q137" s="96"/>
      <c r="R137" s="96">
        <v>5</v>
      </c>
      <c r="S137" s="96"/>
      <c r="T137" s="95">
        <v>7200</v>
      </c>
      <c r="U137" s="94" t="s">
        <v>868</v>
      </c>
      <c r="V137" s="125"/>
      <c r="W137" s="125"/>
      <c r="X137" s="125"/>
      <c r="Y137" s="125"/>
      <c r="Z137" s="125"/>
      <c r="AA137" s="125"/>
      <c r="AB137" s="125"/>
      <c r="AC137" s="125"/>
      <c r="AD137" s="125"/>
      <c r="AE137" s="125"/>
      <c r="AF137" s="125"/>
      <c r="AG137" s="125"/>
      <c r="AH137" s="125"/>
      <c r="AI137" s="125"/>
      <c r="AJ137" s="125"/>
      <c r="AK137" s="125"/>
      <c r="AL137" s="125"/>
      <c r="AM137" s="125"/>
      <c r="AN137" s="125"/>
      <c r="AO137" s="125"/>
      <c r="AP137" s="125"/>
      <c r="AQ137" s="125"/>
      <c r="AR137" s="125"/>
      <c r="AS137" s="125"/>
      <c r="AT137" s="125"/>
      <c r="AU137" s="125"/>
      <c r="AV137" s="125"/>
      <c r="AW137" s="125"/>
      <c r="AX137" s="125"/>
      <c r="AY137" s="125"/>
      <c r="AZ137" s="125"/>
      <c r="BA137" s="125"/>
      <c r="BB137" s="125"/>
      <c r="BC137" s="125"/>
      <c r="BD137" s="125"/>
      <c r="BE137" s="125"/>
      <c r="BF137" s="125"/>
      <c r="BG137" s="125"/>
      <c r="BH137" s="125"/>
    </row>
    <row r="138" spans="1:60" s="124" customFormat="1" ht="116.25">
      <c r="A138" s="127"/>
      <c r="B138" s="92" t="s">
        <v>447</v>
      </c>
      <c r="C138" s="100" t="s">
        <v>555</v>
      </c>
      <c r="D138" s="100"/>
      <c r="E138" s="100" t="s">
        <v>667</v>
      </c>
      <c r="F138" s="100" t="s">
        <v>666</v>
      </c>
      <c r="G138" s="100" t="s">
        <v>1020</v>
      </c>
      <c r="H138" s="100" t="s">
        <v>255</v>
      </c>
      <c r="I138" s="100"/>
      <c r="J138" s="100" t="s">
        <v>253</v>
      </c>
      <c r="K138" s="96" t="s">
        <v>63</v>
      </c>
      <c r="L138" s="99">
        <f t="shared" si="2"/>
        <v>62900</v>
      </c>
      <c r="M138" s="98">
        <f t="shared" si="3"/>
        <v>10</v>
      </c>
      <c r="N138" s="96" t="s">
        <v>553</v>
      </c>
      <c r="O138" s="96"/>
      <c r="P138" s="97" t="s">
        <v>472</v>
      </c>
      <c r="Q138" s="96"/>
      <c r="R138" s="96">
        <v>10</v>
      </c>
      <c r="S138" s="96"/>
      <c r="T138" s="95">
        <v>6290</v>
      </c>
      <c r="U138" s="94" t="s">
        <v>953</v>
      </c>
      <c r="V138" s="125"/>
      <c r="W138" s="125"/>
      <c r="X138" s="125"/>
      <c r="Y138" s="125"/>
      <c r="Z138" s="125"/>
      <c r="AA138" s="125"/>
      <c r="AB138" s="125"/>
      <c r="AC138" s="125"/>
      <c r="AD138" s="125"/>
      <c r="AE138" s="125"/>
      <c r="AF138" s="125"/>
      <c r="AG138" s="125"/>
      <c r="AH138" s="125"/>
      <c r="AI138" s="125"/>
      <c r="AJ138" s="125"/>
      <c r="AK138" s="125"/>
      <c r="AL138" s="125"/>
      <c r="AM138" s="125"/>
      <c r="AN138" s="125"/>
      <c r="AO138" s="125"/>
      <c r="AP138" s="125"/>
      <c r="AQ138" s="125"/>
      <c r="AR138" s="125"/>
      <c r="AS138" s="125"/>
      <c r="AT138" s="125"/>
      <c r="AU138" s="125"/>
      <c r="AV138" s="125"/>
      <c r="AW138" s="125"/>
      <c r="AX138" s="125"/>
      <c r="AY138" s="125"/>
      <c r="AZ138" s="125"/>
      <c r="BA138" s="125"/>
      <c r="BB138" s="125"/>
      <c r="BC138" s="125"/>
      <c r="BD138" s="125"/>
      <c r="BE138" s="125"/>
      <c r="BF138" s="125"/>
      <c r="BG138" s="125"/>
      <c r="BH138" s="125"/>
    </row>
    <row r="139" spans="1:60" s="124" customFormat="1" ht="116.25">
      <c r="A139" s="127"/>
      <c r="B139" s="92" t="s">
        <v>447</v>
      </c>
      <c r="C139" s="100" t="s">
        <v>555</v>
      </c>
      <c r="D139" s="100"/>
      <c r="E139" s="100" t="s">
        <v>667</v>
      </c>
      <c r="F139" s="100" t="s">
        <v>666</v>
      </c>
      <c r="G139" s="100" t="s">
        <v>1020</v>
      </c>
      <c r="H139" s="100" t="s">
        <v>363</v>
      </c>
      <c r="I139" s="100"/>
      <c r="J139" s="100" t="s">
        <v>205</v>
      </c>
      <c r="K139" s="96" t="s">
        <v>63</v>
      </c>
      <c r="L139" s="99">
        <f t="shared" si="2"/>
        <v>150000</v>
      </c>
      <c r="M139" s="98">
        <f t="shared" si="3"/>
        <v>25</v>
      </c>
      <c r="N139" s="96" t="s">
        <v>553</v>
      </c>
      <c r="O139" s="96"/>
      <c r="P139" s="97" t="s">
        <v>472</v>
      </c>
      <c r="Q139" s="96"/>
      <c r="R139" s="96">
        <v>25</v>
      </c>
      <c r="S139" s="96"/>
      <c r="T139" s="95">
        <v>6000</v>
      </c>
      <c r="U139" s="94" t="s">
        <v>1022</v>
      </c>
      <c r="V139" s="125"/>
      <c r="W139" s="125"/>
      <c r="X139" s="125"/>
      <c r="Y139" s="125"/>
      <c r="Z139" s="125"/>
      <c r="AA139" s="125"/>
      <c r="AB139" s="125"/>
      <c r="AC139" s="125"/>
      <c r="AD139" s="125"/>
      <c r="AE139" s="125"/>
      <c r="AF139" s="125"/>
      <c r="AG139" s="125"/>
      <c r="AH139" s="125"/>
      <c r="AI139" s="125"/>
      <c r="AJ139" s="125"/>
      <c r="AK139" s="125"/>
      <c r="AL139" s="125"/>
      <c r="AM139" s="125"/>
      <c r="AN139" s="125"/>
      <c r="AO139" s="125"/>
      <c r="AP139" s="125"/>
      <c r="AQ139" s="125"/>
      <c r="AR139" s="125"/>
      <c r="AS139" s="125"/>
      <c r="AT139" s="125"/>
      <c r="AU139" s="125"/>
      <c r="AV139" s="125"/>
      <c r="AW139" s="125"/>
      <c r="AX139" s="125"/>
      <c r="AY139" s="125"/>
      <c r="AZ139" s="125"/>
      <c r="BA139" s="125"/>
      <c r="BB139" s="125"/>
      <c r="BC139" s="125"/>
      <c r="BD139" s="125"/>
      <c r="BE139" s="125"/>
      <c r="BF139" s="125"/>
      <c r="BG139" s="125"/>
      <c r="BH139" s="125"/>
    </row>
    <row r="140" spans="1:60" s="124" customFormat="1" ht="116.25">
      <c r="A140" s="127"/>
      <c r="B140" s="92" t="s">
        <v>447</v>
      </c>
      <c r="C140" s="100" t="s">
        <v>555</v>
      </c>
      <c r="D140" s="100"/>
      <c r="E140" s="100" t="s">
        <v>667</v>
      </c>
      <c r="F140" s="100" t="s">
        <v>666</v>
      </c>
      <c r="G140" s="100" t="s">
        <v>1020</v>
      </c>
      <c r="H140" s="100" t="s">
        <v>156</v>
      </c>
      <c r="I140" s="100"/>
      <c r="J140" s="96" t="s">
        <v>154</v>
      </c>
      <c r="K140" s="96" t="s">
        <v>149</v>
      </c>
      <c r="L140" s="99">
        <f t="shared" si="2"/>
        <v>89880</v>
      </c>
      <c r="M140" s="98">
        <f t="shared" si="3"/>
        <v>20</v>
      </c>
      <c r="N140" s="96" t="s">
        <v>553</v>
      </c>
      <c r="O140" s="96"/>
      <c r="P140" s="97" t="s">
        <v>472</v>
      </c>
      <c r="Q140" s="96"/>
      <c r="R140" s="96">
        <v>20</v>
      </c>
      <c r="S140" s="96"/>
      <c r="T140" s="95">
        <v>4494</v>
      </c>
      <c r="U140" s="94" t="s">
        <v>1022</v>
      </c>
      <c r="V140" s="125"/>
      <c r="W140" s="125"/>
      <c r="X140" s="125"/>
      <c r="Y140" s="125"/>
      <c r="Z140" s="125"/>
      <c r="AA140" s="125"/>
      <c r="AB140" s="125"/>
      <c r="AC140" s="125"/>
      <c r="AD140" s="125"/>
      <c r="AE140" s="125"/>
      <c r="AF140" s="125"/>
      <c r="AG140" s="125"/>
      <c r="AH140" s="125"/>
      <c r="AI140" s="125"/>
      <c r="AJ140" s="125"/>
      <c r="AK140" s="125"/>
      <c r="AL140" s="125"/>
      <c r="AM140" s="125"/>
      <c r="AN140" s="125"/>
      <c r="AO140" s="125"/>
      <c r="AP140" s="125"/>
      <c r="AQ140" s="125"/>
      <c r="AR140" s="125"/>
      <c r="AS140" s="125"/>
      <c r="AT140" s="125"/>
      <c r="AU140" s="125"/>
      <c r="AV140" s="125"/>
      <c r="AW140" s="125"/>
      <c r="AX140" s="125"/>
      <c r="AY140" s="125"/>
      <c r="AZ140" s="125"/>
      <c r="BA140" s="125"/>
      <c r="BB140" s="125"/>
      <c r="BC140" s="125"/>
      <c r="BD140" s="125"/>
      <c r="BE140" s="125"/>
      <c r="BF140" s="125"/>
      <c r="BG140" s="125"/>
      <c r="BH140" s="125"/>
    </row>
    <row r="141" spans="1:60" s="124" customFormat="1" ht="302.25">
      <c r="A141" s="127"/>
      <c r="B141" s="92" t="s">
        <v>447</v>
      </c>
      <c r="C141" s="100" t="s">
        <v>555</v>
      </c>
      <c r="D141" s="100"/>
      <c r="E141" s="100" t="s">
        <v>667</v>
      </c>
      <c r="F141" s="100" t="s">
        <v>666</v>
      </c>
      <c r="G141" s="100" t="s">
        <v>1020</v>
      </c>
      <c r="H141" s="100" t="s">
        <v>458</v>
      </c>
      <c r="I141" s="100"/>
      <c r="J141" s="100" t="s">
        <v>440</v>
      </c>
      <c r="K141" s="96" t="s">
        <v>40</v>
      </c>
      <c r="L141" s="99">
        <f t="shared" si="2"/>
        <v>140400</v>
      </c>
      <c r="M141" s="98">
        <f t="shared" si="3"/>
        <v>18</v>
      </c>
      <c r="N141" s="96" t="s">
        <v>553</v>
      </c>
      <c r="O141" s="98"/>
      <c r="P141" s="97" t="s">
        <v>472</v>
      </c>
      <c r="Q141" s="98">
        <v>18</v>
      </c>
      <c r="R141" s="98"/>
      <c r="S141" s="96" t="s">
        <v>1017</v>
      </c>
      <c r="T141" s="95">
        <v>7800</v>
      </c>
      <c r="U141" s="131" t="s">
        <v>1021</v>
      </c>
      <c r="V141" s="125"/>
      <c r="W141" s="125"/>
      <c r="X141" s="125"/>
      <c r="Y141" s="125"/>
      <c r="Z141" s="125"/>
      <c r="AA141" s="125"/>
      <c r="AB141" s="125"/>
      <c r="AC141" s="125"/>
      <c r="AD141" s="125"/>
      <c r="AE141" s="125"/>
      <c r="AF141" s="125"/>
      <c r="AG141" s="125"/>
      <c r="AH141" s="125"/>
      <c r="AI141" s="125"/>
      <c r="AJ141" s="125"/>
      <c r="AK141" s="125"/>
      <c r="AL141" s="125"/>
      <c r="AM141" s="125"/>
      <c r="AN141" s="125"/>
      <c r="AO141" s="125"/>
      <c r="AP141" s="125"/>
      <c r="AQ141" s="125"/>
      <c r="AR141" s="125"/>
      <c r="AS141" s="125"/>
      <c r="AT141" s="125"/>
      <c r="AU141" s="125"/>
      <c r="AV141" s="125"/>
      <c r="AW141" s="125"/>
      <c r="AX141" s="125"/>
      <c r="AY141" s="125"/>
      <c r="AZ141" s="125"/>
      <c r="BA141" s="125"/>
      <c r="BB141" s="125"/>
      <c r="BC141" s="125"/>
      <c r="BD141" s="125"/>
      <c r="BE141" s="125"/>
      <c r="BF141" s="125"/>
      <c r="BG141" s="125"/>
      <c r="BH141" s="125"/>
    </row>
    <row r="142" spans="1:60" s="124" customFormat="1" ht="116.25">
      <c r="A142" s="127"/>
      <c r="B142" s="92" t="s">
        <v>447</v>
      </c>
      <c r="C142" s="100" t="s">
        <v>555</v>
      </c>
      <c r="D142" s="100"/>
      <c r="E142" s="100" t="s">
        <v>667</v>
      </c>
      <c r="F142" s="100" t="s">
        <v>666</v>
      </c>
      <c r="G142" s="100" t="s">
        <v>1020</v>
      </c>
      <c r="H142" s="100" t="s">
        <v>50</v>
      </c>
      <c r="I142" s="100"/>
      <c r="J142" s="100" t="s">
        <v>46</v>
      </c>
      <c r="K142" s="96" t="s">
        <v>40</v>
      </c>
      <c r="L142" s="99">
        <f t="shared" si="2"/>
        <v>165000</v>
      </c>
      <c r="M142" s="98">
        <f t="shared" si="3"/>
        <v>30</v>
      </c>
      <c r="N142" s="96" t="s">
        <v>553</v>
      </c>
      <c r="O142" s="98"/>
      <c r="P142" s="97" t="s">
        <v>472</v>
      </c>
      <c r="Q142" s="98">
        <v>9</v>
      </c>
      <c r="R142" s="98">
        <v>21</v>
      </c>
      <c r="S142" s="96" t="s">
        <v>1019</v>
      </c>
      <c r="T142" s="95">
        <v>5500</v>
      </c>
      <c r="U142" s="131" t="s">
        <v>1018</v>
      </c>
      <c r="V142" s="125"/>
      <c r="W142" s="125"/>
      <c r="X142" s="125"/>
      <c r="Y142" s="125"/>
      <c r="Z142" s="125"/>
      <c r="AA142" s="125"/>
      <c r="AB142" s="125"/>
      <c r="AC142" s="125"/>
      <c r="AD142" s="125"/>
      <c r="AE142" s="125"/>
      <c r="AF142" s="125"/>
      <c r="AG142" s="125"/>
      <c r="AH142" s="125"/>
      <c r="AI142" s="125"/>
      <c r="AJ142" s="125"/>
      <c r="AK142" s="125"/>
      <c r="AL142" s="125"/>
      <c r="AM142" s="125"/>
      <c r="AN142" s="125"/>
      <c r="AO142" s="125"/>
      <c r="AP142" s="125"/>
      <c r="AQ142" s="125"/>
      <c r="AR142" s="125"/>
      <c r="AS142" s="125"/>
      <c r="AT142" s="125"/>
      <c r="AU142" s="125"/>
      <c r="AV142" s="125"/>
      <c r="AW142" s="125"/>
      <c r="AX142" s="125"/>
      <c r="AY142" s="125"/>
      <c r="AZ142" s="125"/>
      <c r="BA142" s="125"/>
      <c r="BB142" s="125"/>
      <c r="BC142" s="125"/>
      <c r="BD142" s="125"/>
      <c r="BE142" s="125"/>
      <c r="BF142" s="125"/>
      <c r="BG142" s="125"/>
      <c r="BH142" s="125"/>
    </row>
    <row r="143" spans="1:60" s="124" customFormat="1" ht="116.25">
      <c r="A143" s="127"/>
      <c r="B143" s="92" t="s">
        <v>447</v>
      </c>
      <c r="C143" s="100" t="s">
        <v>555</v>
      </c>
      <c r="D143" s="100"/>
      <c r="E143" s="100" t="s">
        <v>667</v>
      </c>
      <c r="F143" s="100" t="s">
        <v>666</v>
      </c>
      <c r="G143" s="100" t="s">
        <v>1011</v>
      </c>
      <c r="H143" s="100" t="s">
        <v>365</v>
      </c>
      <c r="I143" s="100"/>
      <c r="J143" s="100" t="s">
        <v>110</v>
      </c>
      <c r="K143" s="96" t="s">
        <v>63</v>
      </c>
      <c r="L143" s="99">
        <f t="shared" si="2"/>
        <v>247500</v>
      </c>
      <c r="M143" s="98">
        <f t="shared" si="3"/>
        <v>33</v>
      </c>
      <c r="N143" s="96" t="s">
        <v>553</v>
      </c>
      <c r="O143" s="98"/>
      <c r="P143" s="97" t="s">
        <v>472</v>
      </c>
      <c r="Q143" s="98">
        <v>33</v>
      </c>
      <c r="R143" s="98"/>
      <c r="S143" s="149"/>
      <c r="T143" s="95">
        <v>7500</v>
      </c>
      <c r="U143" s="131" t="s">
        <v>953</v>
      </c>
      <c r="V143" s="125"/>
      <c r="W143" s="125"/>
      <c r="X143" s="125"/>
      <c r="Y143" s="125"/>
      <c r="Z143" s="125"/>
      <c r="AA143" s="125"/>
      <c r="AB143" s="125"/>
      <c r="AC143" s="125"/>
      <c r="AD143" s="125"/>
      <c r="AE143" s="125"/>
      <c r="AF143" s="125"/>
      <c r="AG143" s="125"/>
      <c r="AH143" s="125"/>
      <c r="AI143" s="125"/>
      <c r="AJ143" s="125"/>
      <c r="AK143" s="125"/>
      <c r="AL143" s="125"/>
      <c r="AM143" s="125"/>
      <c r="AN143" s="125"/>
      <c r="AO143" s="125"/>
      <c r="AP143" s="125"/>
      <c r="AQ143" s="125"/>
      <c r="AR143" s="125"/>
      <c r="AS143" s="125"/>
      <c r="AT143" s="125"/>
      <c r="AU143" s="125"/>
      <c r="AV143" s="125"/>
      <c r="AW143" s="125"/>
      <c r="AX143" s="125"/>
      <c r="AY143" s="125"/>
      <c r="AZ143" s="125"/>
      <c r="BA143" s="125"/>
      <c r="BB143" s="125"/>
      <c r="BC143" s="125"/>
      <c r="BD143" s="125"/>
      <c r="BE143" s="125"/>
      <c r="BF143" s="125"/>
      <c r="BG143" s="125"/>
      <c r="BH143" s="125"/>
    </row>
    <row r="144" spans="1:60" s="124" customFormat="1" ht="302.25">
      <c r="A144" s="127"/>
      <c r="B144" s="92" t="s">
        <v>447</v>
      </c>
      <c r="C144" s="100" t="s">
        <v>555</v>
      </c>
      <c r="D144" s="100"/>
      <c r="E144" s="100" t="s">
        <v>667</v>
      </c>
      <c r="F144" s="100" t="s">
        <v>666</v>
      </c>
      <c r="G144" s="100" t="s">
        <v>1011</v>
      </c>
      <c r="H144" s="100" t="s">
        <v>458</v>
      </c>
      <c r="I144" s="100"/>
      <c r="J144" s="100" t="s">
        <v>440</v>
      </c>
      <c r="K144" s="96" t="s">
        <v>40</v>
      </c>
      <c r="L144" s="99">
        <f t="shared" si="2"/>
        <v>35100</v>
      </c>
      <c r="M144" s="98">
        <f t="shared" si="3"/>
        <v>9</v>
      </c>
      <c r="N144" s="96" t="s">
        <v>553</v>
      </c>
      <c r="O144" s="96"/>
      <c r="P144" s="97" t="s">
        <v>472</v>
      </c>
      <c r="Q144" s="96">
        <v>9</v>
      </c>
      <c r="R144" s="96"/>
      <c r="S144" s="96" t="s">
        <v>1017</v>
      </c>
      <c r="T144" s="95">
        <v>3900</v>
      </c>
      <c r="U144" s="94" t="s">
        <v>1016</v>
      </c>
      <c r="V144" s="125"/>
      <c r="W144" s="125"/>
      <c r="X144" s="125"/>
      <c r="Y144" s="125"/>
      <c r="Z144" s="125"/>
      <c r="AA144" s="125"/>
      <c r="AB144" s="125"/>
      <c r="AC144" s="125"/>
      <c r="AD144" s="125"/>
      <c r="AE144" s="125"/>
      <c r="AF144" s="125"/>
      <c r="AG144" s="125"/>
      <c r="AH144" s="125"/>
      <c r="AI144" s="125"/>
      <c r="AJ144" s="125"/>
      <c r="AK144" s="125"/>
      <c r="AL144" s="125"/>
      <c r="AM144" s="125"/>
      <c r="AN144" s="125"/>
      <c r="AO144" s="125"/>
      <c r="AP144" s="125"/>
      <c r="AQ144" s="125"/>
      <c r="AR144" s="125"/>
      <c r="AS144" s="125"/>
      <c r="AT144" s="125"/>
      <c r="AU144" s="125"/>
      <c r="AV144" s="125"/>
      <c r="AW144" s="125"/>
      <c r="AX144" s="125"/>
      <c r="AY144" s="125"/>
      <c r="AZ144" s="125"/>
      <c r="BA144" s="125"/>
      <c r="BB144" s="125"/>
      <c r="BC144" s="125"/>
      <c r="BD144" s="125"/>
      <c r="BE144" s="125"/>
      <c r="BF144" s="125"/>
      <c r="BG144" s="125"/>
      <c r="BH144" s="125"/>
    </row>
    <row r="145" spans="1:60" s="124" customFormat="1" ht="116.25">
      <c r="A145" s="127"/>
      <c r="B145" s="92" t="s">
        <v>447</v>
      </c>
      <c r="C145" s="100" t="s">
        <v>555</v>
      </c>
      <c r="D145" s="100"/>
      <c r="E145" s="100" t="s">
        <v>667</v>
      </c>
      <c r="F145" s="100" t="s">
        <v>666</v>
      </c>
      <c r="G145" s="100" t="s">
        <v>1011</v>
      </c>
      <c r="H145" s="100" t="s">
        <v>232</v>
      </c>
      <c r="I145" s="100"/>
      <c r="J145" s="100" t="s">
        <v>230</v>
      </c>
      <c r="K145" s="96" t="s">
        <v>13</v>
      </c>
      <c r="L145" s="99">
        <f t="shared" si="2"/>
        <v>3500</v>
      </c>
      <c r="M145" s="98">
        <f t="shared" si="3"/>
        <v>1</v>
      </c>
      <c r="N145" s="96" t="s">
        <v>553</v>
      </c>
      <c r="O145" s="96"/>
      <c r="P145" s="97" t="s">
        <v>472</v>
      </c>
      <c r="Q145" s="96">
        <v>1</v>
      </c>
      <c r="R145" s="96"/>
      <c r="S145" s="134"/>
      <c r="T145" s="95">
        <v>3500</v>
      </c>
      <c r="U145" s="94" t="s">
        <v>1013</v>
      </c>
      <c r="V145" s="125"/>
      <c r="W145" s="125"/>
      <c r="X145" s="125"/>
      <c r="Y145" s="125"/>
      <c r="Z145" s="125"/>
      <c r="AA145" s="125"/>
      <c r="AB145" s="125"/>
      <c r="AC145" s="125"/>
      <c r="AD145" s="125"/>
      <c r="AE145" s="125"/>
      <c r="AF145" s="125"/>
      <c r="AG145" s="125"/>
      <c r="AH145" s="125"/>
      <c r="AI145" s="125"/>
      <c r="AJ145" s="125"/>
      <c r="AK145" s="125"/>
      <c r="AL145" s="125"/>
      <c r="AM145" s="125"/>
      <c r="AN145" s="125"/>
      <c r="AO145" s="125"/>
      <c r="AP145" s="125"/>
      <c r="AQ145" s="125"/>
      <c r="AR145" s="125"/>
      <c r="AS145" s="125"/>
      <c r="AT145" s="125"/>
      <c r="AU145" s="125"/>
      <c r="AV145" s="125"/>
      <c r="AW145" s="125"/>
      <c r="AX145" s="125"/>
      <c r="AY145" s="125"/>
      <c r="AZ145" s="125"/>
      <c r="BA145" s="125"/>
      <c r="BB145" s="125"/>
      <c r="BC145" s="125"/>
      <c r="BD145" s="125"/>
      <c r="BE145" s="125"/>
      <c r="BF145" s="125"/>
      <c r="BG145" s="125"/>
      <c r="BH145" s="125"/>
    </row>
    <row r="146" spans="1:60" s="124" customFormat="1" ht="116.25">
      <c r="A146" s="127"/>
      <c r="B146" s="92" t="s">
        <v>447</v>
      </c>
      <c r="C146" s="100" t="s">
        <v>555</v>
      </c>
      <c r="D146" s="100"/>
      <c r="E146" s="100" t="s">
        <v>667</v>
      </c>
      <c r="F146" s="100" t="s">
        <v>666</v>
      </c>
      <c r="G146" s="100" t="s">
        <v>1011</v>
      </c>
      <c r="H146" s="100" t="s">
        <v>350</v>
      </c>
      <c r="I146" s="100"/>
      <c r="J146" s="100" t="s">
        <v>103</v>
      </c>
      <c r="K146" s="96" t="s">
        <v>63</v>
      </c>
      <c r="L146" s="99">
        <f t="shared" si="2"/>
        <v>132000</v>
      </c>
      <c r="M146" s="98">
        <f t="shared" si="3"/>
        <v>24</v>
      </c>
      <c r="N146" s="96" t="s">
        <v>553</v>
      </c>
      <c r="O146" s="96"/>
      <c r="P146" s="97" t="s">
        <v>472</v>
      </c>
      <c r="Q146" s="96"/>
      <c r="R146" s="96">
        <v>24</v>
      </c>
      <c r="S146" s="96"/>
      <c r="T146" s="95">
        <v>5500</v>
      </c>
      <c r="U146" s="109" t="s">
        <v>1015</v>
      </c>
      <c r="V146" s="125"/>
      <c r="W146" s="125"/>
      <c r="X146" s="125"/>
      <c r="Y146" s="125"/>
      <c r="Z146" s="125"/>
      <c r="AA146" s="125"/>
      <c r="AB146" s="125"/>
      <c r="AC146" s="125"/>
      <c r="AD146" s="125"/>
      <c r="AE146" s="125"/>
      <c r="AF146" s="125"/>
      <c r="AG146" s="125"/>
      <c r="AH146" s="125"/>
      <c r="AI146" s="125"/>
      <c r="AJ146" s="125"/>
      <c r="AK146" s="125"/>
      <c r="AL146" s="125"/>
      <c r="AM146" s="125"/>
      <c r="AN146" s="125"/>
      <c r="AO146" s="125"/>
      <c r="AP146" s="125"/>
      <c r="AQ146" s="125"/>
      <c r="AR146" s="125"/>
      <c r="AS146" s="125"/>
      <c r="AT146" s="125"/>
      <c r="AU146" s="125"/>
      <c r="AV146" s="125"/>
      <c r="AW146" s="125"/>
      <c r="AX146" s="125"/>
      <c r="AY146" s="125"/>
      <c r="AZ146" s="125"/>
      <c r="BA146" s="125"/>
      <c r="BB146" s="125"/>
      <c r="BC146" s="125"/>
      <c r="BD146" s="125"/>
      <c r="BE146" s="125"/>
      <c r="BF146" s="125"/>
      <c r="BG146" s="125"/>
      <c r="BH146" s="125"/>
    </row>
    <row r="147" spans="1:60" s="124" customFormat="1" ht="116.25">
      <c r="A147" s="127"/>
      <c r="B147" s="92" t="s">
        <v>447</v>
      </c>
      <c r="C147" s="100" t="s">
        <v>555</v>
      </c>
      <c r="D147" s="100"/>
      <c r="E147" s="100" t="s">
        <v>667</v>
      </c>
      <c r="F147" s="100" t="s">
        <v>666</v>
      </c>
      <c r="G147" s="100" t="s">
        <v>1011</v>
      </c>
      <c r="H147" s="100" t="s">
        <v>464</v>
      </c>
      <c r="I147" s="100"/>
      <c r="J147" s="100" t="s">
        <v>437</v>
      </c>
      <c r="K147" s="96" t="s">
        <v>63</v>
      </c>
      <c r="L147" s="99">
        <f t="shared" si="2"/>
        <v>74030</v>
      </c>
      <c r="M147" s="98">
        <f t="shared" si="3"/>
        <v>11</v>
      </c>
      <c r="N147" s="96" t="s">
        <v>553</v>
      </c>
      <c r="O147" s="96"/>
      <c r="P147" s="97" t="s">
        <v>472</v>
      </c>
      <c r="Q147" s="96">
        <v>4</v>
      </c>
      <c r="R147" s="96">
        <v>7</v>
      </c>
      <c r="S147" s="134"/>
      <c r="T147" s="104">
        <v>6730</v>
      </c>
      <c r="U147" s="94" t="s">
        <v>1014</v>
      </c>
      <c r="V147" s="125"/>
      <c r="W147" s="125"/>
      <c r="X147" s="125"/>
      <c r="Y147" s="125"/>
      <c r="Z147" s="125"/>
      <c r="AA147" s="125"/>
      <c r="AB147" s="125"/>
      <c r="AC147" s="125"/>
      <c r="AD147" s="125"/>
      <c r="AE147" s="125"/>
      <c r="AF147" s="125"/>
      <c r="AG147" s="125"/>
      <c r="AH147" s="125"/>
      <c r="AI147" s="125"/>
      <c r="AJ147" s="125"/>
      <c r="AK147" s="125"/>
      <c r="AL147" s="125"/>
      <c r="AM147" s="125"/>
      <c r="AN147" s="125"/>
      <c r="AO147" s="125"/>
      <c r="AP147" s="125"/>
      <c r="AQ147" s="125"/>
      <c r="AR147" s="125"/>
      <c r="AS147" s="125"/>
      <c r="AT147" s="125"/>
      <c r="AU147" s="125"/>
      <c r="AV147" s="125"/>
      <c r="AW147" s="125"/>
      <c r="AX147" s="125"/>
      <c r="AY147" s="125"/>
      <c r="AZ147" s="125"/>
      <c r="BA147" s="125"/>
      <c r="BB147" s="125"/>
      <c r="BC147" s="125"/>
      <c r="BD147" s="125"/>
      <c r="BE147" s="125"/>
      <c r="BF147" s="125"/>
      <c r="BG147" s="125"/>
      <c r="BH147" s="125"/>
    </row>
    <row r="148" spans="1:60" s="124" customFormat="1" ht="116.25">
      <c r="A148" s="127"/>
      <c r="B148" s="92" t="s">
        <v>447</v>
      </c>
      <c r="C148" s="100" t="s">
        <v>555</v>
      </c>
      <c r="D148" s="100"/>
      <c r="E148" s="100" t="s">
        <v>667</v>
      </c>
      <c r="F148" s="100" t="s">
        <v>666</v>
      </c>
      <c r="G148" s="100" t="s">
        <v>1011</v>
      </c>
      <c r="H148" s="100" t="s">
        <v>265</v>
      </c>
      <c r="I148" s="100"/>
      <c r="J148" s="100" t="s">
        <v>263</v>
      </c>
      <c r="K148" s="96" t="s">
        <v>63</v>
      </c>
      <c r="L148" s="99">
        <f t="shared" si="2"/>
        <v>79500</v>
      </c>
      <c r="M148" s="98">
        <f t="shared" si="3"/>
        <v>10</v>
      </c>
      <c r="N148" s="96" t="s">
        <v>553</v>
      </c>
      <c r="O148" s="98"/>
      <c r="P148" s="97" t="s">
        <v>472</v>
      </c>
      <c r="Q148" s="98"/>
      <c r="R148" s="98">
        <v>10</v>
      </c>
      <c r="S148" s="98"/>
      <c r="T148" s="95">
        <v>7950</v>
      </c>
      <c r="U148" s="109" t="s">
        <v>1013</v>
      </c>
      <c r="V148" s="125"/>
      <c r="W148" s="125"/>
      <c r="X148" s="125"/>
      <c r="Y148" s="125"/>
      <c r="Z148" s="125"/>
      <c r="AA148" s="125"/>
      <c r="AB148" s="125"/>
      <c r="AC148" s="125"/>
      <c r="AD148" s="125"/>
      <c r="AE148" s="125"/>
      <c r="AF148" s="125"/>
      <c r="AG148" s="125"/>
      <c r="AH148" s="125"/>
      <c r="AI148" s="125"/>
      <c r="AJ148" s="125"/>
      <c r="AK148" s="125"/>
      <c r="AL148" s="125"/>
      <c r="AM148" s="125"/>
      <c r="AN148" s="125"/>
      <c r="AO148" s="125"/>
      <c r="AP148" s="125"/>
      <c r="AQ148" s="125"/>
      <c r="AR148" s="125"/>
      <c r="AS148" s="125"/>
      <c r="AT148" s="125"/>
      <c r="AU148" s="125"/>
      <c r="AV148" s="125"/>
      <c r="AW148" s="125"/>
      <c r="AX148" s="125"/>
      <c r="AY148" s="125"/>
      <c r="AZ148" s="125"/>
      <c r="BA148" s="125"/>
      <c r="BB148" s="125"/>
      <c r="BC148" s="125"/>
      <c r="BD148" s="125"/>
      <c r="BE148" s="125"/>
      <c r="BF148" s="125"/>
      <c r="BG148" s="125"/>
      <c r="BH148" s="125"/>
    </row>
    <row r="149" spans="1:60" s="124" customFormat="1" ht="116.25">
      <c r="A149" s="127"/>
      <c r="B149" s="92" t="s">
        <v>447</v>
      </c>
      <c r="C149" s="100" t="s">
        <v>555</v>
      </c>
      <c r="D149" s="100"/>
      <c r="E149" s="100" t="s">
        <v>667</v>
      </c>
      <c r="F149" s="100" t="s">
        <v>666</v>
      </c>
      <c r="G149" s="100" t="s">
        <v>1011</v>
      </c>
      <c r="H149" s="100" t="s">
        <v>148</v>
      </c>
      <c r="I149" s="100"/>
      <c r="J149" s="100" t="s">
        <v>146</v>
      </c>
      <c r="K149" s="96" t="s">
        <v>63</v>
      </c>
      <c r="L149" s="99">
        <f t="shared" si="2"/>
        <v>38000</v>
      </c>
      <c r="M149" s="98">
        <f t="shared" si="3"/>
        <v>10</v>
      </c>
      <c r="N149" s="96" t="s">
        <v>553</v>
      </c>
      <c r="O149" s="98"/>
      <c r="P149" s="97" t="s">
        <v>472</v>
      </c>
      <c r="Q149" s="98">
        <v>10</v>
      </c>
      <c r="R149" s="98"/>
      <c r="S149" s="149"/>
      <c r="T149" s="95">
        <v>3800</v>
      </c>
      <c r="U149" s="131" t="s">
        <v>1012</v>
      </c>
      <c r="V149" s="125"/>
      <c r="W149" s="125"/>
      <c r="X149" s="125"/>
      <c r="Y149" s="125"/>
      <c r="Z149" s="125"/>
      <c r="AA149" s="125"/>
      <c r="AB149" s="125"/>
      <c r="AC149" s="125"/>
      <c r="AD149" s="125"/>
      <c r="AE149" s="125"/>
      <c r="AF149" s="125"/>
      <c r="AG149" s="125"/>
      <c r="AH149" s="125"/>
      <c r="AI149" s="125"/>
      <c r="AJ149" s="125"/>
      <c r="AK149" s="125"/>
      <c r="AL149" s="125"/>
      <c r="AM149" s="125"/>
      <c r="AN149" s="125"/>
      <c r="AO149" s="125"/>
      <c r="AP149" s="125"/>
      <c r="AQ149" s="125"/>
      <c r="AR149" s="125"/>
      <c r="AS149" s="125"/>
      <c r="AT149" s="125"/>
      <c r="AU149" s="125"/>
      <c r="AV149" s="125"/>
      <c r="AW149" s="125"/>
      <c r="AX149" s="125"/>
      <c r="AY149" s="125"/>
      <c r="AZ149" s="125"/>
      <c r="BA149" s="125"/>
      <c r="BB149" s="125"/>
      <c r="BC149" s="125"/>
      <c r="BD149" s="125"/>
      <c r="BE149" s="125"/>
      <c r="BF149" s="125"/>
      <c r="BG149" s="125"/>
      <c r="BH149" s="125"/>
    </row>
    <row r="150" spans="1:60" s="124" customFormat="1" ht="116.25">
      <c r="A150" s="127"/>
      <c r="B150" s="92" t="s">
        <v>447</v>
      </c>
      <c r="C150" s="100" t="s">
        <v>555</v>
      </c>
      <c r="D150" s="100"/>
      <c r="E150" s="100" t="s">
        <v>667</v>
      </c>
      <c r="F150" s="100" t="s">
        <v>666</v>
      </c>
      <c r="G150" s="100" t="s">
        <v>1011</v>
      </c>
      <c r="H150" s="100" t="s">
        <v>18</v>
      </c>
      <c r="I150" s="100"/>
      <c r="J150" s="100" t="s">
        <v>14</v>
      </c>
      <c r="K150" s="96" t="s">
        <v>13</v>
      </c>
      <c r="L150" s="99">
        <f t="shared" si="2"/>
        <v>50000</v>
      </c>
      <c r="M150" s="98">
        <f t="shared" si="3"/>
        <v>10</v>
      </c>
      <c r="N150" s="96" t="s">
        <v>553</v>
      </c>
      <c r="O150" s="98"/>
      <c r="P150" s="97" t="s">
        <v>472</v>
      </c>
      <c r="Q150" s="98"/>
      <c r="R150" s="98">
        <v>10</v>
      </c>
      <c r="S150" s="98"/>
      <c r="T150" s="95">
        <v>5000</v>
      </c>
      <c r="U150" s="131" t="s">
        <v>994</v>
      </c>
      <c r="V150" s="125"/>
      <c r="W150" s="125"/>
      <c r="X150" s="125"/>
      <c r="Y150" s="125"/>
      <c r="Z150" s="125"/>
      <c r="AA150" s="125"/>
      <c r="AB150" s="125"/>
      <c r="AC150" s="125"/>
      <c r="AD150" s="125"/>
      <c r="AE150" s="125"/>
      <c r="AF150" s="125"/>
      <c r="AG150" s="125"/>
      <c r="AH150" s="125"/>
      <c r="AI150" s="125"/>
      <c r="AJ150" s="125"/>
      <c r="AK150" s="125"/>
      <c r="AL150" s="125"/>
      <c r="AM150" s="125"/>
      <c r="AN150" s="125"/>
      <c r="AO150" s="125"/>
      <c r="AP150" s="125"/>
      <c r="AQ150" s="125"/>
      <c r="AR150" s="125"/>
      <c r="AS150" s="125"/>
      <c r="AT150" s="125"/>
      <c r="AU150" s="125"/>
      <c r="AV150" s="125"/>
      <c r="AW150" s="125"/>
      <c r="AX150" s="125"/>
      <c r="AY150" s="125"/>
      <c r="AZ150" s="125"/>
      <c r="BA150" s="125"/>
      <c r="BB150" s="125"/>
      <c r="BC150" s="125"/>
      <c r="BD150" s="125"/>
      <c r="BE150" s="125"/>
      <c r="BF150" s="125"/>
      <c r="BG150" s="125"/>
      <c r="BH150" s="125"/>
    </row>
    <row r="151" spans="1:60" s="124" customFormat="1" ht="116.25">
      <c r="A151" s="127"/>
      <c r="B151" s="92" t="s">
        <v>447</v>
      </c>
      <c r="C151" s="100" t="s">
        <v>555</v>
      </c>
      <c r="D151" s="100"/>
      <c r="E151" s="100" t="s">
        <v>667</v>
      </c>
      <c r="F151" s="100" t="s">
        <v>666</v>
      </c>
      <c r="G151" s="100" t="s">
        <v>1010</v>
      </c>
      <c r="H151" s="100" t="s">
        <v>464</v>
      </c>
      <c r="I151" s="100"/>
      <c r="J151" s="100" t="s">
        <v>437</v>
      </c>
      <c r="K151" s="96" t="s">
        <v>63</v>
      </c>
      <c r="L151" s="99">
        <f t="shared" si="2"/>
        <v>110570</v>
      </c>
      <c r="M151" s="98">
        <f t="shared" si="3"/>
        <v>1</v>
      </c>
      <c r="N151" s="96" t="s">
        <v>553</v>
      </c>
      <c r="O151" s="96"/>
      <c r="P151" s="97" t="s">
        <v>472</v>
      </c>
      <c r="Q151" s="96">
        <v>1</v>
      </c>
      <c r="R151" s="96"/>
      <c r="S151" s="96" t="s">
        <v>1009</v>
      </c>
      <c r="T151" s="95">
        <v>110570</v>
      </c>
      <c r="U151" s="94" t="s">
        <v>1008</v>
      </c>
      <c r="V151" s="125"/>
      <c r="W151" s="125"/>
      <c r="X151" s="125"/>
      <c r="Y151" s="125"/>
      <c r="Z151" s="125"/>
      <c r="AA151" s="125"/>
      <c r="AB151" s="125"/>
      <c r="AC151" s="125"/>
      <c r="AD151" s="125"/>
      <c r="AE151" s="125"/>
      <c r="AF151" s="125"/>
      <c r="AG151" s="125"/>
      <c r="AH151" s="125"/>
      <c r="AI151" s="125"/>
      <c r="AJ151" s="125"/>
      <c r="AK151" s="125"/>
      <c r="AL151" s="125"/>
      <c r="AM151" s="125"/>
      <c r="AN151" s="125"/>
      <c r="AO151" s="125"/>
      <c r="AP151" s="125"/>
      <c r="AQ151" s="125"/>
      <c r="AR151" s="125"/>
      <c r="AS151" s="125"/>
      <c r="AT151" s="125"/>
      <c r="AU151" s="125"/>
      <c r="AV151" s="125"/>
      <c r="AW151" s="125"/>
      <c r="AX151" s="125"/>
      <c r="AY151" s="125"/>
      <c r="AZ151" s="125"/>
      <c r="BA151" s="125"/>
      <c r="BB151" s="125"/>
      <c r="BC151" s="125"/>
      <c r="BD151" s="125"/>
      <c r="BE151" s="125"/>
      <c r="BF151" s="125"/>
      <c r="BG151" s="125"/>
      <c r="BH151" s="125"/>
    </row>
    <row r="152" spans="1:60" s="124" customFormat="1" ht="116.25">
      <c r="A152" s="127"/>
      <c r="B152" s="92" t="s">
        <v>447</v>
      </c>
      <c r="C152" s="100" t="s">
        <v>555</v>
      </c>
      <c r="D152" s="100"/>
      <c r="E152" s="100" t="s">
        <v>667</v>
      </c>
      <c r="F152" s="100" t="s">
        <v>666</v>
      </c>
      <c r="G152" s="100" t="s">
        <v>1006</v>
      </c>
      <c r="H152" s="100" t="s">
        <v>255</v>
      </c>
      <c r="I152" s="100"/>
      <c r="J152" s="100" t="s">
        <v>253</v>
      </c>
      <c r="K152" s="96" t="s">
        <v>63</v>
      </c>
      <c r="L152" s="99">
        <f t="shared" si="2"/>
        <v>13980</v>
      </c>
      <c r="M152" s="98">
        <f t="shared" si="3"/>
        <v>2</v>
      </c>
      <c r="N152" s="96" t="s">
        <v>553</v>
      </c>
      <c r="O152" s="98"/>
      <c r="P152" s="97" t="s">
        <v>472</v>
      </c>
      <c r="Q152" s="98"/>
      <c r="R152" s="98">
        <v>2</v>
      </c>
      <c r="S152" s="98"/>
      <c r="T152" s="95">
        <v>6990</v>
      </c>
      <c r="U152" s="109" t="s">
        <v>802</v>
      </c>
      <c r="V152" s="125"/>
      <c r="W152" s="125"/>
      <c r="X152" s="125"/>
      <c r="Y152" s="125"/>
      <c r="Z152" s="125"/>
      <c r="AA152" s="125"/>
      <c r="AB152" s="125"/>
      <c r="AC152" s="125"/>
      <c r="AD152" s="125"/>
      <c r="AE152" s="125"/>
      <c r="AF152" s="125"/>
      <c r="AG152" s="125"/>
      <c r="AH152" s="125"/>
      <c r="AI152" s="125"/>
      <c r="AJ152" s="125"/>
      <c r="AK152" s="125"/>
      <c r="AL152" s="125"/>
      <c r="AM152" s="125"/>
      <c r="AN152" s="125"/>
      <c r="AO152" s="125"/>
      <c r="AP152" s="125"/>
      <c r="AQ152" s="125"/>
      <c r="AR152" s="125"/>
      <c r="AS152" s="125"/>
      <c r="AT152" s="125"/>
      <c r="AU152" s="125"/>
      <c r="AV152" s="125"/>
      <c r="AW152" s="125"/>
      <c r="AX152" s="125"/>
      <c r="AY152" s="125"/>
      <c r="AZ152" s="125"/>
      <c r="BA152" s="125"/>
      <c r="BB152" s="125"/>
      <c r="BC152" s="125"/>
      <c r="BD152" s="125"/>
      <c r="BE152" s="125"/>
      <c r="BF152" s="125"/>
      <c r="BG152" s="125"/>
      <c r="BH152" s="125"/>
    </row>
    <row r="153" spans="1:60" s="124" customFormat="1" ht="116.25">
      <c r="A153" s="127"/>
      <c r="B153" s="92" t="s">
        <v>447</v>
      </c>
      <c r="C153" s="100" t="s">
        <v>555</v>
      </c>
      <c r="D153" s="100"/>
      <c r="E153" s="100" t="s">
        <v>667</v>
      </c>
      <c r="F153" s="100" t="s">
        <v>666</v>
      </c>
      <c r="G153" s="100" t="s">
        <v>1006</v>
      </c>
      <c r="H153" s="100" t="s">
        <v>385</v>
      </c>
      <c r="I153" s="100"/>
      <c r="J153" s="100" t="s">
        <v>383</v>
      </c>
      <c r="K153" s="96" t="s">
        <v>149</v>
      </c>
      <c r="L153" s="99">
        <f t="shared" si="2"/>
        <v>9800</v>
      </c>
      <c r="M153" s="98">
        <f t="shared" si="3"/>
        <v>2</v>
      </c>
      <c r="N153" s="96" t="s">
        <v>553</v>
      </c>
      <c r="O153" s="96"/>
      <c r="P153" s="97" t="s">
        <v>472</v>
      </c>
      <c r="Q153" s="96"/>
      <c r="R153" s="96">
        <v>2</v>
      </c>
      <c r="S153" s="96"/>
      <c r="T153" s="95">
        <v>4900</v>
      </c>
      <c r="U153" s="94" t="s">
        <v>1007</v>
      </c>
      <c r="V153" s="125"/>
      <c r="W153" s="125"/>
      <c r="X153" s="125"/>
      <c r="Y153" s="125"/>
      <c r="Z153" s="125"/>
      <c r="AA153" s="125"/>
      <c r="AB153" s="125"/>
      <c r="AC153" s="125"/>
      <c r="AD153" s="125"/>
      <c r="AE153" s="125"/>
      <c r="AF153" s="125"/>
      <c r="AG153" s="125"/>
      <c r="AH153" s="125"/>
      <c r="AI153" s="125"/>
      <c r="AJ153" s="125"/>
      <c r="AK153" s="125"/>
      <c r="AL153" s="125"/>
      <c r="AM153" s="125"/>
      <c r="AN153" s="125"/>
      <c r="AO153" s="125"/>
      <c r="AP153" s="125"/>
      <c r="AQ153" s="125"/>
      <c r="AR153" s="125"/>
      <c r="AS153" s="125"/>
      <c r="AT153" s="125"/>
      <c r="AU153" s="125"/>
      <c r="AV153" s="125"/>
      <c r="AW153" s="125"/>
      <c r="AX153" s="125"/>
      <c r="AY153" s="125"/>
      <c r="AZ153" s="125"/>
      <c r="BA153" s="125"/>
      <c r="BB153" s="125"/>
      <c r="BC153" s="125"/>
      <c r="BD153" s="125"/>
      <c r="BE153" s="125"/>
      <c r="BF153" s="125"/>
      <c r="BG153" s="125"/>
      <c r="BH153" s="125"/>
    </row>
    <row r="154" spans="1:60" s="124" customFormat="1" ht="116.25">
      <c r="A154" s="127"/>
      <c r="B154" s="92" t="s">
        <v>447</v>
      </c>
      <c r="C154" s="100" t="s">
        <v>555</v>
      </c>
      <c r="D154" s="100"/>
      <c r="E154" s="100" t="s">
        <v>667</v>
      </c>
      <c r="F154" s="100" t="s">
        <v>666</v>
      </c>
      <c r="G154" s="100" t="s">
        <v>1006</v>
      </c>
      <c r="H154" s="100" t="s">
        <v>456</v>
      </c>
      <c r="I154" s="100"/>
      <c r="J154" s="100" t="s">
        <v>442</v>
      </c>
      <c r="K154" s="96" t="s">
        <v>40</v>
      </c>
      <c r="L154" s="99">
        <f t="shared" si="2"/>
        <v>22400</v>
      </c>
      <c r="M154" s="98">
        <f t="shared" si="3"/>
        <v>8</v>
      </c>
      <c r="N154" s="96" t="s">
        <v>553</v>
      </c>
      <c r="O154" s="96"/>
      <c r="P154" s="97" t="s">
        <v>472</v>
      </c>
      <c r="Q154" s="96"/>
      <c r="R154" s="96">
        <v>8</v>
      </c>
      <c r="S154" s="96"/>
      <c r="T154" s="95">
        <v>2800</v>
      </c>
      <c r="U154" s="94" t="s">
        <v>1004</v>
      </c>
      <c r="V154" s="125"/>
      <c r="W154" s="125"/>
      <c r="X154" s="125"/>
      <c r="Y154" s="125"/>
      <c r="Z154" s="125"/>
      <c r="AA154" s="125"/>
      <c r="AB154" s="125"/>
      <c r="AC154" s="125"/>
      <c r="AD154" s="125"/>
      <c r="AE154" s="125"/>
      <c r="AF154" s="125"/>
      <c r="AG154" s="125"/>
      <c r="AH154" s="125"/>
      <c r="AI154" s="125"/>
      <c r="AJ154" s="125"/>
      <c r="AK154" s="125"/>
      <c r="AL154" s="125"/>
      <c r="AM154" s="125"/>
      <c r="AN154" s="125"/>
      <c r="AO154" s="125"/>
      <c r="AP154" s="125"/>
      <c r="AQ154" s="125"/>
      <c r="AR154" s="125"/>
      <c r="AS154" s="125"/>
      <c r="AT154" s="125"/>
      <c r="AU154" s="125"/>
      <c r="AV154" s="125"/>
      <c r="AW154" s="125"/>
      <c r="AX154" s="125"/>
      <c r="AY154" s="125"/>
      <c r="AZ154" s="125"/>
      <c r="BA154" s="125"/>
      <c r="BB154" s="125"/>
      <c r="BC154" s="125"/>
      <c r="BD154" s="125"/>
      <c r="BE154" s="125"/>
      <c r="BF154" s="125"/>
      <c r="BG154" s="125"/>
      <c r="BH154" s="125"/>
    </row>
    <row r="155" spans="1:60" s="124" customFormat="1" ht="116.25">
      <c r="A155" s="127"/>
      <c r="B155" s="92" t="s">
        <v>447</v>
      </c>
      <c r="C155" s="100" t="s">
        <v>555</v>
      </c>
      <c r="D155" s="100"/>
      <c r="E155" s="100" t="s">
        <v>667</v>
      </c>
      <c r="F155" s="100" t="s">
        <v>666</v>
      </c>
      <c r="G155" s="100" t="s">
        <v>1005</v>
      </c>
      <c r="H155" s="100" t="s">
        <v>456</v>
      </c>
      <c r="I155" s="100"/>
      <c r="J155" s="100" t="s">
        <v>442</v>
      </c>
      <c r="K155" s="96" t="s">
        <v>40</v>
      </c>
      <c r="L155" s="99">
        <f t="shared" si="2"/>
        <v>2200</v>
      </c>
      <c r="M155" s="98">
        <f t="shared" si="3"/>
        <v>1</v>
      </c>
      <c r="N155" s="96" t="s">
        <v>553</v>
      </c>
      <c r="O155" s="96"/>
      <c r="P155" s="97" t="s">
        <v>472</v>
      </c>
      <c r="Q155" s="96"/>
      <c r="R155" s="96">
        <v>1</v>
      </c>
      <c r="S155" s="96"/>
      <c r="T155" s="95">
        <v>2200</v>
      </c>
      <c r="U155" s="94" t="s">
        <v>1004</v>
      </c>
      <c r="V155" s="125"/>
      <c r="W155" s="125"/>
      <c r="X155" s="125"/>
      <c r="Y155" s="125"/>
      <c r="Z155" s="125"/>
      <c r="AA155" s="125"/>
      <c r="AB155" s="125"/>
      <c r="AC155" s="125"/>
      <c r="AD155" s="125"/>
      <c r="AE155" s="125"/>
      <c r="AF155" s="125"/>
      <c r="AG155" s="125"/>
      <c r="AH155" s="125"/>
      <c r="AI155" s="125"/>
      <c r="AJ155" s="125"/>
      <c r="AK155" s="125"/>
      <c r="AL155" s="125"/>
      <c r="AM155" s="125"/>
      <c r="AN155" s="125"/>
      <c r="AO155" s="125"/>
      <c r="AP155" s="125"/>
      <c r="AQ155" s="125"/>
      <c r="AR155" s="125"/>
      <c r="AS155" s="125"/>
      <c r="AT155" s="125"/>
      <c r="AU155" s="125"/>
      <c r="AV155" s="125"/>
      <c r="AW155" s="125"/>
      <c r="AX155" s="125"/>
      <c r="AY155" s="125"/>
      <c r="AZ155" s="125"/>
      <c r="BA155" s="125"/>
      <c r="BB155" s="125"/>
      <c r="BC155" s="125"/>
      <c r="BD155" s="125"/>
      <c r="BE155" s="125"/>
      <c r="BF155" s="125"/>
      <c r="BG155" s="125"/>
      <c r="BH155" s="125"/>
    </row>
    <row r="156" spans="1:60" s="124" customFormat="1" ht="232.5">
      <c r="A156" s="127"/>
      <c r="B156" s="92" t="s">
        <v>447</v>
      </c>
      <c r="C156" s="100" t="s">
        <v>555</v>
      </c>
      <c r="D156" s="100"/>
      <c r="E156" s="100" t="s">
        <v>667</v>
      </c>
      <c r="F156" s="100" t="s">
        <v>666</v>
      </c>
      <c r="G156" s="100" t="s">
        <v>1003</v>
      </c>
      <c r="H156" s="100" t="s">
        <v>195</v>
      </c>
      <c r="I156" s="100"/>
      <c r="J156" s="100" t="s">
        <v>193</v>
      </c>
      <c r="K156" s="96" t="s">
        <v>40</v>
      </c>
      <c r="L156" s="99">
        <f t="shared" si="2"/>
        <v>18000</v>
      </c>
      <c r="M156" s="98">
        <f t="shared" si="3"/>
        <v>10</v>
      </c>
      <c r="N156" s="96" t="s">
        <v>553</v>
      </c>
      <c r="O156" s="98"/>
      <c r="P156" s="97" t="s">
        <v>472</v>
      </c>
      <c r="Q156" s="98">
        <v>5</v>
      </c>
      <c r="R156" s="98">
        <v>5</v>
      </c>
      <c r="S156" s="96" t="s">
        <v>1002</v>
      </c>
      <c r="T156" s="95">
        <v>1800</v>
      </c>
      <c r="U156" s="131" t="s">
        <v>812</v>
      </c>
      <c r="V156" s="125"/>
      <c r="W156" s="125"/>
      <c r="X156" s="125"/>
      <c r="Y156" s="125"/>
      <c r="Z156" s="125"/>
      <c r="AA156" s="125"/>
      <c r="AB156" s="125"/>
      <c r="AC156" s="125"/>
      <c r="AD156" s="125"/>
      <c r="AE156" s="125"/>
      <c r="AF156" s="125"/>
      <c r="AG156" s="125"/>
      <c r="AH156" s="125"/>
      <c r="AI156" s="125"/>
      <c r="AJ156" s="125"/>
      <c r="AK156" s="125"/>
      <c r="AL156" s="125"/>
      <c r="AM156" s="125"/>
      <c r="AN156" s="125"/>
      <c r="AO156" s="125"/>
      <c r="AP156" s="125"/>
      <c r="AQ156" s="125"/>
      <c r="AR156" s="125"/>
      <c r="AS156" s="125"/>
      <c r="AT156" s="125"/>
      <c r="AU156" s="125"/>
      <c r="AV156" s="125"/>
      <c r="AW156" s="125"/>
      <c r="AX156" s="125"/>
      <c r="AY156" s="125"/>
      <c r="AZ156" s="125"/>
      <c r="BA156" s="125"/>
      <c r="BB156" s="125"/>
      <c r="BC156" s="125"/>
      <c r="BD156" s="125"/>
      <c r="BE156" s="125"/>
      <c r="BF156" s="125"/>
      <c r="BG156" s="125"/>
      <c r="BH156" s="125"/>
    </row>
    <row r="157" spans="1:60" s="124" customFormat="1" ht="116.25">
      <c r="A157" s="127"/>
      <c r="B157" s="92" t="s">
        <v>447</v>
      </c>
      <c r="C157" s="100" t="s">
        <v>555</v>
      </c>
      <c r="D157" s="100"/>
      <c r="E157" s="100" t="s">
        <v>667</v>
      </c>
      <c r="F157" s="100" t="s">
        <v>666</v>
      </c>
      <c r="G157" s="100" t="s">
        <v>1001</v>
      </c>
      <c r="H157" s="100" t="s">
        <v>216</v>
      </c>
      <c r="I157" s="100"/>
      <c r="J157" s="100" t="s">
        <v>214</v>
      </c>
      <c r="K157" s="96" t="s">
        <v>63</v>
      </c>
      <c r="L157" s="99">
        <f t="shared" si="2"/>
        <v>13900</v>
      </c>
      <c r="M157" s="98">
        <f t="shared" si="3"/>
        <v>1</v>
      </c>
      <c r="N157" s="96" t="s">
        <v>553</v>
      </c>
      <c r="O157" s="96"/>
      <c r="P157" s="97" t="s">
        <v>472</v>
      </c>
      <c r="Q157" s="96">
        <v>1</v>
      </c>
      <c r="R157" s="96"/>
      <c r="S157" s="96" t="s">
        <v>1000</v>
      </c>
      <c r="T157" s="95">
        <v>13900</v>
      </c>
      <c r="U157" s="94" t="s">
        <v>953</v>
      </c>
      <c r="V157" s="125"/>
      <c r="W157" s="125"/>
      <c r="X157" s="125"/>
      <c r="Y157" s="125"/>
      <c r="Z157" s="125"/>
      <c r="AA157" s="125"/>
      <c r="AB157" s="125"/>
      <c r="AC157" s="125"/>
      <c r="AD157" s="125"/>
      <c r="AE157" s="125"/>
      <c r="AF157" s="125"/>
      <c r="AG157" s="125"/>
      <c r="AH157" s="125"/>
      <c r="AI157" s="125"/>
      <c r="AJ157" s="125"/>
      <c r="AK157" s="125"/>
      <c r="AL157" s="125"/>
      <c r="AM157" s="125"/>
      <c r="AN157" s="125"/>
      <c r="AO157" s="125"/>
      <c r="AP157" s="125"/>
      <c r="AQ157" s="125"/>
      <c r="AR157" s="125"/>
      <c r="AS157" s="125"/>
      <c r="AT157" s="125"/>
      <c r="AU157" s="125"/>
      <c r="AV157" s="125"/>
      <c r="AW157" s="125"/>
      <c r="AX157" s="125"/>
      <c r="AY157" s="125"/>
      <c r="AZ157" s="125"/>
      <c r="BA157" s="125"/>
      <c r="BB157" s="125"/>
      <c r="BC157" s="125"/>
      <c r="BD157" s="125"/>
      <c r="BE157" s="125"/>
      <c r="BF157" s="125"/>
      <c r="BG157" s="125"/>
      <c r="BH157" s="125"/>
    </row>
    <row r="158" spans="1:60" s="124" customFormat="1" ht="116.25">
      <c r="A158" s="127"/>
      <c r="B158" s="92" t="s">
        <v>447</v>
      </c>
      <c r="C158" s="100" t="s">
        <v>555</v>
      </c>
      <c r="D158" s="100"/>
      <c r="E158" s="100" t="s">
        <v>667</v>
      </c>
      <c r="F158" s="100" t="s">
        <v>666</v>
      </c>
      <c r="G158" s="100" t="s">
        <v>995</v>
      </c>
      <c r="H158" s="100" t="s">
        <v>255</v>
      </c>
      <c r="I158" s="100"/>
      <c r="J158" s="100" t="s">
        <v>253</v>
      </c>
      <c r="K158" s="96" t="s">
        <v>63</v>
      </c>
      <c r="L158" s="99">
        <f t="shared" si="2"/>
        <v>52350</v>
      </c>
      <c r="M158" s="98">
        <f t="shared" si="3"/>
        <v>15</v>
      </c>
      <c r="N158" s="96" t="s">
        <v>553</v>
      </c>
      <c r="O158" s="96"/>
      <c r="P158" s="97" t="s">
        <v>472</v>
      </c>
      <c r="Q158" s="96"/>
      <c r="R158" s="96">
        <v>15</v>
      </c>
      <c r="S158" s="96"/>
      <c r="T158" s="95">
        <v>3490</v>
      </c>
      <c r="U158" s="94" t="s">
        <v>953</v>
      </c>
      <c r="V158" s="125"/>
      <c r="W158" s="125"/>
      <c r="X158" s="125"/>
      <c r="Y158" s="125"/>
      <c r="Z158" s="125"/>
      <c r="AA158" s="125"/>
      <c r="AB158" s="125"/>
      <c r="AC158" s="125"/>
      <c r="AD158" s="125"/>
      <c r="AE158" s="125"/>
      <c r="AF158" s="125"/>
      <c r="AG158" s="125"/>
      <c r="AH158" s="125"/>
      <c r="AI158" s="125"/>
      <c r="AJ158" s="125"/>
      <c r="AK158" s="125"/>
      <c r="AL158" s="125"/>
      <c r="AM158" s="125"/>
      <c r="AN158" s="125"/>
      <c r="AO158" s="125"/>
      <c r="AP158" s="125"/>
      <c r="AQ158" s="125"/>
      <c r="AR158" s="125"/>
      <c r="AS158" s="125"/>
      <c r="AT158" s="125"/>
      <c r="AU158" s="125"/>
      <c r="AV158" s="125"/>
      <c r="AW158" s="125"/>
      <c r="AX158" s="125"/>
      <c r="AY158" s="125"/>
      <c r="AZ158" s="125"/>
      <c r="BA158" s="125"/>
      <c r="BB158" s="125"/>
      <c r="BC158" s="125"/>
      <c r="BD158" s="125"/>
      <c r="BE158" s="125"/>
      <c r="BF158" s="125"/>
      <c r="BG158" s="125"/>
      <c r="BH158" s="125"/>
    </row>
    <row r="159" spans="1:60" s="124" customFormat="1" ht="116.25">
      <c r="A159" s="127"/>
      <c r="B159" s="92" t="s">
        <v>447</v>
      </c>
      <c r="C159" s="100" t="s">
        <v>555</v>
      </c>
      <c r="D159" s="100"/>
      <c r="E159" s="100" t="s">
        <v>667</v>
      </c>
      <c r="F159" s="100" t="s">
        <v>666</v>
      </c>
      <c r="G159" s="100" t="s">
        <v>995</v>
      </c>
      <c r="H159" s="100" t="s">
        <v>426</v>
      </c>
      <c r="I159" s="100"/>
      <c r="J159" s="100" t="s">
        <v>424</v>
      </c>
      <c r="K159" s="96" t="s">
        <v>40</v>
      </c>
      <c r="L159" s="99">
        <f t="shared" si="2"/>
        <v>42000</v>
      </c>
      <c r="M159" s="98">
        <f t="shared" si="3"/>
        <v>12</v>
      </c>
      <c r="N159" s="96" t="s">
        <v>553</v>
      </c>
      <c r="O159" s="96"/>
      <c r="P159" s="97" t="s">
        <v>472</v>
      </c>
      <c r="Q159" s="96">
        <v>12</v>
      </c>
      <c r="R159" s="96"/>
      <c r="S159" s="134"/>
      <c r="T159" s="95">
        <v>3500</v>
      </c>
      <c r="U159" s="94" t="s">
        <v>953</v>
      </c>
      <c r="V159" s="125"/>
      <c r="W159" s="125"/>
      <c r="X159" s="125"/>
      <c r="Y159" s="125"/>
      <c r="Z159" s="125"/>
      <c r="AA159" s="125"/>
      <c r="AB159" s="125"/>
      <c r="AC159" s="125"/>
      <c r="AD159" s="125"/>
      <c r="AE159" s="125"/>
      <c r="AF159" s="125"/>
      <c r="AG159" s="125"/>
      <c r="AH159" s="125"/>
      <c r="AI159" s="125"/>
      <c r="AJ159" s="125"/>
      <c r="AK159" s="125"/>
      <c r="AL159" s="125"/>
      <c r="AM159" s="125"/>
      <c r="AN159" s="125"/>
      <c r="AO159" s="125"/>
      <c r="AP159" s="125"/>
      <c r="AQ159" s="125"/>
      <c r="AR159" s="125"/>
      <c r="AS159" s="125"/>
      <c r="AT159" s="125"/>
      <c r="AU159" s="125"/>
      <c r="AV159" s="125"/>
      <c r="AW159" s="125"/>
      <c r="AX159" s="125"/>
      <c r="AY159" s="125"/>
      <c r="AZ159" s="125"/>
      <c r="BA159" s="125"/>
      <c r="BB159" s="125"/>
      <c r="BC159" s="125"/>
      <c r="BD159" s="125"/>
      <c r="BE159" s="125"/>
      <c r="BF159" s="125"/>
      <c r="BG159" s="125"/>
      <c r="BH159" s="125"/>
    </row>
    <row r="160" spans="1:60" s="124" customFormat="1" ht="116.25">
      <c r="A160" s="127"/>
      <c r="B160" s="92" t="s">
        <v>447</v>
      </c>
      <c r="C160" s="100" t="s">
        <v>555</v>
      </c>
      <c r="D160" s="100"/>
      <c r="E160" s="100" t="s">
        <v>667</v>
      </c>
      <c r="F160" s="100" t="s">
        <v>666</v>
      </c>
      <c r="G160" s="100" t="s">
        <v>995</v>
      </c>
      <c r="H160" s="100" t="s">
        <v>62</v>
      </c>
      <c r="I160" s="100"/>
      <c r="J160" s="100" t="s">
        <v>60</v>
      </c>
      <c r="K160" s="96" t="s">
        <v>40</v>
      </c>
      <c r="L160" s="99">
        <f t="shared" si="2"/>
        <v>116000</v>
      </c>
      <c r="M160" s="98">
        <f t="shared" si="3"/>
        <v>40</v>
      </c>
      <c r="N160" s="96" t="s">
        <v>553</v>
      </c>
      <c r="O160" s="96"/>
      <c r="P160" s="97" t="s">
        <v>472</v>
      </c>
      <c r="Q160" s="96">
        <v>40</v>
      </c>
      <c r="R160" s="96"/>
      <c r="S160" s="134"/>
      <c r="T160" s="95">
        <v>2900</v>
      </c>
      <c r="U160" s="94" t="s">
        <v>953</v>
      </c>
      <c r="V160" s="125"/>
      <c r="W160" s="125"/>
      <c r="X160" s="125"/>
      <c r="Y160" s="125"/>
      <c r="Z160" s="125"/>
      <c r="AA160" s="125"/>
      <c r="AB160" s="125"/>
      <c r="AC160" s="125"/>
      <c r="AD160" s="125"/>
      <c r="AE160" s="125"/>
      <c r="AF160" s="125"/>
      <c r="AG160" s="125"/>
      <c r="AH160" s="125"/>
      <c r="AI160" s="125"/>
      <c r="AJ160" s="125"/>
      <c r="AK160" s="125"/>
      <c r="AL160" s="125"/>
      <c r="AM160" s="125"/>
      <c r="AN160" s="125"/>
      <c r="AO160" s="125"/>
      <c r="AP160" s="125"/>
      <c r="AQ160" s="125"/>
      <c r="AR160" s="125"/>
      <c r="AS160" s="125"/>
      <c r="AT160" s="125"/>
      <c r="AU160" s="125"/>
      <c r="AV160" s="125"/>
      <c r="AW160" s="125"/>
      <c r="AX160" s="125"/>
      <c r="AY160" s="125"/>
      <c r="AZ160" s="125"/>
      <c r="BA160" s="125"/>
      <c r="BB160" s="125"/>
      <c r="BC160" s="125"/>
      <c r="BD160" s="125"/>
      <c r="BE160" s="125"/>
      <c r="BF160" s="125"/>
      <c r="BG160" s="125"/>
      <c r="BH160" s="125"/>
    </row>
    <row r="161" spans="1:60" s="124" customFormat="1" ht="116.25">
      <c r="A161" s="127"/>
      <c r="B161" s="92" t="s">
        <v>447</v>
      </c>
      <c r="C161" s="100" t="s">
        <v>555</v>
      </c>
      <c r="D161" s="100"/>
      <c r="E161" s="100" t="s">
        <v>667</v>
      </c>
      <c r="F161" s="100" t="s">
        <v>666</v>
      </c>
      <c r="G161" s="100" t="s">
        <v>995</v>
      </c>
      <c r="H161" s="100" t="s">
        <v>232</v>
      </c>
      <c r="I161" s="100"/>
      <c r="J161" s="100" t="s">
        <v>230</v>
      </c>
      <c r="K161" s="96" t="s">
        <v>13</v>
      </c>
      <c r="L161" s="99">
        <f t="shared" si="2"/>
        <v>14900</v>
      </c>
      <c r="M161" s="98">
        <f t="shared" si="3"/>
        <v>10</v>
      </c>
      <c r="N161" s="96" t="s">
        <v>553</v>
      </c>
      <c r="O161" s="98"/>
      <c r="P161" s="97" t="s">
        <v>472</v>
      </c>
      <c r="Q161" s="98">
        <v>10</v>
      </c>
      <c r="R161" s="98"/>
      <c r="S161" s="149"/>
      <c r="T161" s="95">
        <v>1490</v>
      </c>
      <c r="U161" s="131" t="s">
        <v>999</v>
      </c>
      <c r="V161" s="125"/>
      <c r="W161" s="125"/>
      <c r="X161" s="125"/>
      <c r="Y161" s="125"/>
      <c r="Z161" s="125"/>
      <c r="AA161" s="125"/>
      <c r="AB161" s="125"/>
      <c r="AC161" s="125"/>
      <c r="AD161" s="125"/>
      <c r="AE161" s="125"/>
      <c r="AF161" s="125"/>
      <c r="AG161" s="125"/>
      <c r="AH161" s="125"/>
      <c r="AI161" s="125"/>
      <c r="AJ161" s="125"/>
      <c r="AK161" s="125"/>
      <c r="AL161" s="125"/>
      <c r="AM161" s="125"/>
      <c r="AN161" s="125"/>
      <c r="AO161" s="125"/>
      <c r="AP161" s="125"/>
      <c r="AQ161" s="125"/>
      <c r="AR161" s="125"/>
      <c r="AS161" s="125"/>
      <c r="AT161" s="125"/>
      <c r="AU161" s="125"/>
      <c r="AV161" s="125"/>
      <c r="AW161" s="125"/>
      <c r="AX161" s="125"/>
      <c r="AY161" s="125"/>
      <c r="AZ161" s="125"/>
      <c r="BA161" s="125"/>
      <c r="BB161" s="125"/>
      <c r="BC161" s="125"/>
      <c r="BD161" s="125"/>
      <c r="BE161" s="125"/>
      <c r="BF161" s="125"/>
      <c r="BG161" s="125"/>
      <c r="BH161" s="125"/>
    </row>
    <row r="162" spans="1:60" s="124" customFormat="1" ht="116.25">
      <c r="A162" s="127"/>
      <c r="B162" s="92" t="s">
        <v>447</v>
      </c>
      <c r="C162" s="100" t="s">
        <v>555</v>
      </c>
      <c r="D162" s="100"/>
      <c r="E162" s="100" t="s">
        <v>667</v>
      </c>
      <c r="F162" s="100" t="s">
        <v>666</v>
      </c>
      <c r="G162" s="100" t="s">
        <v>995</v>
      </c>
      <c r="H162" s="100" t="s">
        <v>156</v>
      </c>
      <c r="I162" s="100"/>
      <c r="J162" s="96" t="s">
        <v>154</v>
      </c>
      <c r="K162" s="96" t="s">
        <v>149</v>
      </c>
      <c r="L162" s="99">
        <f t="shared" si="2"/>
        <v>85600</v>
      </c>
      <c r="M162" s="98">
        <f t="shared" si="3"/>
        <v>20</v>
      </c>
      <c r="N162" s="98" t="s">
        <v>553</v>
      </c>
      <c r="O162" s="98"/>
      <c r="P162" s="97" t="s">
        <v>472</v>
      </c>
      <c r="Q162" s="98"/>
      <c r="R162" s="98">
        <v>20</v>
      </c>
      <c r="S162" s="98"/>
      <c r="T162" s="95">
        <v>4280</v>
      </c>
      <c r="U162" s="109" t="s">
        <v>989</v>
      </c>
      <c r="V162" s="125"/>
      <c r="W162" s="125"/>
      <c r="X162" s="125"/>
      <c r="Y162" s="125"/>
      <c r="Z162" s="125"/>
      <c r="AA162" s="125"/>
      <c r="AB162" s="125"/>
      <c r="AC162" s="125"/>
      <c r="AD162" s="125"/>
      <c r="AE162" s="125"/>
      <c r="AF162" s="125"/>
      <c r="AG162" s="125"/>
      <c r="AH162" s="125"/>
      <c r="AI162" s="125"/>
      <c r="AJ162" s="125"/>
      <c r="AK162" s="125"/>
      <c r="AL162" s="125"/>
      <c r="AM162" s="125"/>
      <c r="AN162" s="125"/>
      <c r="AO162" s="125"/>
      <c r="AP162" s="125"/>
      <c r="AQ162" s="125"/>
      <c r="AR162" s="125"/>
      <c r="AS162" s="125"/>
      <c r="AT162" s="125"/>
      <c r="AU162" s="125"/>
      <c r="AV162" s="125"/>
      <c r="AW162" s="125"/>
      <c r="AX162" s="125"/>
      <c r="AY162" s="125"/>
      <c r="AZ162" s="125"/>
      <c r="BA162" s="125"/>
      <c r="BB162" s="125"/>
      <c r="BC162" s="125"/>
      <c r="BD162" s="125"/>
      <c r="BE162" s="125"/>
      <c r="BF162" s="125"/>
      <c r="BG162" s="125"/>
      <c r="BH162" s="125"/>
    </row>
    <row r="163" spans="1:60" s="124" customFormat="1" ht="116.25">
      <c r="A163" s="127"/>
      <c r="B163" s="92" t="s">
        <v>447</v>
      </c>
      <c r="C163" s="100" t="s">
        <v>555</v>
      </c>
      <c r="D163" s="100"/>
      <c r="E163" s="100" t="s">
        <v>667</v>
      </c>
      <c r="F163" s="100" t="s">
        <v>666</v>
      </c>
      <c r="G163" s="100" t="s">
        <v>995</v>
      </c>
      <c r="H163" s="100" t="s">
        <v>45</v>
      </c>
      <c r="I163" s="100"/>
      <c r="J163" s="100" t="s">
        <v>41</v>
      </c>
      <c r="K163" s="96" t="s">
        <v>40</v>
      </c>
      <c r="L163" s="99">
        <f t="shared" si="2"/>
        <v>126000</v>
      </c>
      <c r="M163" s="98">
        <f t="shared" si="3"/>
        <v>28</v>
      </c>
      <c r="N163" s="96" t="s">
        <v>553</v>
      </c>
      <c r="O163" s="96"/>
      <c r="P163" s="97" t="s">
        <v>472</v>
      </c>
      <c r="Q163" s="96">
        <v>28</v>
      </c>
      <c r="R163" s="96"/>
      <c r="S163" s="134"/>
      <c r="T163" s="95">
        <v>4500</v>
      </c>
      <c r="U163" s="109" t="s">
        <v>953</v>
      </c>
      <c r="V163" s="125"/>
      <c r="W163" s="125"/>
      <c r="X163" s="125"/>
      <c r="Y163" s="125"/>
      <c r="Z163" s="125"/>
      <c r="AA163" s="125"/>
      <c r="AB163" s="125"/>
      <c r="AC163" s="125"/>
      <c r="AD163" s="125"/>
      <c r="AE163" s="125"/>
      <c r="AF163" s="125"/>
      <c r="AG163" s="125"/>
      <c r="AH163" s="125"/>
      <c r="AI163" s="125"/>
      <c r="AJ163" s="125"/>
      <c r="AK163" s="125"/>
      <c r="AL163" s="125"/>
      <c r="AM163" s="125"/>
      <c r="AN163" s="125"/>
      <c r="AO163" s="125"/>
      <c r="AP163" s="125"/>
      <c r="AQ163" s="125"/>
      <c r="AR163" s="125"/>
      <c r="AS163" s="125"/>
      <c r="AT163" s="125"/>
      <c r="AU163" s="125"/>
      <c r="AV163" s="125"/>
      <c r="AW163" s="125"/>
      <c r="AX163" s="125"/>
      <c r="AY163" s="125"/>
      <c r="AZ163" s="125"/>
      <c r="BA163" s="125"/>
      <c r="BB163" s="125"/>
      <c r="BC163" s="125"/>
      <c r="BD163" s="125"/>
      <c r="BE163" s="125"/>
      <c r="BF163" s="125"/>
      <c r="BG163" s="125"/>
      <c r="BH163" s="125"/>
    </row>
    <row r="164" spans="1:60" s="124" customFormat="1" ht="116.25">
      <c r="A164" s="127"/>
      <c r="B164" s="92" t="s">
        <v>447</v>
      </c>
      <c r="C164" s="100" t="s">
        <v>555</v>
      </c>
      <c r="D164" s="100"/>
      <c r="E164" s="100" t="s">
        <v>667</v>
      </c>
      <c r="F164" s="100" t="s">
        <v>666</v>
      </c>
      <c r="G164" s="100" t="s">
        <v>995</v>
      </c>
      <c r="H164" s="100" t="s">
        <v>265</v>
      </c>
      <c r="I164" s="100"/>
      <c r="J164" s="100" t="s">
        <v>263</v>
      </c>
      <c r="K164" s="96" t="s">
        <v>63</v>
      </c>
      <c r="L164" s="99">
        <f t="shared" si="2"/>
        <v>10000</v>
      </c>
      <c r="M164" s="98">
        <f t="shared" si="3"/>
        <v>2</v>
      </c>
      <c r="N164" s="96" t="s">
        <v>553</v>
      </c>
      <c r="O164" s="96"/>
      <c r="P164" s="97" t="s">
        <v>472</v>
      </c>
      <c r="Q164" s="96">
        <v>2</v>
      </c>
      <c r="R164" s="96"/>
      <c r="S164" s="96" t="s">
        <v>998</v>
      </c>
      <c r="T164" s="95">
        <v>5000</v>
      </c>
      <c r="U164" s="94" t="s">
        <v>997</v>
      </c>
      <c r="V164" s="125"/>
      <c r="W164" s="125"/>
      <c r="X164" s="125"/>
      <c r="Y164" s="125"/>
      <c r="Z164" s="125"/>
      <c r="AA164" s="125"/>
      <c r="AB164" s="125"/>
      <c r="AC164" s="125"/>
      <c r="AD164" s="125"/>
      <c r="AE164" s="125"/>
      <c r="AF164" s="125"/>
      <c r="AG164" s="125"/>
      <c r="AH164" s="125"/>
      <c r="AI164" s="125"/>
      <c r="AJ164" s="125"/>
      <c r="AK164" s="125"/>
      <c r="AL164" s="125"/>
      <c r="AM164" s="125"/>
      <c r="AN164" s="125"/>
      <c r="AO164" s="125"/>
      <c r="AP164" s="125"/>
      <c r="AQ164" s="125"/>
      <c r="AR164" s="125"/>
      <c r="AS164" s="125"/>
      <c r="AT164" s="125"/>
      <c r="AU164" s="125"/>
      <c r="AV164" s="125"/>
      <c r="AW164" s="125"/>
      <c r="AX164" s="125"/>
      <c r="AY164" s="125"/>
      <c r="AZ164" s="125"/>
      <c r="BA164" s="125"/>
      <c r="BB164" s="125"/>
      <c r="BC164" s="125"/>
      <c r="BD164" s="125"/>
      <c r="BE164" s="125"/>
      <c r="BF164" s="125"/>
      <c r="BG164" s="125"/>
      <c r="BH164" s="125"/>
    </row>
    <row r="165" spans="1:60" s="124" customFormat="1" ht="116.25">
      <c r="A165" s="127"/>
      <c r="B165" s="92" t="s">
        <v>447</v>
      </c>
      <c r="C165" s="100" t="s">
        <v>555</v>
      </c>
      <c r="D165" s="100"/>
      <c r="E165" s="100" t="s">
        <v>667</v>
      </c>
      <c r="F165" s="100" t="s">
        <v>666</v>
      </c>
      <c r="G165" s="100" t="s">
        <v>995</v>
      </c>
      <c r="H165" s="100" t="s">
        <v>464</v>
      </c>
      <c r="I165" s="100"/>
      <c r="J165" s="100" t="s">
        <v>437</v>
      </c>
      <c r="K165" s="96" t="s">
        <v>63</v>
      </c>
      <c r="L165" s="99">
        <f t="shared" si="2"/>
        <v>45810</v>
      </c>
      <c r="M165" s="98">
        <f t="shared" si="3"/>
        <v>9</v>
      </c>
      <c r="N165" s="96" t="s">
        <v>553</v>
      </c>
      <c r="O165" s="96"/>
      <c r="P165" s="97" t="s">
        <v>472</v>
      </c>
      <c r="Q165" s="96">
        <v>6</v>
      </c>
      <c r="R165" s="96">
        <v>3</v>
      </c>
      <c r="S165" s="134"/>
      <c r="T165" s="95">
        <v>5090</v>
      </c>
      <c r="U165" s="109" t="s">
        <v>996</v>
      </c>
      <c r="V165" s="125"/>
      <c r="W165" s="125"/>
      <c r="X165" s="125"/>
      <c r="Y165" s="125"/>
      <c r="Z165" s="125"/>
      <c r="AA165" s="125"/>
      <c r="AB165" s="125"/>
      <c r="AC165" s="125"/>
      <c r="AD165" s="125"/>
      <c r="AE165" s="125"/>
      <c r="AF165" s="125"/>
      <c r="AG165" s="125"/>
      <c r="AH165" s="125"/>
      <c r="AI165" s="125"/>
      <c r="AJ165" s="125"/>
      <c r="AK165" s="125"/>
      <c r="AL165" s="125"/>
      <c r="AM165" s="125"/>
      <c r="AN165" s="125"/>
      <c r="AO165" s="125"/>
      <c r="AP165" s="125"/>
      <c r="AQ165" s="125"/>
      <c r="AR165" s="125"/>
      <c r="AS165" s="125"/>
      <c r="AT165" s="125"/>
      <c r="AU165" s="125"/>
      <c r="AV165" s="125"/>
      <c r="AW165" s="125"/>
      <c r="AX165" s="125"/>
      <c r="AY165" s="125"/>
      <c r="AZ165" s="125"/>
      <c r="BA165" s="125"/>
      <c r="BB165" s="125"/>
      <c r="BC165" s="125"/>
      <c r="BD165" s="125"/>
      <c r="BE165" s="125"/>
      <c r="BF165" s="125"/>
      <c r="BG165" s="125"/>
      <c r="BH165" s="125"/>
    </row>
    <row r="166" spans="1:60" s="124" customFormat="1" ht="116.25">
      <c r="A166" s="127"/>
      <c r="B166" s="92" t="s">
        <v>447</v>
      </c>
      <c r="C166" s="100" t="s">
        <v>555</v>
      </c>
      <c r="D166" s="100"/>
      <c r="E166" s="100" t="s">
        <v>667</v>
      </c>
      <c r="F166" s="100" t="s">
        <v>666</v>
      </c>
      <c r="G166" s="100" t="s">
        <v>995</v>
      </c>
      <c r="H166" s="100" t="s">
        <v>18</v>
      </c>
      <c r="I166" s="100"/>
      <c r="J166" s="100" t="s">
        <v>14</v>
      </c>
      <c r="K166" s="96" t="s">
        <v>13</v>
      </c>
      <c r="L166" s="99">
        <f t="shared" si="2"/>
        <v>60000</v>
      </c>
      <c r="M166" s="98">
        <f t="shared" si="3"/>
        <v>20</v>
      </c>
      <c r="N166" s="96" t="s">
        <v>553</v>
      </c>
      <c r="O166" s="96"/>
      <c r="P166" s="97" t="s">
        <v>472</v>
      </c>
      <c r="Q166" s="96"/>
      <c r="R166" s="96">
        <v>20</v>
      </c>
      <c r="S166" s="96"/>
      <c r="T166" s="95">
        <v>3000</v>
      </c>
      <c r="U166" s="94" t="s">
        <v>994</v>
      </c>
      <c r="V166" s="125"/>
      <c r="W166" s="125"/>
      <c r="X166" s="125"/>
      <c r="Y166" s="125"/>
      <c r="Z166" s="125"/>
      <c r="AA166" s="125"/>
      <c r="AB166" s="125"/>
      <c r="AC166" s="125"/>
      <c r="AD166" s="125"/>
      <c r="AE166" s="125"/>
      <c r="AF166" s="125"/>
      <c r="AG166" s="125"/>
      <c r="AH166" s="125"/>
      <c r="AI166" s="125"/>
      <c r="AJ166" s="125"/>
      <c r="AK166" s="125"/>
      <c r="AL166" s="125"/>
      <c r="AM166" s="125"/>
      <c r="AN166" s="125"/>
      <c r="AO166" s="125"/>
      <c r="AP166" s="125"/>
      <c r="AQ166" s="125"/>
      <c r="AR166" s="125"/>
      <c r="AS166" s="125"/>
      <c r="AT166" s="125"/>
      <c r="AU166" s="125"/>
      <c r="AV166" s="125"/>
      <c r="AW166" s="125"/>
      <c r="AX166" s="125"/>
      <c r="AY166" s="125"/>
      <c r="AZ166" s="125"/>
      <c r="BA166" s="125"/>
      <c r="BB166" s="125"/>
      <c r="BC166" s="125"/>
      <c r="BD166" s="125"/>
      <c r="BE166" s="125"/>
      <c r="BF166" s="125"/>
      <c r="BG166" s="125"/>
      <c r="BH166" s="125"/>
    </row>
    <row r="167" spans="1:60" s="124" customFormat="1" ht="116.25">
      <c r="A167" s="127"/>
      <c r="B167" s="92" t="s">
        <v>447</v>
      </c>
      <c r="C167" s="100" t="s">
        <v>555</v>
      </c>
      <c r="D167" s="100"/>
      <c r="E167" s="100" t="s">
        <v>667</v>
      </c>
      <c r="F167" s="100" t="s">
        <v>666</v>
      </c>
      <c r="G167" s="100" t="s">
        <v>993</v>
      </c>
      <c r="H167" s="100" t="s">
        <v>265</v>
      </c>
      <c r="I167" s="100"/>
      <c r="J167" s="100" t="s">
        <v>263</v>
      </c>
      <c r="K167" s="96" t="s">
        <v>63</v>
      </c>
      <c r="L167" s="99">
        <f t="shared" si="2"/>
        <v>22500</v>
      </c>
      <c r="M167" s="98">
        <f t="shared" si="3"/>
        <v>30</v>
      </c>
      <c r="N167" s="98" t="s">
        <v>553</v>
      </c>
      <c r="O167" s="98"/>
      <c r="P167" s="97" t="s">
        <v>472</v>
      </c>
      <c r="Q167" s="98"/>
      <c r="R167" s="98">
        <v>30</v>
      </c>
      <c r="S167" s="98"/>
      <c r="T167" s="95">
        <v>750</v>
      </c>
      <c r="U167" s="109" t="s">
        <v>991</v>
      </c>
      <c r="V167" s="125"/>
      <c r="W167" s="125"/>
      <c r="X167" s="125"/>
      <c r="Y167" s="125"/>
      <c r="Z167" s="125"/>
      <c r="AA167" s="125"/>
      <c r="AB167" s="125"/>
      <c r="AC167" s="125"/>
      <c r="AD167" s="125"/>
      <c r="AE167" s="125"/>
      <c r="AF167" s="125"/>
      <c r="AG167" s="125"/>
      <c r="AH167" s="125"/>
      <c r="AI167" s="125"/>
      <c r="AJ167" s="125"/>
      <c r="AK167" s="125"/>
      <c r="AL167" s="125"/>
      <c r="AM167" s="125"/>
      <c r="AN167" s="125"/>
      <c r="AO167" s="125"/>
      <c r="AP167" s="125"/>
      <c r="AQ167" s="125"/>
      <c r="AR167" s="125"/>
      <c r="AS167" s="125"/>
      <c r="AT167" s="125"/>
      <c r="AU167" s="125"/>
      <c r="AV167" s="125"/>
      <c r="AW167" s="125"/>
      <c r="AX167" s="125"/>
      <c r="AY167" s="125"/>
      <c r="AZ167" s="125"/>
      <c r="BA167" s="125"/>
      <c r="BB167" s="125"/>
      <c r="BC167" s="125"/>
      <c r="BD167" s="125"/>
      <c r="BE167" s="125"/>
      <c r="BF167" s="125"/>
      <c r="BG167" s="125"/>
      <c r="BH167" s="125"/>
    </row>
    <row r="168" spans="1:60" s="124" customFormat="1" ht="116.25">
      <c r="A168" s="127"/>
      <c r="B168" s="92" t="s">
        <v>447</v>
      </c>
      <c r="C168" s="100" t="s">
        <v>555</v>
      </c>
      <c r="D168" s="100"/>
      <c r="E168" s="100" t="s">
        <v>667</v>
      </c>
      <c r="F168" s="100" t="s">
        <v>666</v>
      </c>
      <c r="G168" s="100" t="s">
        <v>993</v>
      </c>
      <c r="H168" s="100" t="s">
        <v>216</v>
      </c>
      <c r="I168" s="100"/>
      <c r="J168" s="100" t="s">
        <v>214</v>
      </c>
      <c r="K168" s="96" t="s">
        <v>63</v>
      </c>
      <c r="L168" s="99">
        <f t="shared" si="2"/>
        <v>3400</v>
      </c>
      <c r="M168" s="98">
        <f t="shared" si="3"/>
        <v>4</v>
      </c>
      <c r="N168" s="96" t="s">
        <v>553</v>
      </c>
      <c r="O168" s="96"/>
      <c r="P168" s="97" t="s">
        <v>472</v>
      </c>
      <c r="Q168" s="96"/>
      <c r="R168" s="96">
        <v>4</v>
      </c>
      <c r="S168" s="96"/>
      <c r="T168" s="95">
        <v>850</v>
      </c>
      <c r="U168" s="94" t="s">
        <v>992</v>
      </c>
      <c r="V168" s="125"/>
      <c r="W168" s="125"/>
      <c r="X168" s="125"/>
      <c r="Y168" s="125"/>
      <c r="Z168" s="125"/>
      <c r="AA168" s="125"/>
      <c r="AB168" s="125"/>
      <c r="AC168" s="125"/>
      <c r="AD168" s="125"/>
      <c r="AE168" s="125"/>
      <c r="AF168" s="125"/>
      <c r="AG168" s="125"/>
      <c r="AH168" s="125"/>
      <c r="AI168" s="125"/>
      <c r="AJ168" s="125"/>
      <c r="AK168" s="125"/>
      <c r="AL168" s="125"/>
      <c r="AM168" s="125"/>
      <c r="AN168" s="125"/>
      <c r="AO168" s="125"/>
      <c r="AP168" s="125"/>
      <c r="AQ168" s="125"/>
      <c r="AR168" s="125"/>
      <c r="AS168" s="125"/>
      <c r="AT168" s="125"/>
      <c r="AU168" s="125"/>
      <c r="AV168" s="125"/>
      <c r="AW168" s="125"/>
      <c r="AX168" s="125"/>
      <c r="AY168" s="125"/>
      <c r="AZ168" s="125"/>
      <c r="BA168" s="125"/>
      <c r="BB168" s="125"/>
      <c r="BC168" s="125"/>
      <c r="BD168" s="125"/>
      <c r="BE168" s="125"/>
      <c r="BF168" s="125"/>
      <c r="BG168" s="125"/>
      <c r="BH168" s="125"/>
    </row>
    <row r="169" spans="1:60" s="124" customFormat="1" ht="116.25">
      <c r="A169" s="127"/>
      <c r="B169" s="92" t="s">
        <v>447</v>
      </c>
      <c r="C169" s="100" t="s">
        <v>555</v>
      </c>
      <c r="D169" s="100"/>
      <c r="E169" s="100" t="s">
        <v>667</v>
      </c>
      <c r="F169" s="100" t="s">
        <v>666</v>
      </c>
      <c r="G169" s="100" t="s">
        <v>993</v>
      </c>
      <c r="H169" s="100" t="s">
        <v>946</v>
      </c>
      <c r="I169" s="100"/>
      <c r="J169" s="100" t="s">
        <v>945</v>
      </c>
      <c r="K169" s="96" t="s">
        <v>40</v>
      </c>
      <c r="L169" s="99">
        <f t="shared" si="2"/>
        <v>13800</v>
      </c>
      <c r="M169" s="98">
        <f t="shared" si="3"/>
        <v>20</v>
      </c>
      <c r="N169" s="96" t="s">
        <v>553</v>
      </c>
      <c r="O169" s="96"/>
      <c r="P169" s="97" t="s">
        <v>472</v>
      </c>
      <c r="Q169" s="96"/>
      <c r="R169" s="96">
        <v>20</v>
      </c>
      <c r="S169" s="96"/>
      <c r="T169" s="95">
        <v>690</v>
      </c>
      <c r="U169" s="94" t="s">
        <v>992</v>
      </c>
      <c r="V169" s="125"/>
      <c r="W169" s="125"/>
      <c r="X169" s="125"/>
      <c r="Y169" s="125"/>
      <c r="Z169" s="125"/>
      <c r="AA169" s="125"/>
      <c r="AB169" s="125"/>
      <c r="AC169" s="125"/>
      <c r="AD169" s="125"/>
      <c r="AE169" s="125"/>
      <c r="AF169" s="125"/>
      <c r="AG169" s="125"/>
      <c r="AH169" s="125"/>
      <c r="AI169" s="125"/>
      <c r="AJ169" s="125"/>
      <c r="AK169" s="125"/>
      <c r="AL169" s="125"/>
      <c r="AM169" s="125"/>
      <c r="AN169" s="125"/>
      <c r="AO169" s="125"/>
      <c r="AP169" s="125"/>
      <c r="AQ169" s="125"/>
      <c r="AR169" s="125"/>
      <c r="AS169" s="125"/>
      <c r="AT169" s="125"/>
      <c r="AU169" s="125"/>
      <c r="AV169" s="125"/>
      <c r="AW169" s="125"/>
      <c r="AX169" s="125"/>
      <c r="AY169" s="125"/>
      <c r="AZ169" s="125"/>
      <c r="BA169" s="125"/>
      <c r="BB169" s="125"/>
      <c r="BC169" s="125"/>
      <c r="BD169" s="125"/>
      <c r="BE169" s="125"/>
      <c r="BF169" s="125"/>
      <c r="BG169" s="125"/>
      <c r="BH169" s="125"/>
    </row>
    <row r="170" spans="1:60" s="124" customFormat="1" ht="116.25">
      <c r="A170" s="127"/>
      <c r="B170" s="92" t="s">
        <v>447</v>
      </c>
      <c r="C170" s="100" t="s">
        <v>555</v>
      </c>
      <c r="D170" s="100"/>
      <c r="E170" s="100" t="s">
        <v>667</v>
      </c>
      <c r="F170" s="100" t="s">
        <v>666</v>
      </c>
      <c r="G170" s="100" t="s">
        <v>605</v>
      </c>
      <c r="H170" s="100" t="s">
        <v>255</v>
      </c>
      <c r="I170" s="100"/>
      <c r="J170" s="100" t="s">
        <v>253</v>
      </c>
      <c r="K170" s="96" t="s">
        <v>63</v>
      </c>
      <c r="L170" s="99">
        <f t="shared" si="2"/>
        <v>32890</v>
      </c>
      <c r="M170" s="98">
        <f t="shared" si="3"/>
        <v>11</v>
      </c>
      <c r="N170" s="96" t="s">
        <v>553</v>
      </c>
      <c r="O170" s="96"/>
      <c r="P170" s="97" t="s">
        <v>472</v>
      </c>
      <c r="Q170" s="96"/>
      <c r="R170" s="96">
        <v>11</v>
      </c>
      <c r="S170" s="96"/>
      <c r="T170" s="95">
        <v>2990</v>
      </c>
      <c r="U170" s="94" t="s">
        <v>991</v>
      </c>
      <c r="V170" s="125"/>
      <c r="W170" s="125"/>
      <c r="X170" s="125"/>
      <c r="Y170" s="125"/>
      <c r="Z170" s="125"/>
      <c r="AA170" s="125"/>
      <c r="AB170" s="125"/>
      <c r="AC170" s="125"/>
      <c r="AD170" s="125"/>
      <c r="AE170" s="125"/>
      <c r="AF170" s="125"/>
      <c r="AG170" s="125"/>
      <c r="AH170" s="125"/>
      <c r="AI170" s="125"/>
      <c r="AJ170" s="125"/>
      <c r="AK170" s="125"/>
      <c r="AL170" s="125"/>
      <c r="AM170" s="125"/>
      <c r="AN170" s="125"/>
      <c r="AO170" s="125"/>
      <c r="AP170" s="125"/>
      <c r="AQ170" s="125"/>
      <c r="AR170" s="125"/>
      <c r="AS170" s="125"/>
      <c r="AT170" s="125"/>
      <c r="AU170" s="125"/>
      <c r="AV170" s="125"/>
      <c r="AW170" s="125"/>
      <c r="AX170" s="125"/>
      <c r="AY170" s="125"/>
      <c r="AZ170" s="125"/>
      <c r="BA170" s="125"/>
      <c r="BB170" s="125"/>
      <c r="BC170" s="125"/>
      <c r="BD170" s="125"/>
      <c r="BE170" s="125"/>
      <c r="BF170" s="125"/>
      <c r="BG170" s="125"/>
      <c r="BH170" s="125"/>
    </row>
    <row r="171" spans="1:60" s="124" customFormat="1" ht="116.25">
      <c r="A171" s="127"/>
      <c r="B171" s="92" t="s">
        <v>447</v>
      </c>
      <c r="C171" s="100" t="s">
        <v>555</v>
      </c>
      <c r="D171" s="100"/>
      <c r="E171" s="100" t="s">
        <v>667</v>
      </c>
      <c r="F171" s="100" t="s">
        <v>666</v>
      </c>
      <c r="G171" s="100" t="s">
        <v>605</v>
      </c>
      <c r="H171" s="100" t="s">
        <v>385</v>
      </c>
      <c r="I171" s="100"/>
      <c r="J171" s="100" t="s">
        <v>383</v>
      </c>
      <c r="K171" s="96" t="s">
        <v>149</v>
      </c>
      <c r="L171" s="99">
        <f t="shared" si="2"/>
        <v>66000</v>
      </c>
      <c r="M171" s="98">
        <f t="shared" si="3"/>
        <v>12</v>
      </c>
      <c r="N171" s="96" t="s">
        <v>553</v>
      </c>
      <c r="O171" s="96"/>
      <c r="P171" s="97" t="s">
        <v>472</v>
      </c>
      <c r="Q171" s="96"/>
      <c r="R171" s="96">
        <v>12</v>
      </c>
      <c r="S171" s="96"/>
      <c r="T171" s="95">
        <v>5500</v>
      </c>
      <c r="U171" s="94" t="s">
        <v>990</v>
      </c>
      <c r="V171" s="125"/>
      <c r="W171" s="125"/>
      <c r="X171" s="125"/>
      <c r="Y171" s="125"/>
      <c r="Z171" s="125"/>
      <c r="AA171" s="125"/>
      <c r="AB171" s="125"/>
      <c r="AC171" s="125"/>
      <c r="AD171" s="125"/>
      <c r="AE171" s="125"/>
      <c r="AF171" s="125"/>
      <c r="AG171" s="125"/>
      <c r="AH171" s="125"/>
      <c r="AI171" s="125"/>
      <c r="AJ171" s="125"/>
      <c r="AK171" s="125"/>
      <c r="AL171" s="125"/>
      <c r="AM171" s="125"/>
      <c r="AN171" s="125"/>
      <c r="AO171" s="125"/>
      <c r="AP171" s="125"/>
      <c r="AQ171" s="125"/>
      <c r="AR171" s="125"/>
      <c r="AS171" s="125"/>
      <c r="AT171" s="125"/>
      <c r="AU171" s="125"/>
      <c r="AV171" s="125"/>
      <c r="AW171" s="125"/>
      <c r="AX171" s="125"/>
      <c r="AY171" s="125"/>
      <c r="AZ171" s="125"/>
      <c r="BA171" s="125"/>
      <c r="BB171" s="125"/>
      <c r="BC171" s="125"/>
      <c r="BD171" s="125"/>
      <c r="BE171" s="125"/>
      <c r="BF171" s="125"/>
      <c r="BG171" s="125"/>
      <c r="BH171" s="125"/>
    </row>
    <row r="172" spans="1:60" s="124" customFormat="1" ht="116.25">
      <c r="A172" s="127"/>
      <c r="B172" s="92" t="s">
        <v>447</v>
      </c>
      <c r="C172" s="100" t="s">
        <v>555</v>
      </c>
      <c r="D172" s="103"/>
      <c r="E172" s="100" t="s">
        <v>667</v>
      </c>
      <c r="F172" s="100" t="s">
        <v>666</v>
      </c>
      <c r="G172" s="100" t="s">
        <v>605</v>
      </c>
      <c r="H172" s="100" t="s">
        <v>156</v>
      </c>
      <c r="I172" s="100"/>
      <c r="J172" s="96" t="s">
        <v>154</v>
      </c>
      <c r="K172" s="96" t="s">
        <v>149</v>
      </c>
      <c r="L172" s="99">
        <f t="shared" si="2"/>
        <v>85600</v>
      </c>
      <c r="M172" s="98">
        <f t="shared" si="3"/>
        <v>20</v>
      </c>
      <c r="N172" s="96" t="s">
        <v>553</v>
      </c>
      <c r="O172" s="107"/>
      <c r="P172" s="97" t="s">
        <v>472</v>
      </c>
      <c r="Q172" s="107"/>
      <c r="R172" s="96">
        <v>20</v>
      </c>
      <c r="S172" s="107"/>
      <c r="T172" s="95">
        <v>4280</v>
      </c>
      <c r="U172" s="94" t="s">
        <v>989</v>
      </c>
      <c r="V172" s="125"/>
      <c r="W172" s="125"/>
      <c r="X172" s="125"/>
      <c r="Y172" s="125"/>
      <c r="Z172" s="125"/>
      <c r="AA172" s="125"/>
      <c r="AB172" s="125"/>
      <c r="AC172" s="125"/>
      <c r="AD172" s="125"/>
      <c r="AE172" s="125"/>
      <c r="AF172" s="125"/>
      <c r="AG172" s="125"/>
      <c r="AH172" s="125"/>
      <c r="AI172" s="125"/>
      <c r="AJ172" s="125"/>
      <c r="AK172" s="125"/>
      <c r="AL172" s="125"/>
      <c r="AM172" s="125"/>
      <c r="AN172" s="125"/>
      <c r="AO172" s="125"/>
      <c r="AP172" s="125"/>
      <c r="AQ172" s="125"/>
      <c r="AR172" s="125"/>
      <c r="AS172" s="125"/>
      <c r="AT172" s="125"/>
      <c r="AU172" s="125"/>
      <c r="AV172" s="125"/>
      <c r="AW172" s="125"/>
      <c r="AX172" s="125"/>
      <c r="AY172" s="125"/>
      <c r="AZ172" s="125"/>
      <c r="BA172" s="125"/>
      <c r="BB172" s="125"/>
      <c r="BC172" s="125"/>
      <c r="BD172" s="125"/>
      <c r="BE172" s="125"/>
      <c r="BF172" s="125"/>
      <c r="BG172" s="125"/>
      <c r="BH172" s="125"/>
    </row>
    <row r="173" spans="1:60" s="124" customFormat="1" ht="116.25">
      <c r="A173" s="127"/>
      <c r="B173" s="92" t="s">
        <v>447</v>
      </c>
      <c r="C173" s="100" t="s">
        <v>555</v>
      </c>
      <c r="D173" s="103"/>
      <c r="E173" s="100" t="s">
        <v>667</v>
      </c>
      <c r="F173" s="100" t="s">
        <v>666</v>
      </c>
      <c r="G173" s="100" t="s">
        <v>605</v>
      </c>
      <c r="H173" s="100" t="s">
        <v>456</v>
      </c>
      <c r="I173" s="100"/>
      <c r="J173" s="100" t="s">
        <v>442</v>
      </c>
      <c r="K173" s="96" t="s">
        <v>40</v>
      </c>
      <c r="L173" s="99">
        <f t="shared" si="2"/>
        <v>24000</v>
      </c>
      <c r="M173" s="98">
        <f t="shared" si="3"/>
        <v>40</v>
      </c>
      <c r="N173" s="96" t="s">
        <v>553</v>
      </c>
      <c r="O173" s="107"/>
      <c r="P173" s="97" t="s">
        <v>472</v>
      </c>
      <c r="Q173" s="107"/>
      <c r="R173" s="96">
        <v>40</v>
      </c>
      <c r="S173" s="107"/>
      <c r="T173" s="95">
        <v>600</v>
      </c>
      <c r="U173" s="94" t="s">
        <v>988</v>
      </c>
      <c r="V173" s="125"/>
      <c r="W173" s="125"/>
      <c r="X173" s="125"/>
      <c r="Y173" s="125"/>
      <c r="Z173" s="125"/>
      <c r="AA173" s="125"/>
      <c r="AB173" s="125"/>
      <c r="AC173" s="125"/>
      <c r="AD173" s="125"/>
      <c r="AE173" s="125"/>
      <c r="AF173" s="125"/>
      <c r="AG173" s="125"/>
      <c r="AH173" s="125"/>
      <c r="AI173" s="125"/>
      <c r="AJ173" s="125"/>
      <c r="AK173" s="125"/>
      <c r="AL173" s="125"/>
      <c r="AM173" s="125"/>
      <c r="AN173" s="125"/>
      <c r="AO173" s="125"/>
      <c r="AP173" s="125"/>
      <c r="AQ173" s="125"/>
      <c r="AR173" s="125"/>
      <c r="AS173" s="125"/>
      <c r="AT173" s="125"/>
      <c r="AU173" s="125"/>
      <c r="AV173" s="125"/>
      <c r="AW173" s="125"/>
      <c r="AX173" s="125"/>
      <c r="AY173" s="125"/>
      <c r="AZ173" s="125"/>
      <c r="BA173" s="125"/>
      <c r="BB173" s="125"/>
      <c r="BC173" s="125"/>
      <c r="BD173" s="125"/>
      <c r="BE173" s="125"/>
      <c r="BF173" s="125"/>
      <c r="BG173" s="125"/>
      <c r="BH173" s="125"/>
    </row>
    <row r="174" spans="1:60" s="124" customFormat="1" ht="116.25">
      <c r="A174" s="127"/>
      <c r="B174" s="92" t="s">
        <v>447</v>
      </c>
      <c r="C174" s="100" t="s">
        <v>555</v>
      </c>
      <c r="D174" s="100"/>
      <c r="E174" s="100" t="s">
        <v>667</v>
      </c>
      <c r="F174" s="100" t="s">
        <v>666</v>
      </c>
      <c r="G174" s="100" t="s">
        <v>987</v>
      </c>
      <c r="H174" s="100" t="s">
        <v>216</v>
      </c>
      <c r="I174" s="100"/>
      <c r="J174" s="100" t="s">
        <v>214</v>
      </c>
      <c r="K174" s="96" t="s">
        <v>63</v>
      </c>
      <c r="L174" s="99">
        <f t="shared" si="2"/>
        <v>22500</v>
      </c>
      <c r="M174" s="98">
        <f t="shared" si="3"/>
        <v>1</v>
      </c>
      <c r="N174" s="96" t="s">
        <v>596</v>
      </c>
      <c r="O174" s="96"/>
      <c r="P174" s="97" t="s">
        <v>472</v>
      </c>
      <c r="Q174" s="96"/>
      <c r="R174" s="96">
        <v>1</v>
      </c>
      <c r="S174" s="96"/>
      <c r="T174" s="95">
        <v>22500</v>
      </c>
      <c r="U174" s="94" t="s">
        <v>986</v>
      </c>
      <c r="V174" s="125"/>
      <c r="W174" s="125"/>
      <c r="X174" s="125"/>
      <c r="Y174" s="125"/>
      <c r="Z174" s="125"/>
      <c r="AA174" s="125"/>
      <c r="AB174" s="125"/>
      <c r="AC174" s="125"/>
      <c r="AD174" s="125"/>
      <c r="AE174" s="125"/>
      <c r="AF174" s="125"/>
      <c r="AG174" s="125"/>
      <c r="AH174" s="125"/>
      <c r="AI174" s="125"/>
      <c r="AJ174" s="125"/>
      <c r="AK174" s="125"/>
      <c r="AL174" s="125"/>
      <c r="AM174" s="125"/>
      <c r="AN174" s="125"/>
      <c r="AO174" s="125"/>
      <c r="AP174" s="125"/>
      <c r="AQ174" s="125"/>
      <c r="AR174" s="125"/>
      <c r="AS174" s="125"/>
      <c r="AT174" s="125"/>
      <c r="AU174" s="125"/>
      <c r="AV174" s="125"/>
      <c r="AW174" s="125"/>
      <c r="AX174" s="125"/>
      <c r="AY174" s="125"/>
      <c r="AZ174" s="125"/>
      <c r="BA174" s="125"/>
      <c r="BB174" s="125"/>
      <c r="BC174" s="125"/>
      <c r="BD174" s="125"/>
      <c r="BE174" s="125"/>
      <c r="BF174" s="125"/>
      <c r="BG174" s="125"/>
      <c r="BH174" s="125"/>
    </row>
    <row r="175" spans="1:60" s="124" customFormat="1" ht="116.25">
      <c r="A175" s="127"/>
      <c r="B175" s="92" t="s">
        <v>447</v>
      </c>
      <c r="C175" s="100" t="s">
        <v>555</v>
      </c>
      <c r="D175" s="103"/>
      <c r="E175" s="100" t="s">
        <v>667</v>
      </c>
      <c r="F175" s="100" t="s">
        <v>666</v>
      </c>
      <c r="G175" s="100" t="s">
        <v>985</v>
      </c>
      <c r="H175" s="100" t="s">
        <v>463</v>
      </c>
      <c r="I175" s="100"/>
      <c r="J175" s="100" t="s">
        <v>438</v>
      </c>
      <c r="K175" s="96" t="s">
        <v>63</v>
      </c>
      <c r="L175" s="99">
        <f t="shared" si="2"/>
        <v>33500</v>
      </c>
      <c r="M175" s="98">
        <f t="shared" si="3"/>
        <v>1</v>
      </c>
      <c r="N175" s="147" t="s">
        <v>558</v>
      </c>
      <c r="O175" s="143" t="s">
        <v>472</v>
      </c>
      <c r="P175" s="107"/>
      <c r="Q175" s="96">
        <v>1</v>
      </c>
      <c r="R175" s="107"/>
      <c r="S175" s="153"/>
      <c r="T175" s="104">
        <v>33500</v>
      </c>
      <c r="U175" s="148" t="s">
        <v>980</v>
      </c>
      <c r="V175" s="125"/>
      <c r="W175" s="125"/>
      <c r="X175" s="125"/>
      <c r="Y175" s="125"/>
      <c r="Z175" s="125"/>
      <c r="AA175" s="125"/>
      <c r="AB175" s="125"/>
      <c r="AC175" s="125"/>
      <c r="AD175" s="125"/>
      <c r="AE175" s="125"/>
      <c r="AF175" s="125"/>
      <c r="AG175" s="125"/>
      <c r="AH175" s="125"/>
      <c r="AI175" s="125"/>
      <c r="AJ175" s="125"/>
      <c r="AK175" s="125"/>
      <c r="AL175" s="125"/>
      <c r="AM175" s="125"/>
      <c r="AN175" s="125"/>
      <c r="AO175" s="125"/>
      <c r="AP175" s="125"/>
      <c r="AQ175" s="125"/>
      <c r="AR175" s="125"/>
      <c r="AS175" s="125"/>
      <c r="AT175" s="125"/>
      <c r="AU175" s="125"/>
      <c r="AV175" s="125"/>
      <c r="AW175" s="125"/>
      <c r="AX175" s="125"/>
      <c r="AY175" s="125"/>
      <c r="AZ175" s="125"/>
      <c r="BA175" s="125"/>
      <c r="BB175" s="125"/>
      <c r="BC175" s="125"/>
      <c r="BD175" s="125"/>
      <c r="BE175" s="125"/>
      <c r="BF175" s="125"/>
      <c r="BG175" s="125"/>
      <c r="BH175" s="125"/>
    </row>
    <row r="176" spans="1:60" s="124" customFormat="1" ht="116.25">
      <c r="A176" s="127"/>
      <c r="B176" s="92" t="s">
        <v>447</v>
      </c>
      <c r="C176" s="100" t="s">
        <v>555</v>
      </c>
      <c r="D176" s="100"/>
      <c r="E176" s="100" t="s">
        <v>667</v>
      </c>
      <c r="F176" s="100" t="s">
        <v>666</v>
      </c>
      <c r="G176" s="100" t="s">
        <v>984</v>
      </c>
      <c r="H176" s="100" t="s">
        <v>363</v>
      </c>
      <c r="I176" s="100"/>
      <c r="J176" s="100" t="s">
        <v>205</v>
      </c>
      <c r="K176" s="96" t="s">
        <v>63</v>
      </c>
      <c r="L176" s="99">
        <f t="shared" si="2"/>
        <v>195300</v>
      </c>
      <c r="M176" s="98">
        <f t="shared" si="3"/>
        <v>7</v>
      </c>
      <c r="N176" s="147" t="s">
        <v>558</v>
      </c>
      <c r="O176" s="97" t="s">
        <v>472</v>
      </c>
      <c r="P176" s="98"/>
      <c r="Q176" s="98">
        <v>7</v>
      </c>
      <c r="R176" s="98"/>
      <c r="S176" s="96" t="s">
        <v>983</v>
      </c>
      <c r="T176" s="95">
        <v>27900</v>
      </c>
      <c r="U176" s="109" t="s">
        <v>982</v>
      </c>
      <c r="V176" s="125"/>
      <c r="W176" s="125"/>
      <c r="X176" s="125"/>
      <c r="Y176" s="125"/>
      <c r="Z176" s="125"/>
      <c r="AA176" s="125"/>
      <c r="AB176" s="125"/>
      <c r="AC176" s="125"/>
      <c r="AD176" s="125"/>
      <c r="AE176" s="125"/>
      <c r="AF176" s="125"/>
      <c r="AG176" s="125"/>
      <c r="AH176" s="125"/>
      <c r="AI176" s="125"/>
      <c r="AJ176" s="125"/>
      <c r="AK176" s="125"/>
      <c r="AL176" s="125"/>
      <c r="AM176" s="125"/>
      <c r="AN176" s="125"/>
      <c r="AO176" s="125"/>
      <c r="AP176" s="125"/>
      <c r="AQ176" s="125"/>
      <c r="AR176" s="125"/>
      <c r="AS176" s="125"/>
      <c r="AT176" s="125"/>
      <c r="AU176" s="125"/>
      <c r="AV176" s="125"/>
      <c r="AW176" s="125"/>
      <c r="AX176" s="125"/>
      <c r="AY176" s="125"/>
      <c r="AZ176" s="125"/>
      <c r="BA176" s="125"/>
      <c r="BB176" s="125"/>
      <c r="BC176" s="125"/>
      <c r="BD176" s="125"/>
      <c r="BE176" s="125"/>
      <c r="BF176" s="125"/>
      <c r="BG176" s="125"/>
      <c r="BH176" s="125"/>
    </row>
    <row r="177" spans="1:60" s="124" customFormat="1" ht="116.25">
      <c r="A177" s="127"/>
      <c r="B177" s="92" t="s">
        <v>447</v>
      </c>
      <c r="C177" s="100" t="s">
        <v>555</v>
      </c>
      <c r="D177" s="100"/>
      <c r="E177" s="100" t="s">
        <v>667</v>
      </c>
      <c r="F177" s="100" t="s">
        <v>666</v>
      </c>
      <c r="G177" s="103" t="s">
        <v>981</v>
      </c>
      <c r="H177" s="100" t="s">
        <v>255</v>
      </c>
      <c r="I177" s="100"/>
      <c r="J177" s="100" t="s">
        <v>253</v>
      </c>
      <c r="K177" s="96" t="s">
        <v>63</v>
      </c>
      <c r="L177" s="106">
        <f t="shared" ref="L177:L240" si="4">M177*T177</f>
        <v>28600</v>
      </c>
      <c r="M177" s="98">
        <f t="shared" ref="M177:M240" si="5">Q177+R177</f>
        <v>1</v>
      </c>
      <c r="N177" s="147" t="s">
        <v>558</v>
      </c>
      <c r="O177" s="97" t="s">
        <v>472</v>
      </c>
      <c r="P177" s="96"/>
      <c r="Q177" s="96"/>
      <c r="R177" s="96">
        <v>1</v>
      </c>
      <c r="S177" s="96"/>
      <c r="T177" s="104">
        <v>28600</v>
      </c>
      <c r="U177" s="94" t="s">
        <v>980</v>
      </c>
      <c r="V177" s="125"/>
      <c r="W177" s="125"/>
      <c r="X177" s="125"/>
      <c r="Y177" s="125"/>
      <c r="Z177" s="125"/>
      <c r="AA177" s="125"/>
      <c r="AB177" s="125"/>
      <c r="AC177" s="125"/>
      <c r="AD177" s="125"/>
      <c r="AE177" s="125"/>
      <c r="AF177" s="125"/>
      <c r="AG177" s="125"/>
      <c r="AH177" s="125"/>
      <c r="AI177" s="125"/>
      <c r="AJ177" s="125"/>
      <c r="AK177" s="125"/>
      <c r="AL177" s="125"/>
      <c r="AM177" s="125"/>
      <c r="AN177" s="125"/>
      <c r="AO177" s="125"/>
      <c r="AP177" s="125"/>
      <c r="AQ177" s="125"/>
      <c r="AR177" s="125"/>
      <c r="AS177" s="125"/>
      <c r="AT177" s="125"/>
      <c r="AU177" s="125"/>
      <c r="AV177" s="125"/>
      <c r="AW177" s="125"/>
      <c r="AX177" s="125"/>
      <c r="AY177" s="125"/>
      <c r="AZ177" s="125"/>
      <c r="BA177" s="125"/>
      <c r="BB177" s="125"/>
      <c r="BC177" s="125"/>
      <c r="BD177" s="125"/>
      <c r="BE177" s="125"/>
      <c r="BF177" s="125"/>
      <c r="BG177" s="125"/>
      <c r="BH177" s="125"/>
    </row>
    <row r="178" spans="1:60" s="124" customFormat="1" ht="116.25">
      <c r="A178" s="127"/>
      <c r="B178" s="92" t="s">
        <v>447</v>
      </c>
      <c r="C178" s="100" t="s">
        <v>555</v>
      </c>
      <c r="D178" s="100"/>
      <c r="E178" s="100" t="s">
        <v>667</v>
      </c>
      <c r="F178" s="100" t="s">
        <v>666</v>
      </c>
      <c r="G178" s="100" t="s">
        <v>979</v>
      </c>
      <c r="H178" s="100" t="s">
        <v>389</v>
      </c>
      <c r="I178" s="100"/>
      <c r="J178" s="100" t="s">
        <v>387</v>
      </c>
      <c r="K178" s="96" t="s">
        <v>149</v>
      </c>
      <c r="L178" s="99">
        <f t="shared" si="4"/>
        <v>61800</v>
      </c>
      <c r="M178" s="98">
        <f t="shared" si="5"/>
        <v>2</v>
      </c>
      <c r="N178" s="147" t="s">
        <v>558</v>
      </c>
      <c r="O178" s="97" t="s">
        <v>472</v>
      </c>
      <c r="P178" s="96"/>
      <c r="Q178" s="145"/>
      <c r="R178" s="145">
        <v>2</v>
      </c>
      <c r="S178" s="98"/>
      <c r="T178" s="95">
        <v>30900</v>
      </c>
      <c r="U178" s="109" t="s">
        <v>980</v>
      </c>
      <c r="V178" s="125"/>
      <c r="W178" s="125"/>
      <c r="X178" s="125"/>
      <c r="Y178" s="125"/>
      <c r="Z178" s="125"/>
      <c r="AA178" s="125"/>
      <c r="AB178" s="125"/>
      <c r="AC178" s="125"/>
      <c r="AD178" s="125"/>
      <c r="AE178" s="125"/>
      <c r="AF178" s="125"/>
      <c r="AG178" s="125"/>
      <c r="AH178" s="125"/>
      <c r="AI178" s="125"/>
      <c r="AJ178" s="125"/>
      <c r="AK178" s="125"/>
      <c r="AL178" s="125"/>
      <c r="AM178" s="125"/>
      <c r="AN178" s="125"/>
      <c r="AO178" s="125"/>
      <c r="AP178" s="125"/>
      <c r="AQ178" s="125"/>
      <c r="AR178" s="125"/>
      <c r="AS178" s="125"/>
      <c r="AT178" s="125"/>
      <c r="AU178" s="125"/>
      <c r="AV178" s="125"/>
      <c r="AW178" s="125"/>
      <c r="AX178" s="125"/>
      <c r="AY178" s="125"/>
      <c r="AZ178" s="125"/>
      <c r="BA178" s="125"/>
      <c r="BB178" s="125"/>
      <c r="BC178" s="125"/>
      <c r="BD178" s="125"/>
      <c r="BE178" s="125"/>
      <c r="BF178" s="125"/>
      <c r="BG178" s="125"/>
      <c r="BH178" s="125"/>
    </row>
    <row r="179" spans="1:60" s="124" customFormat="1" ht="116.25">
      <c r="A179" s="127"/>
      <c r="B179" s="92" t="s">
        <v>447</v>
      </c>
      <c r="C179" s="100" t="s">
        <v>555</v>
      </c>
      <c r="D179" s="100"/>
      <c r="E179" s="100" t="s">
        <v>667</v>
      </c>
      <c r="F179" s="100" t="s">
        <v>666</v>
      </c>
      <c r="G179" s="100" t="s">
        <v>979</v>
      </c>
      <c r="H179" s="100" t="s">
        <v>148</v>
      </c>
      <c r="I179" s="100"/>
      <c r="J179" s="100" t="s">
        <v>146</v>
      </c>
      <c r="K179" s="96" t="s">
        <v>63</v>
      </c>
      <c r="L179" s="99">
        <f t="shared" si="4"/>
        <v>30900</v>
      </c>
      <c r="M179" s="98">
        <f t="shared" si="5"/>
        <v>1</v>
      </c>
      <c r="N179" s="147" t="s">
        <v>558</v>
      </c>
      <c r="O179" s="97" t="s">
        <v>472</v>
      </c>
      <c r="P179" s="98"/>
      <c r="Q179" s="145">
        <v>1</v>
      </c>
      <c r="R179" s="145"/>
      <c r="S179" s="149"/>
      <c r="T179" s="95">
        <v>30900</v>
      </c>
      <c r="U179" s="109" t="s">
        <v>978</v>
      </c>
      <c r="V179" s="125"/>
      <c r="W179" s="125"/>
      <c r="X179" s="125"/>
      <c r="Y179" s="125"/>
      <c r="Z179" s="125"/>
      <c r="AA179" s="125"/>
      <c r="AB179" s="125"/>
      <c r="AC179" s="125"/>
      <c r="AD179" s="125"/>
      <c r="AE179" s="125"/>
      <c r="AF179" s="125"/>
      <c r="AG179" s="125"/>
      <c r="AH179" s="125"/>
      <c r="AI179" s="125"/>
      <c r="AJ179" s="125"/>
      <c r="AK179" s="125"/>
      <c r="AL179" s="125"/>
      <c r="AM179" s="125"/>
      <c r="AN179" s="125"/>
      <c r="AO179" s="125"/>
      <c r="AP179" s="125"/>
      <c r="AQ179" s="125"/>
      <c r="AR179" s="125"/>
      <c r="AS179" s="125"/>
      <c r="AT179" s="125"/>
      <c r="AU179" s="125"/>
      <c r="AV179" s="125"/>
      <c r="AW179" s="125"/>
      <c r="AX179" s="125"/>
      <c r="AY179" s="125"/>
      <c r="AZ179" s="125"/>
      <c r="BA179" s="125"/>
      <c r="BB179" s="125"/>
      <c r="BC179" s="125"/>
      <c r="BD179" s="125"/>
      <c r="BE179" s="125"/>
      <c r="BF179" s="125"/>
      <c r="BG179" s="125"/>
      <c r="BH179" s="125"/>
    </row>
    <row r="180" spans="1:60" s="124" customFormat="1" ht="139.5">
      <c r="A180" s="127"/>
      <c r="B180" s="92" t="s">
        <v>447</v>
      </c>
      <c r="C180" s="100" t="s">
        <v>555</v>
      </c>
      <c r="D180" s="100"/>
      <c r="E180" s="100" t="s">
        <v>667</v>
      </c>
      <c r="F180" s="100" t="s">
        <v>666</v>
      </c>
      <c r="G180" s="100" t="s">
        <v>977</v>
      </c>
      <c r="H180" s="100" t="s">
        <v>350</v>
      </c>
      <c r="I180" s="100"/>
      <c r="J180" s="100" t="s">
        <v>103</v>
      </c>
      <c r="K180" s="96" t="s">
        <v>63</v>
      </c>
      <c r="L180" s="99">
        <f t="shared" si="4"/>
        <v>227400</v>
      </c>
      <c r="M180" s="98">
        <f t="shared" si="5"/>
        <v>6</v>
      </c>
      <c r="N180" s="147" t="s">
        <v>558</v>
      </c>
      <c r="O180" s="97" t="s">
        <v>472</v>
      </c>
      <c r="P180" s="96"/>
      <c r="Q180" s="96">
        <v>3</v>
      </c>
      <c r="R180" s="96">
        <v>3</v>
      </c>
      <c r="S180" s="96" t="s">
        <v>976</v>
      </c>
      <c r="T180" s="95">
        <v>37900</v>
      </c>
      <c r="U180" s="94" t="s">
        <v>975</v>
      </c>
      <c r="V180" s="125"/>
      <c r="W180" s="125"/>
      <c r="X180" s="125"/>
      <c r="Y180" s="125"/>
      <c r="Z180" s="125"/>
      <c r="AA180" s="125"/>
      <c r="AB180" s="125"/>
      <c r="AC180" s="125"/>
      <c r="AD180" s="125"/>
      <c r="AE180" s="125"/>
      <c r="AF180" s="125"/>
      <c r="AG180" s="125"/>
      <c r="AH180" s="125"/>
      <c r="AI180" s="125"/>
      <c r="AJ180" s="125"/>
      <c r="AK180" s="125"/>
      <c r="AL180" s="125"/>
      <c r="AM180" s="125"/>
      <c r="AN180" s="125"/>
      <c r="AO180" s="125"/>
      <c r="AP180" s="125"/>
      <c r="AQ180" s="125"/>
      <c r="AR180" s="125"/>
      <c r="AS180" s="125"/>
      <c r="AT180" s="125"/>
      <c r="AU180" s="125"/>
      <c r="AV180" s="125"/>
      <c r="AW180" s="125"/>
      <c r="AX180" s="125"/>
      <c r="AY180" s="125"/>
      <c r="AZ180" s="125"/>
      <c r="BA180" s="125"/>
      <c r="BB180" s="125"/>
      <c r="BC180" s="125"/>
      <c r="BD180" s="125"/>
      <c r="BE180" s="125"/>
      <c r="BF180" s="125"/>
      <c r="BG180" s="125"/>
      <c r="BH180" s="125"/>
    </row>
    <row r="181" spans="1:60" s="124" customFormat="1" ht="116.25">
      <c r="A181" s="127"/>
      <c r="B181" s="92" t="s">
        <v>447</v>
      </c>
      <c r="C181" s="100" t="s">
        <v>555</v>
      </c>
      <c r="D181" s="100"/>
      <c r="E181" s="100" t="s">
        <v>667</v>
      </c>
      <c r="F181" s="100" t="s">
        <v>666</v>
      </c>
      <c r="G181" s="103" t="s">
        <v>974</v>
      </c>
      <c r="H181" s="100" t="s">
        <v>141</v>
      </c>
      <c r="I181" s="100"/>
      <c r="J181" s="100" t="s">
        <v>139</v>
      </c>
      <c r="K181" s="96" t="s">
        <v>63</v>
      </c>
      <c r="L181" s="99">
        <f t="shared" si="4"/>
        <v>37900</v>
      </c>
      <c r="M181" s="98">
        <f t="shared" si="5"/>
        <v>1</v>
      </c>
      <c r="N181" s="147" t="s">
        <v>558</v>
      </c>
      <c r="O181" s="97" t="s">
        <v>472</v>
      </c>
      <c r="P181" s="96"/>
      <c r="Q181" s="96">
        <v>1</v>
      </c>
      <c r="R181" s="96"/>
      <c r="S181" s="96" t="s">
        <v>973</v>
      </c>
      <c r="T181" s="152">
        <v>37900</v>
      </c>
      <c r="U181" s="94" t="s">
        <v>972</v>
      </c>
      <c r="V181" s="125"/>
      <c r="W181" s="125"/>
      <c r="X181" s="125"/>
      <c r="Y181" s="125"/>
      <c r="Z181" s="125"/>
      <c r="AA181" s="125"/>
      <c r="AB181" s="125"/>
      <c r="AC181" s="125"/>
      <c r="AD181" s="125"/>
      <c r="AE181" s="125"/>
      <c r="AF181" s="125"/>
      <c r="AG181" s="125"/>
      <c r="AH181" s="125"/>
      <c r="AI181" s="125"/>
      <c r="AJ181" s="125"/>
      <c r="AK181" s="125"/>
      <c r="AL181" s="125"/>
      <c r="AM181" s="125"/>
      <c r="AN181" s="125"/>
      <c r="AO181" s="125"/>
      <c r="AP181" s="125"/>
      <c r="AQ181" s="125"/>
      <c r="AR181" s="125"/>
      <c r="AS181" s="125"/>
      <c r="AT181" s="125"/>
      <c r="AU181" s="125"/>
      <c r="AV181" s="125"/>
      <c r="AW181" s="125"/>
      <c r="AX181" s="125"/>
      <c r="AY181" s="125"/>
      <c r="AZ181" s="125"/>
      <c r="BA181" s="125"/>
      <c r="BB181" s="125"/>
      <c r="BC181" s="125"/>
      <c r="BD181" s="125"/>
      <c r="BE181" s="125"/>
      <c r="BF181" s="125"/>
      <c r="BG181" s="125"/>
      <c r="BH181" s="125"/>
    </row>
    <row r="182" spans="1:60" s="124" customFormat="1" ht="232.5">
      <c r="A182" s="127"/>
      <c r="B182" s="92" t="s">
        <v>447</v>
      </c>
      <c r="C182" s="100" t="s">
        <v>555</v>
      </c>
      <c r="D182" s="100"/>
      <c r="E182" s="100" t="s">
        <v>667</v>
      </c>
      <c r="F182" s="100" t="s">
        <v>666</v>
      </c>
      <c r="G182" s="100" t="s">
        <v>968</v>
      </c>
      <c r="H182" s="100" t="s">
        <v>62</v>
      </c>
      <c r="I182" s="100"/>
      <c r="J182" s="100" t="s">
        <v>60</v>
      </c>
      <c r="K182" s="96" t="s">
        <v>40</v>
      </c>
      <c r="L182" s="99">
        <f t="shared" si="4"/>
        <v>204500</v>
      </c>
      <c r="M182" s="98">
        <f t="shared" si="5"/>
        <v>5</v>
      </c>
      <c r="N182" s="147" t="s">
        <v>558</v>
      </c>
      <c r="O182" s="97" t="s">
        <v>472</v>
      </c>
      <c r="P182" s="96"/>
      <c r="Q182" s="96">
        <v>5</v>
      </c>
      <c r="R182" s="96"/>
      <c r="S182" s="96" t="s">
        <v>971</v>
      </c>
      <c r="T182" s="95">
        <v>40900</v>
      </c>
      <c r="U182" s="94" t="s">
        <v>970</v>
      </c>
      <c r="V182" s="125"/>
      <c r="W182" s="125"/>
      <c r="X182" s="125"/>
      <c r="Y182" s="125"/>
      <c r="Z182" s="125"/>
      <c r="AA182" s="125"/>
      <c r="AB182" s="125"/>
      <c r="AC182" s="125"/>
      <c r="AD182" s="125"/>
      <c r="AE182" s="125"/>
      <c r="AF182" s="125"/>
      <c r="AG182" s="125"/>
      <c r="AH182" s="125"/>
      <c r="AI182" s="125"/>
      <c r="AJ182" s="125"/>
      <c r="AK182" s="125"/>
      <c r="AL182" s="125"/>
      <c r="AM182" s="125"/>
      <c r="AN182" s="125"/>
      <c r="AO182" s="125"/>
      <c r="AP182" s="125"/>
      <c r="AQ182" s="125"/>
      <c r="AR182" s="125"/>
      <c r="AS182" s="125"/>
      <c r="AT182" s="125"/>
      <c r="AU182" s="125"/>
      <c r="AV182" s="125"/>
      <c r="AW182" s="125"/>
      <c r="AX182" s="125"/>
      <c r="AY182" s="125"/>
      <c r="AZ182" s="125"/>
      <c r="BA182" s="125"/>
      <c r="BB182" s="125"/>
      <c r="BC182" s="125"/>
      <c r="BD182" s="125"/>
      <c r="BE182" s="125"/>
      <c r="BF182" s="125"/>
      <c r="BG182" s="125"/>
      <c r="BH182" s="125"/>
    </row>
    <row r="183" spans="1:60" s="124" customFormat="1" ht="116.25">
      <c r="A183" s="127"/>
      <c r="B183" s="92" t="s">
        <v>447</v>
      </c>
      <c r="C183" s="100" t="s">
        <v>555</v>
      </c>
      <c r="D183" s="100"/>
      <c r="E183" s="100" t="s">
        <v>667</v>
      </c>
      <c r="F183" s="100" t="s">
        <v>666</v>
      </c>
      <c r="G183" s="100" t="s">
        <v>968</v>
      </c>
      <c r="H183" s="100" t="s">
        <v>18</v>
      </c>
      <c r="I183" s="100"/>
      <c r="J183" s="100" t="s">
        <v>14</v>
      </c>
      <c r="K183" s="96" t="s">
        <v>13</v>
      </c>
      <c r="L183" s="99">
        <f t="shared" si="4"/>
        <v>81800</v>
      </c>
      <c r="M183" s="98">
        <f t="shared" si="5"/>
        <v>2</v>
      </c>
      <c r="N183" s="147" t="s">
        <v>558</v>
      </c>
      <c r="O183" s="97" t="s">
        <v>472</v>
      </c>
      <c r="P183" s="98"/>
      <c r="Q183" s="98"/>
      <c r="R183" s="98">
        <v>2</v>
      </c>
      <c r="S183" s="98"/>
      <c r="T183" s="95">
        <v>40900</v>
      </c>
      <c r="U183" s="160" t="s">
        <v>969</v>
      </c>
      <c r="V183" s="125"/>
      <c r="W183" s="125"/>
      <c r="X183" s="125"/>
      <c r="Y183" s="125"/>
      <c r="Z183" s="125"/>
      <c r="AA183" s="125"/>
      <c r="AB183" s="125"/>
      <c r="AC183" s="125"/>
      <c r="AD183" s="125"/>
      <c r="AE183" s="125"/>
      <c r="AF183" s="125"/>
      <c r="AG183" s="125"/>
      <c r="AH183" s="125"/>
      <c r="AI183" s="125"/>
      <c r="AJ183" s="125"/>
      <c r="AK183" s="125"/>
      <c r="AL183" s="125"/>
      <c r="AM183" s="125"/>
      <c r="AN183" s="125"/>
      <c r="AO183" s="125"/>
      <c r="AP183" s="125"/>
      <c r="AQ183" s="125"/>
      <c r="AR183" s="125"/>
      <c r="AS183" s="125"/>
      <c r="AT183" s="125"/>
      <c r="AU183" s="125"/>
      <c r="AV183" s="125"/>
      <c r="AW183" s="125"/>
      <c r="AX183" s="125"/>
      <c r="AY183" s="125"/>
      <c r="AZ183" s="125"/>
      <c r="BA183" s="125"/>
      <c r="BB183" s="125"/>
      <c r="BC183" s="125"/>
      <c r="BD183" s="125"/>
      <c r="BE183" s="125"/>
      <c r="BF183" s="125"/>
      <c r="BG183" s="125"/>
      <c r="BH183" s="125"/>
    </row>
    <row r="184" spans="1:60" s="124" customFormat="1" ht="116.25">
      <c r="A184" s="127"/>
      <c r="B184" s="92" t="s">
        <v>447</v>
      </c>
      <c r="C184" s="100" t="s">
        <v>555</v>
      </c>
      <c r="D184" s="100"/>
      <c r="E184" s="100" t="s">
        <v>667</v>
      </c>
      <c r="F184" s="100" t="s">
        <v>666</v>
      </c>
      <c r="G184" s="100" t="s">
        <v>968</v>
      </c>
      <c r="H184" s="100" t="s">
        <v>53</v>
      </c>
      <c r="I184" s="100"/>
      <c r="J184" s="100" t="s">
        <v>51</v>
      </c>
      <c r="K184" s="96" t="s">
        <v>40</v>
      </c>
      <c r="L184" s="99">
        <f t="shared" si="4"/>
        <v>163600</v>
      </c>
      <c r="M184" s="98">
        <f t="shared" si="5"/>
        <v>4</v>
      </c>
      <c r="N184" s="147" t="s">
        <v>558</v>
      </c>
      <c r="O184" s="97" t="s">
        <v>472</v>
      </c>
      <c r="P184" s="98"/>
      <c r="Q184" s="98"/>
      <c r="R184" s="98">
        <v>4</v>
      </c>
      <c r="S184" s="98"/>
      <c r="T184" s="95">
        <v>40900</v>
      </c>
      <c r="U184" s="160"/>
      <c r="V184" s="125"/>
      <c r="W184" s="125"/>
      <c r="X184" s="125"/>
      <c r="Y184" s="125"/>
      <c r="Z184" s="125"/>
      <c r="AA184" s="125"/>
      <c r="AB184" s="125"/>
      <c r="AC184" s="125"/>
      <c r="AD184" s="125"/>
      <c r="AE184" s="125"/>
      <c r="AF184" s="125"/>
      <c r="AG184" s="125"/>
      <c r="AH184" s="125"/>
      <c r="AI184" s="125"/>
      <c r="AJ184" s="125"/>
      <c r="AK184" s="125"/>
      <c r="AL184" s="125"/>
      <c r="AM184" s="125"/>
      <c r="AN184" s="125"/>
      <c r="AO184" s="125"/>
      <c r="AP184" s="125"/>
      <c r="AQ184" s="125"/>
      <c r="AR184" s="125"/>
      <c r="AS184" s="125"/>
      <c r="AT184" s="125"/>
      <c r="AU184" s="125"/>
      <c r="AV184" s="125"/>
      <c r="AW184" s="125"/>
      <c r="AX184" s="125"/>
      <c r="AY184" s="125"/>
      <c r="AZ184" s="125"/>
      <c r="BA184" s="125"/>
      <c r="BB184" s="125"/>
      <c r="BC184" s="125"/>
      <c r="BD184" s="125"/>
      <c r="BE184" s="125"/>
      <c r="BF184" s="125"/>
      <c r="BG184" s="125"/>
      <c r="BH184" s="125"/>
    </row>
    <row r="185" spans="1:60" s="124" customFormat="1" ht="116.25">
      <c r="A185" s="127"/>
      <c r="B185" s="92" t="s">
        <v>447</v>
      </c>
      <c r="C185" s="100" t="s">
        <v>555</v>
      </c>
      <c r="D185" s="100"/>
      <c r="E185" s="100" t="s">
        <v>667</v>
      </c>
      <c r="F185" s="100" t="s">
        <v>666</v>
      </c>
      <c r="G185" s="103" t="s">
        <v>967</v>
      </c>
      <c r="H185" s="100" t="s">
        <v>365</v>
      </c>
      <c r="I185" s="100"/>
      <c r="J185" s="100" t="s">
        <v>110</v>
      </c>
      <c r="K185" s="96" t="s">
        <v>63</v>
      </c>
      <c r="L185" s="99">
        <f t="shared" si="4"/>
        <v>290400</v>
      </c>
      <c r="M185" s="98">
        <f t="shared" si="5"/>
        <v>8</v>
      </c>
      <c r="N185" s="147" t="s">
        <v>558</v>
      </c>
      <c r="O185" s="97" t="s">
        <v>472</v>
      </c>
      <c r="P185" s="96"/>
      <c r="Q185" s="96">
        <v>8</v>
      </c>
      <c r="R185" s="96"/>
      <c r="S185" s="134"/>
      <c r="T185" s="95">
        <v>36300</v>
      </c>
      <c r="U185" s="94" t="s">
        <v>965</v>
      </c>
      <c r="V185" s="125"/>
      <c r="W185" s="125"/>
      <c r="X185" s="125"/>
      <c r="Y185" s="125"/>
      <c r="Z185" s="125"/>
      <c r="AA185" s="125"/>
      <c r="AB185" s="125"/>
      <c r="AC185" s="125"/>
      <c r="AD185" s="125"/>
      <c r="AE185" s="125"/>
      <c r="AF185" s="125"/>
      <c r="AG185" s="125"/>
      <c r="AH185" s="125"/>
      <c r="AI185" s="125"/>
      <c r="AJ185" s="125"/>
      <c r="AK185" s="125"/>
      <c r="AL185" s="125"/>
      <c r="AM185" s="125"/>
      <c r="AN185" s="125"/>
      <c r="AO185" s="125"/>
      <c r="AP185" s="125"/>
      <c r="AQ185" s="125"/>
      <c r="AR185" s="125"/>
      <c r="AS185" s="125"/>
      <c r="AT185" s="125"/>
      <c r="AU185" s="125"/>
      <c r="AV185" s="125"/>
      <c r="AW185" s="125"/>
      <c r="AX185" s="125"/>
      <c r="AY185" s="125"/>
      <c r="AZ185" s="125"/>
      <c r="BA185" s="125"/>
      <c r="BB185" s="125"/>
      <c r="BC185" s="125"/>
      <c r="BD185" s="125"/>
      <c r="BE185" s="125"/>
      <c r="BF185" s="125"/>
      <c r="BG185" s="125"/>
      <c r="BH185" s="125"/>
    </row>
    <row r="186" spans="1:60" s="124" customFormat="1" ht="116.25">
      <c r="A186" s="127"/>
      <c r="B186" s="92" t="s">
        <v>447</v>
      </c>
      <c r="C186" s="100" t="s">
        <v>555</v>
      </c>
      <c r="D186" s="100"/>
      <c r="E186" s="100" t="s">
        <v>667</v>
      </c>
      <c r="F186" s="100" t="s">
        <v>666</v>
      </c>
      <c r="G186" s="103" t="s">
        <v>966</v>
      </c>
      <c r="H186" s="100" t="s">
        <v>45</v>
      </c>
      <c r="I186" s="100"/>
      <c r="J186" s="100" t="s">
        <v>41</v>
      </c>
      <c r="K186" s="96" t="s">
        <v>40</v>
      </c>
      <c r="L186" s="106">
        <f t="shared" si="4"/>
        <v>435000</v>
      </c>
      <c r="M186" s="98">
        <f t="shared" si="5"/>
        <v>10</v>
      </c>
      <c r="N186" s="147" t="s">
        <v>558</v>
      </c>
      <c r="O186" s="97" t="s">
        <v>472</v>
      </c>
      <c r="P186" s="96"/>
      <c r="Q186" s="107">
        <v>10</v>
      </c>
      <c r="R186" s="96"/>
      <c r="S186" s="134"/>
      <c r="T186" s="104">
        <v>43500</v>
      </c>
      <c r="U186" s="94" t="s">
        <v>965</v>
      </c>
      <c r="V186" s="125"/>
      <c r="W186" s="125"/>
      <c r="X186" s="125"/>
      <c r="Y186" s="125"/>
      <c r="Z186" s="125"/>
      <c r="AA186" s="125"/>
      <c r="AB186" s="125"/>
      <c r="AC186" s="125"/>
      <c r="AD186" s="125"/>
      <c r="AE186" s="125"/>
      <c r="AF186" s="125"/>
      <c r="AG186" s="125"/>
      <c r="AH186" s="125"/>
      <c r="AI186" s="125"/>
      <c r="AJ186" s="125"/>
      <c r="AK186" s="125"/>
      <c r="AL186" s="125"/>
      <c r="AM186" s="125"/>
      <c r="AN186" s="125"/>
      <c r="AO186" s="125"/>
      <c r="AP186" s="125"/>
      <c r="AQ186" s="125"/>
      <c r="AR186" s="125"/>
      <c r="AS186" s="125"/>
      <c r="AT186" s="125"/>
      <c r="AU186" s="125"/>
      <c r="AV186" s="125"/>
      <c r="AW186" s="125"/>
      <c r="AX186" s="125"/>
      <c r="AY186" s="125"/>
      <c r="AZ186" s="125"/>
      <c r="BA186" s="125"/>
      <c r="BB186" s="125"/>
      <c r="BC186" s="125"/>
      <c r="BD186" s="125"/>
      <c r="BE186" s="125"/>
      <c r="BF186" s="125"/>
      <c r="BG186" s="125"/>
      <c r="BH186" s="125"/>
    </row>
    <row r="187" spans="1:60" s="124" customFormat="1" ht="116.25">
      <c r="A187" s="127"/>
      <c r="B187" s="92" t="s">
        <v>447</v>
      </c>
      <c r="C187" s="100" t="s">
        <v>555</v>
      </c>
      <c r="D187" s="100"/>
      <c r="E187" s="100" t="s">
        <v>667</v>
      </c>
      <c r="F187" s="100" t="s">
        <v>666</v>
      </c>
      <c r="G187" s="126" t="s">
        <v>963</v>
      </c>
      <c r="H187" s="100" t="s">
        <v>265</v>
      </c>
      <c r="I187" s="100"/>
      <c r="J187" s="100" t="s">
        <v>263</v>
      </c>
      <c r="K187" s="96" t="s">
        <v>63</v>
      </c>
      <c r="L187" s="99">
        <f t="shared" si="4"/>
        <v>428800</v>
      </c>
      <c r="M187" s="98">
        <f t="shared" si="5"/>
        <v>8</v>
      </c>
      <c r="N187" s="147" t="s">
        <v>558</v>
      </c>
      <c r="O187" s="97" t="s">
        <v>472</v>
      </c>
      <c r="P187" s="96"/>
      <c r="Q187" s="96"/>
      <c r="R187" s="96">
        <v>8</v>
      </c>
      <c r="S187" s="96"/>
      <c r="T187" s="95">
        <v>53600</v>
      </c>
      <c r="U187" s="94" t="s">
        <v>964</v>
      </c>
      <c r="V187" s="125"/>
      <c r="W187" s="125"/>
      <c r="X187" s="125"/>
      <c r="Y187" s="125"/>
      <c r="Z187" s="125"/>
      <c r="AA187" s="125"/>
      <c r="AB187" s="125"/>
      <c r="AC187" s="125"/>
      <c r="AD187" s="125"/>
      <c r="AE187" s="125"/>
      <c r="AF187" s="125"/>
      <c r="AG187" s="125"/>
      <c r="AH187" s="125"/>
      <c r="AI187" s="125"/>
      <c r="AJ187" s="125"/>
      <c r="AK187" s="125"/>
      <c r="AL187" s="125"/>
      <c r="AM187" s="125"/>
      <c r="AN187" s="125"/>
      <c r="AO187" s="125"/>
      <c r="AP187" s="125"/>
      <c r="AQ187" s="125"/>
      <c r="AR187" s="125"/>
      <c r="AS187" s="125"/>
      <c r="AT187" s="125"/>
      <c r="AU187" s="125"/>
      <c r="AV187" s="125"/>
      <c r="AW187" s="125"/>
      <c r="AX187" s="125"/>
      <c r="AY187" s="125"/>
      <c r="AZ187" s="125"/>
      <c r="BA187" s="125"/>
      <c r="BB187" s="125"/>
      <c r="BC187" s="125"/>
      <c r="BD187" s="125"/>
      <c r="BE187" s="125"/>
      <c r="BF187" s="125"/>
      <c r="BG187" s="125"/>
      <c r="BH187" s="125"/>
    </row>
    <row r="188" spans="1:60" s="124" customFormat="1" ht="116.25">
      <c r="A188" s="127"/>
      <c r="B188" s="92" t="s">
        <v>447</v>
      </c>
      <c r="C188" s="100" t="s">
        <v>555</v>
      </c>
      <c r="D188" s="100"/>
      <c r="E188" s="100" t="s">
        <v>667</v>
      </c>
      <c r="F188" s="100" t="s">
        <v>666</v>
      </c>
      <c r="G188" s="126" t="s">
        <v>963</v>
      </c>
      <c r="H188" s="100" t="s">
        <v>171</v>
      </c>
      <c r="I188" s="100"/>
      <c r="J188" s="100" t="s">
        <v>169</v>
      </c>
      <c r="K188" s="96" t="s">
        <v>149</v>
      </c>
      <c r="L188" s="99">
        <f t="shared" si="4"/>
        <v>53600</v>
      </c>
      <c r="M188" s="98">
        <f t="shared" si="5"/>
        <v>1</v>
      </c>
      <c r="N188" s="147" t="s">
        <v>558</v>
      </c>
      <c r="O188" s="97" t="s">
        <v>472</v>
      </c>
      <c r="P188" s="98"/>
      <c r="Q188" s="98">
        <v>1</v>
      </c>
      <c r="R188" s="98"/>
      <c r="S188" s="96" t="s">
        <v>962</v>
      </c>
      <c r="T188" s="95">
        <v>53600</v>
      </c>
      <c r="U188" s="131" t="s">
        <v>961</v>
      </c>
      <c r="V188" s="125"/>
      <c r="W188" s="125"/>
      <c r="X188" s="125"/>
      <c r="Y188" s="125"/>
      <c r="Z188" s="125"/>
      <c r="AA188" s="125"/>
      <c r="AB188" s="125"/>
      <c r="AC188" s="125"/>
      <c r="AD188" s="125"/>
      <c r="AE188" s="125"/>
      <c r="AF188" s="125"/>
      <c r="AG188" s="125"/>
      <c r="AH188" s="125"/>
      <c r="AI188" s="125"/>
      <c r="AJ188" s="125"/>
      <c r="AK188" s="125"/>
      <c r="AL188" s="125"/>
      <c r="AM188" s="125"/>
      <c r="AN188" s="125"/>
      <c r="AO188" s="125"/>
      <c r="AP188" s="125"/>
      <c r="AQ188" s="125"/>
      <c r="AR188" s="125"/>
      <c r="AS188" s="125"/>
      <c r="AT188" s="125"/>
      <c r="AU188" s="125"/>
      <c r="AV188" s="125"/>
      <c r="AW188" s="125"/>
      <c r="AX188" s="125"/>
      <c r="AY188" s="125"/>
      <c r="AZ188" s="125"/>
      <c r="BA188" s="125"/>
      <c r="BB188" s="125"/>
      <c r="BC188" s="125"/>
      <c r="BD188" s="125"/>
      <c r="BE188" s="125"/>
      <c r="BF188" s="125"/>
      <c r="BG188" s="125"/>
      <c r="BH188" s="125"/>
    </row>
    <row r="189" spans="1:60" s="124" customFormat="1" ht="116.25">
      <c r="A189" s="127"/>
      <c r="B189" s="92" t="s">
        <v>447</v>
      </c>
      <c r="C189" s="100" t="s">
        <v>555</v>
      </c>
      <c r="D189" s="100"/>
      <c r="E189" s="100" t="s">
        <v>667</v>
      </c>
      <c r="F189" s="100" t="s">
        <v>666</v>
      </c>
      <c r="G189" s="126" t="s">
        <v>960</v>
      </c>
      <c r="H189" s="100" t="s">
        <v>50</v>
      </c>
      <c r="I189" s="100"/>
      <c r="J189" s="100" t="s">
        <v>46</v>
      </c>
      <c r="K189" s="96" t="s">
        <v>40</v>
      </c>
      <c r="L189" s="106">
        <f t="shared" si="4"/>
        <v>165000</v>
      </c>
      <c r="M189" s="98">
        <f t="shared" si="5"/>
        <v>3</v>
      </c>
      <c r="N189" s="147" t="s">
        <v>558</v>
      </c>
      <c r="O189" s="97" t="s">
        <v>472</v>
      </c>
      <c r="P189" s="96"/>
      <c r="Q189" s="96"/>
      <c r="R189" s="98">
        <v>3</v>
      </c>
      <c r="S189" s="98"/>
      <c r="T189" s="104">
        <v>55000</v>
      </c>
      <c r="U189" s="94" t="s">
        <v>959</v>
      </c>
      <c r="V189" s="125"/>
      <c r="W189" s="125"/>
      <c r="X189" s="125"/>
      <c r="Y189" s="125"/>
      <c r="Z189" s="125"/>
      <c r="AA189" s="125"/>
      <c r="AB189" s="125"/>
      <c r="AC189" s="125"/>
      <c r="AD189" s="125"/>
      <c r="AE189" s="125"/>
      <c r="AF189" s="125"/>
      <c r="AG189" s="125"/>
      <c r="AH189" s="125"/>
      <c r="AI189" s="125"/>
      <c r="AJ189" s="125"/>
      <c r="AK189" s="125"/>
      <c r="AL189" s="125"/>
      <c r="AM189" s="125"/>
      <c r="AN189" s="125"/>
      <c r="AO189" s="125"/>
      <c r="AP189" s="125"/>
      <c r="AQ189" s="125"/>
      <c r="AR189" s="125"/>
      <c r="AS189" s="125"/>
      <c r="AT189" s="125"/>
      <c r="AU189" s="125"/>
      <c r="AV189" s="125"/>
      <c r="AW189" s="125"/>
      <c r="AX189" s="125"/>
      <c r="AY189" s="125"/>
      <c r="AZ189" s="125"/>
      <c r="BA189" s="125"/>
      <c r="BB189" s="125"/>
      <c r="BC189" s="125"/>
      <c r="BD189" s="125"/>
      <c r="BE189" s="125"/>
      <c r="BF189" s="125"/>
      <c r="BG189" s="125"/>
      <c r="BH189" s="125"/>
    </row>
    <row r="190" spans="1:60" s="124" customFormat="1" ht="116.25">
      <c r="A190" s="127"/>
      <c r="B190" s="92" t="s">
        <v>447</v>
      </c>
      <c r="C190" s="100" t="s">
        <v>555</v>
      </c>
      <c r="D190" s="100"/>
      <c r="E190" s="100" t="s">
        <v>667</v>
      </c>
      <c r="F190" s="100" t="s">
        <v>666</v>
      </c>
      <c r="G190" s="126" t="s">
        <v>960</v>
      </c>
      <c r="H190" s="100" t="s">
        <v>259</v>
      </c>
      <c r="I190" s="100"/>
      <c r="J190" s="100" t="s">
        <v>257</v>
      </c>
      <c r="K190" s="96" t="s">
        <v>63</v>
      </c>
      <c r="L190" s="106">
        <f t="shared" si="4"/>
        <v>163200</v>
      </c>
      <c r="M190" s="98">
        <f t="shared" si="5"/>
        <v>3</v>
      </c>
      <c r="N190" s="147" t="s">
        <v>558</v>
      </c>
      <c r="O190" s="97" t="s">
        <v>472</v>
      </c>
      <c r="P190" s="96"/>
      <c r="Q190" s="96"/>
      <c r="R190" s="96">
        <v>3</v>
      </c>
      <c r="S190" s="96"/>
      <c r="T190" s="104">
        <v>54400</v>
      </c>
      <c r="U190" s="94" t="s">
        <v>959</v>
      </c>
      <c r="V190" s="125"/>
      <c r="W190" s="125"/>
      <c r="X190" s="125"/>
      <c r="Y190" s="125"/>
      <c r="Z190" s="125"/>
      <c r="AA190" s="125"/>
      <c r="AB190" s="125"/>
      <c r="AC190" s="125"/>
      <c r="AD190" s="125"/>
      <c r="AE190" s="125"/>
      <c r="AF190" s="125"/>
      <c r="AG190" s="125"/>
      <c r="AH190" s="125"/>
      <c r="AI190" s="125"/>
      <c r="AJ190" s="125"/>
      <c r="AK190" s="125"/>
      <c r="AL190" s="125"/>
      <c r="AM190" s="125"/>
      <c r="AN190" s="125"/>
      <c r="AO190" s="125"/>
      <c r="AP190" s="125"/>
      <c r="AQ190" s="125"/>
      <c r="AR190" s="125"/>
      <c r="AS190" s="125"/>
      <c r="AT190" s="125"/>
      <c r="AU190" s="125"/>
      <c r="AV190" s="125"/>
      <c r="AW190" s="125"/>
      <c r="AX190" s="125"/>
      <c r="AY190" s="125"/>
      <c r="AZ190" s="125"/>
      <c r="BA190" s="125"/>
      <c r="BB190" s="125"/>
      <c r="BC190" s="125"/>
      <c r="BD190" s="125"/>
      <c r="BE190" s="125"/>
      <c r="BF190" s="125"/>
      <c r="BG190" s="125"/>
      <c r="BH190" s="125"/>
    </row>
    <row r="191" spans="1:60" s="124" customFormat="1" ht="116.25">
      <c r="A191" s="127"/>
      <c r="B191" s="92" t="s">
        <v>447</v>
      </c>
      <c r="C191" s="100" t="s">
        <v>555</v>
      </c>
      <c r="D191" s="100"/>
      <c r="E191" s="100" t="s">
        <v>667</v>
      </c>
      <c r="F191" s="100" t="s">
        <v>666</v>
      </c>
      <c r="G191" s="126" t="s">
        <v>958</v>
      </c>
      <c r="H191" s="100" t="s">
        <v>24</v>
      </c>
      <c r="I191" s="100"/>
      <c r="J191" s="100" t="s">
        <v>22</v>
      </c>
      <c r="K191" s="96" t="s">
        <v>13</v>
      </c>
      <c r="L191" s="99">
        <f t="shared" si="4"/>
        <v>217600</v>
      </c>
      <c r="M191" s="98">
        <f t="shared" si="5"/>
        <v>4</v>
      </c>
      <c r="N191" s="147" t="s">
        <v>558</v>
      </c>
      <c r="O191" s="97" t="s">
        <v>472</v>
      </c>
      <c r="P191" s="96"/>
      <c r="Q191" s="96"/>
      <c r="R191" s="96">
        <v>4</v>
      </c>
      <c r="S191" s="96"/>
      <c r="T191" s="95">
        <v>54400</v>
      </c>
      <c r="U191" s="94" t="s">
        <v>957</v>
      </c>
      <c r="V191" s="125"/>
      <c r="W191" s="125"/>
      <c r="X191" s="125"/>
      <c r="Y191" s="125"/>
      <c r="Z191" s="125"/>
      <c r="AA191" s="125"/>
      <c r="AB191" s="125"/>
      <c r="AC191" s="125"/>
      <c r="AD191" s="125"/>
      <c r="AE191" s="125"/>
      <c r="AF191" s="125"/>
      <c r="AG191" s="125"/>
      <c r="AH191" s="125"/>
      <c r="AI191" s="125"/>
      <c r="AJ191" s="125"/>
      <c r="AK191" s="125"/>
      <c r="AL191" s="125"/>
      <c r="AM191" s="125"/>
      <c r="AN191" s="125"/>
      <c r="AO191" s="125"/>
      <c r="AP191" s="125"/>
      <c r="AQ191" s="125"/>
      <c r="AR191" s="125"/>
      <c r="AS191" s="125"/>
      <c r="AT191" s="125"/>
      <c r="AU191" s="125"/>
      <c r="AV191" s="125"/>
      <c r="AW191" s="125"/>
      <c r="AX191" s="125"/>
      <c r="AY191" s="125"/>
      <c r="AZ191" s="125"/>
      <c r="BA191" s="125"/>
      <c r="BB191" s="125"/>
      <c r="BC191" s="125"/>
      <c r="BD191" s="125"/>
      <c r="BE191" s="125"/>
      <c r="BF191" s="125"/>
      <c r="BG191" s="125"/>
      <c r="BH191" s="125"/>
    </row>
    <row r="192" spans="1:60" s="124" customFormat="1" ht="116.25">
      <c r="A192" s="127"/>
      <c r="B192" s="159" t="s">
        <v>447</v>
      </c>
      <c r="C192" s="157" t="s">
        <v>555</v>
      </c>
      <c r="D192" s="157"/>
      <c r="E192" s="157" t="s">
        <v>667</v>
      </c>
      <c r="F192" s="157" t="s">
        <v>666</v>
      </c>
      <c r="G192" s="158" t="s">
        <v>947</v>
      </c>
      <c r="H192" s="157" t="s">
        <v>457</v>
      </c>
      <c r="I192" s="157"/>
      <c r="J192" s="157" t="s">
        <v>441</v>
      </c>
      <c r="K192" s="134" t="s">
        <v>40</v>
      </c>
      <c r="L192" s="156">
        <f t="shared" si="4"/>
        <v>8000</v>
      </c>
      <c r="M192" s="149">
        <f t="shared" si="5"/>
        <v>1</v>
      </c>
      <c r="N192" s="155" t="s">
        <v>558</v>
      </c>
      <c r="O192" s="154" t="s">
        <v>472</v>
      </c>
      <c r="P192" s="134"/>
      <c r="Q192" s="153">
        <v>1</v>
      </c>
      <c r="R192" s="134"/>
      <c r="S192" s="134" t="s">
        <v>944</v>
      </c>
      <c r="T192" s="152">
        <v>8000</v>
      </c>
      <c r="U192" s="151"/>
      <c r="V192" s="125"/>
      <c r="W192" s="125"/>
      <c r="X192" s="125"/>
      <c r="Y192" s="125"/>
      <c r="Z192" s="125"/>
      <c r="AA192" s="125"/>
      <c r="AB192" s="125"/>
      <c r="AC192" s="125"/>
      <c r="AD192" s="125"/>
      <c r="AE192" s="125"/>
      <c r="AF192" s="125"/>
      <c r="AG192" s="125"/>
      <c r="AH192" s="125"/>
      <c r="AI192" s="125"/>
      <c r="AJ192" s="125"/>
      <c r="AK192" s="125"/>
      <c r="AL192" s="125"/>
      <c r="AM192" s="125"/>
      <c r="AN192" s="125"/>
      <c r="AO192" s="125"/>
      <c r="AP192" s="125"/>
      <c r="AQ192" s="125"/>
      <c r="AR192" s="125"/>
      <c r="AS192" s="125"/>
      <c r="AT192" s="125"/>
      <c r="AU192" s="125"/>
      <c r="AV192" s="125"/>
      <c r="AW192" s="125"/>
      <c r="AX192" s="125"/>
      <c r="AY192" s="125"/>
      <c r="AZ192" s="125"/>
      <c r="BA192" s="125"/>
      <c r="BB192" s="125"/>
      <c r="BC192" s="125"/>
      <c r="BD192" s="125"/>
      <c r="BE192" s="125"/>
      <c r="BF192" s="125"/>
      <c r="BG192" s="125"/>
      <c r="BH192" s="125"/>
    </row>
    <row r="193" spans="1:60" s="124" customFormat="1" ht="116.25">
      <c r="A193" s="127"/>
      <c r="B193" s="92" t="s">
        <v>447</v>
      </c>
      <c r="C193" s="100" t="s">
        <v>555</v>
      </c>
      <c r="D193" s="100"/>
      <c r="E193" s="100" t="s">
        <v>667</v>
      </c>
      <c r="F193" s="100" t="s">
        <v>666</v>
      </c>
      <c r="G193" s="100" t="s">
        <v>956</v>
      </c>
      <c r="H193" s="100" t="s">
        <v>946</v>
      </c>
      <c r="I193" s="100"/>
      <c r="J193" s="100" t="s">
        <v>945</v>
      </c>
      <c r="K193" s="96" t="s">
        <v>40</v>
      </c>
      <c r="L193" s="99">
        <f t="shared" si="4"/>
        <v>9400</v>
      </c>
      <c r="M193" s="98">
        <f t="shared" si="5"/>
        <v>1</v>
      </c>
      <c r="N193" s="96" t="s">
        <v>596</v>
      </c>
      <c r="O193" s="97" t="s">
        <v>472</v>
      </c>
      <c r="P193" s="96"/>
      <c r="Q193" s="96"/>
      <c r="R193" s="96">
        <v>1</v>
      </c>
      <c r="S193" s="96"/>
      <c r="T193" s="95">
        <v>9400</v>
      </c>
      <c r="U193" s="94" t="s">
        <v>955</v>
      </c>
      <c r="V193" s="125"/>
      <c r="W193" s="125"/>
      <c r="X193" s="125"/>
      <c r="Y193" s="125"/>
      <c r="Z193" s="125"/>
      <c r="AA193" s="125"/>
      <c r="AB193" s="125"/>
      <c r="AC193" s="125"/>
      <c r="AD193" s="125"/>
      <c r="AE193" s="125"/>
      <c r="AF193" s="125"/>
      <c r="AG193" s="125"/>
      <c r="AH193" s="125"/>
      <c r="AI193" s="125"/>
      <c r="AJ193" s="125"/>
      <c r="AK193" s="125"/>
      <c r="AL193" s="125"/>
      <c r="AM193" s="125"/>
      <c r="AN193" s="125"/>
      <c r="AO193" s="125"/>
      <c r="AP193" s="125"/>
      <c r="AQ193" s="125"/>
      <c r="AR193" s="125"/>
      <c r="AS193" s="125"/>
      <c r="AT193" s="125"/>
      <c r="AU193" s="125"/>
      <c r="AV193" s="125"/>
      <c r="AW193" s="125"/>
      <c r="AX193" s="125"/>
      <c r="AY193" s="125"/>
      <c r="AZ193" s="125"/>
      <c r="BA193" s="125"/>
      <c r="BB193" s="125"/>
      <c r="BC193" s="125"/>
      <c r="BD193" s="125"/>
      <c r="BE193" s="125"/>
      <c r="BF193" s="125"/>
      <c r="BG193" s="125"/>
      <c r="BH193" s="125"/>
    </row>
    <row r="194" spans="1:60" s="124" customFormat="1" ht="116.25">
      <c r="A194" s="127"/>
      <c r="B194" s="92" t="s">
        <v>447</v>
      </c>
      <c r="C194" s="100" t="s">
        <v>555</v>
      </c>
      <c r="D194" s="100"/>
      <c r="E194" s="100" t="s">
        <v>667</v>
      </c>
      <c r="F194" s="100" t="s">
        <v>666</v>
      </c>
      <c r="G194" s="100" t="s">
        <v>956</v>
      </c>
      <c r="H194" s="100" t="s">
        <v>18</v>
      </c>
      <c r="I194" s="100"/>
      <c r="J194" s="100" t="s">
        <v>14</v>
      </c>
      <c r="K194" s="96" t="s">
        <v>13</v>
      </c>
      <c r="L194" s="99">
        <f t="shared" si="4"/>
        <v>9400</v>
      </c>
      <c r="M194" s="98">
        <f t="shared" si="5"/>
        <v>1</v>
      </c>
      <c r="N194" s="96" t="s">
        <v>596</v>
      </c>
      <c r="O194" s="97" t="s">
        <v>472</v>
      </c>
      <c r="P194" s="96"/>
      <c r="Q194" s="96"/>
      <c r="R194" s="96">
        <v>1</v>
      </c>
      <c r="S194" s="96"/>
      <c r="T194" s="95">
        <v>9400</v>
      </c>
      <c r="U194" s="94" t="s">
        <v>955</v>
      </c>
      <c r="V194" s="125"/>
      <c r="W194" s="125"/>
      <c r="X194" s="125"/>
      <c r="Y194" s="125"/>
      <c r="Z194" s="125"/>
      <c r="AA194" s="125"/>
      <c r="AB194" s="125"/>
      <c r="AC194" s="125"/>
      <c r="AD194" s="125"/>
      <c r="AE194" s="125"/>
      <c r="AF194" s="125"/>
      <c r="AG194" s="125"/>
      <c r="AH194" s="125"/>
      <c r="AI194" s="125"/>
      <c r="AJ194" s="125"/>
      <c r="AK194" s="125"/>
      <c r="AL194" s="125"/>
      <c r="AM194" s="125"/>
      <c r="AN194" s="125"/>
      <c r="AO194" s="125"/>
      <c r="AP194" s="125"/>
      <c r="AQ194" s="125"/>
      <c r="AR194" s="125"/>
      <c r="AS194" s="125"/>
      <c r="AT194" s="125"/>
      <c r="AU194" s="125"/>
      <c r="AV194" s="125"/>
      <c r="AW194" s="125"/>
      <c r="AX194" s="125"/>
      <c r="AY194" s="125"/>
      <c r="AZ194" s="125"/>
      <c r="BA194" s="125"/>
      <c r="BB194" s="125"/>
      <c r="BC194" s="125"/>
      <c r="BD194" s="125"/>
      <c r="BE194" s="125"/>
      <c r="BF194" s="125"/>
      <c r="BG194" s="125"/>
      <c r="BH194" s="125"/>
    </row>
    <row r="195" spans="1:60" s="124" customFormat="1" ht="116.25">
      <c r="A195" s="127"/>
      <c r="B195" s="92" t="s">
        <v>447</v>
      </c>
      <c r="C195" s="100" t="s">
        <v>555</v>
      </c>
      <c r="D195" s="100"/>
      <c r="E195" s="100" t="s">
        <v>667</v>
      </c>
      <c r="F195" s="100" t="s">
        <v>666</v>
      </c>
      <c r="G195" s="100" t="s">
        <v>952</v>
      </c>
      <c r="H195" s="100" t="s">
        <v>50</v>
      </c>
      <c r="I195" s="100"/>
      <c r="J195" s="100" t="s">
        <v>46</v>
      </c>
      <c r="K195" s="96" t="s">
        <v>40</v>
      </c>
      <c r="L195" s="99">
        <f t="shared" si="4"/>
        <v>40000</v>
      </c>
      <c r="M195" s="98">
        <f t="shared" si="5"/>
        <v>1</v>
      </c>
      <c r="N195" s="96" t="s">
        <v>561</v>
      </c>
      <c r="O195" s="97"/>
      <c r="P195" s="97" t="s">
        <v>472</v>
      </c>
      <c r="Q195" s="96">
        <v>1</v>
      </c>
      <c r="R195" s="96"/>
      <c r="S195" s="96" t="s">
        <v>954</v>
      </c>
      <c r="T195" s="95">
        <v>40000</v>
      </c>
      <c r="U195" s="94" t="s">
        <v>953</v>
      </c>
      <c r="V195" s="125"/>
      <c r="W195" s="125"/>
      <c r="X195" s="125"/>
      <c r="Y195" s="125"/>
      <c r="Z195" s="125"/>
      <c r="AA195" s="125"/>
      <c r="AB195" s="125"/>
      <c r="AC195" s="125"/>
      <c r="AD195" s="125"/>
      <c r="AE195" s="125"/>
      <c r="AF195" s="125"/>
      <c r="AG195" s="125"/>
      <c r="AH195" s="125"/>
      <c r="AI195" s="125"/>
      <c r="AJ195" s="125"/>
      <c r="AK195" s="125"/>
      <c r="AL195" s="125"/>
      <c r="AM195" s="125"/>
      <c r="AN195" s="125"/>
      <c r="AO195" s="125"/>
      <c r="AP195" s="125"/>
      <c r="AQ195" s="125"/>
      <c r="AR195" s="125"/>
      <c r="AS195" s="125"/>
      <c r="AT195" s="125"/>
      <c r="AU195" s="125"/>
      <c r="AV195" s="125"/>
      <c r="AW195" s="125"/>
      <c r="AX195" s="125"/>
      <c r="AY195" s="125"/>
      <c r="AZ195" s="125"/>
      <c r="BA195" s="125"/>
      <c r="BB195" s="125"/>
      <c r="BC195" s="125"/>
      <c r="BD195" s="125"/>
      <c r="BE195" s="125"/>
      <c r="BF195" s="125"/>
      <c r="BG195" s="125"/>
      <c r="BH195" s="125"/>
    </row>
    <row r="196" spans="1:60" s="124" customFormat="1" ht="116.25">
      <c r="A196" s="127"/>
      <c r="B196" s="92" t="s">
        <v>447</v>
      </c>
      <c r="C196" s="100" t="s">
        <v>555</v>
      </c>
      <c r="D196" s="100"/>
      <c r="E196" s="100" t="s">
        <v>667</v>
      </c>
      <c r="F196" s="100" t="s">
        <v>666</v>
      </c>
      <c r="G196" s="100" t="s">
        <v>952</v>
      </c>
      <c r="H196" s="100" t="s">
        <v>300</v>
      </c>
      <c r="I196" s="100"/>
      <c r="J196" s="100" t="s">
        <v>298</v>
      </c>
      <c r="K196" s="96" t="s">
        <v>149</v>
      </c>
      <c r="L196" s="99">
        <f t="shared" si="4"/>
        <v>39150</v>
      </c>
      <c r="M196" s="98">
        <f t="shared" si="5"/>
        <v>1</v>
      </c>
      <c r="N196" s="96" t="s">
        <v>561</v>
      </c>
      <c r="O196" s="97"/>
      <c r="P196" s="97" t="s">
        <v>472</v>
      </c>
      <c r="Q196" s="96"/>
      <c r="R196" s="96">
        <v>1</v>
      </c>
      <c r="S196" s="96"/>
      <c r="T196" s="95">
        <v>39150</v>
      </c>
      <c r="U196" s="94" t="s">
        <v>868</v>
      </c>
      <c r="V196" s="125"/>
      <c r="W196" s="125"/>
      <c r="X196" s="125"/>
      <c r="Y196" s="125"/>
      <c r="Z196" s="125"/>
      <c r="AA196" s="125"/>
      <c r="AB196" s="125"/>
      <c r="AC196" s="125"/>
      <c r="AD196" s="125"/>
      <c r="AE196" s="125"/>
      <c r="AF196" s="125"/>
      <c r="AG196" s="125"/>
      <c r="AH196" s="125"/>
      <c r="AI196" s="125"/>
      <c r="AJ196" s="125"/>
      <c r="AK196" s="125"/>
      <c r="AL196" s="125"/>
      <c r="AM196" s="125"/>
      <c r="AN196" s="125"/>
      <c r="AO196" s="125"/>
      <c r="AP196" s="125"/>
      <c r="AQ196" s="125"/>
      <c r="AR196" s="125"/>
      <c r="AS196" s="125"/>
      <c r="AT196" s="125"/>
      <c r="AU196" s="125"/>
      <c r="AV196" s="125"/>
      <c r="AW196" s="125"/>
      <c r="AX196" s="125"/>
      <c r="AY196" s="125"/>
      <c r="AZ196" s="125"/>
      <c r="BA196" s="125"/>
      <c r="BB196" s="125"/>
      <c r="BC196" s="125"/>
      <c r="BD196" s="125"/>
      <c r="BE196" s="125"/>
      <c r="BF196" s="125"/>
      <c r="BG196" s="125"/>
      <c r="BH196" s="125"/>
    </row>
    <row r="197" spans="1:60" s="124" customFormat="1" ht="116.25">
      <c r="A197" s="127"/>
      <c r="B197" s="92" t="s">
        <v>447</v>
      </c>
      <c r="C197" s="100" t="s">
        <v>555</v>
      </c>
      <c r="D197" s="100"/>
      <c r="E197" s="100" t="s">
        <v>667</v>
      </c>
      <c r="F197" s="100" t="s">
        <v>666</v>
      </c>
      <c r="G197" s="100" t="s">
        <v>951</v>
      </c>
      <c r="H197" s="100" t="s">
        <v>45</v>
      </c>
      <c r="I197" s="100"/>
      <c r="J197" s="100" t="s">
        <v>41</v>
      </c>
      <c r="K197" s="96" t="s">
        <v>40</v>
      </c>
      <c r="L197" s="99">
        <f t="shared" si="4"/>
        <v>18000</v>
      </c>
      <c r="M197" s="98">
        <f t="shared" si="5"/>
        <v>10</v>
      </c>
      <c r="N197" s="98" t="s">
        <v>558</v>
      </c>
      <c r="O197" s="98"/>
      <c r="P197" s="97" t="s">
        <v>472</v>
      </c>
      <c r="Q197" s="98"/>
      <c r="R197" s="98">
        <v>10</v>
      </c>
      <c r="S197" s="98"/>
      <c r="T197" s="95">
        <v>1800</v>
      </c>
      <c r="U197" s="131" t="s">
        <v>949</v>
      </c>
      <c r="V197" s="125"/>
      <c r="W197" s="125"/>
      <c r="X197" s="125"/>
      <c r="Y197" s="125"/>
      <c r="Z197" s="125"/>
      <c r="AA197" s="125"/>
      <c r="AB197" s="125"/>
      <c r="AC197" s="125"/>
      <c r="AD197" s="125"/>
      <c r="AE197" s="125"/>
      <c r="AF197" s="125"/>
      <c r="AG197" s="125"/>
      <c r="AH197" s="125"/>
      <c r="AI197" s="125"/>
      <c r="AJ197" s="125"/>
      <c r="AK197" s="125"/>
      <c r="AL197" s="125"/>
      <c r="AM197" s="125"/>
      <c r="AN197" s="125"/>
      <c r="AO197" s="125"/>
      <c r="AP197" s="125"/>
      <c r="AQ197" s="125"/>
      <c r="AR197" s="125"/>
      <c r="AS197" s="125"/>
      <c r="AT197" s="125"/>
      <c r="AU197" s="125"/>
      <c r="AV197" s="125"/>
      <c r="AW197" s="125"/>
      <c r="AX197" s="125"/>
      <c r="AY197" s="125"/>
      <c r="AZ197" s="125"/>
      <c r="BA197" s="125"/>
      <c r="BB197" s="125"/>
      <c r="BC197" s="125"/>
      <c r="BD197" s="125"/>
      <c r="BE197" s="125"/>
      <c r="BF197" s="125"/>
      <c r="BG197" s="125"/>
      <c r="BH197" s="125"/>
    </row>
    <row r="198" spans="1:60" s="124" customFormat="1" ht="116.25">
      <c r="A198" s="127"/>
      <c r="B198" s="92" t="s">
        <v>447</v>
      </c>
      <c r="C198" s="100" t="s">
        <v>555</v>
      </c>
      <c r="D198" s="100"/>
      <c r="E198" s="100" t="s">
        <v>667</v>
      </c>
      <c r="F198" s="100" t="s">
        <v>666</v>
      </c>
      <c r="G198" s="100" t="s">
        <v>951</v>
      </c>
      <c r="H198" s="100" t="s">
        <v>456</v>
      </c>
      <c r="I198" s="100"/>
      <c r="J198" s="100" t="s">
        <v>442</v>
      </c>
      <c r="K198" s="96" t="s">
        <v>40</v>
      </c>
      <c r="L198" s="99">
        <f t="shared" si="4"/>
        <v>12980</v>
      </c>
      <c r="M198" s="98">
        <f t="shared" si="5"/>
        <v>10</v>
      </c>
      <c r="N198" s="98" t="s">
        <v>558</v>
      </c>
      <c r="O198" s="98"/>
      <c r="P198" s="97" t="s">
        <v>472</v>
      </c>
      <c r="Q198" s="98"/>
      <c r="R198" s="98">
        <v>10</v>
      </c>
      <c r="S198" s="98"/>
      <c r="T198" s="95">
        <v>1298</v>
      </c>
      <c r="U198" s="131" t="s">
        <v>949</v>
      </c>
      <c r="V198" s="125"/>
      <c r="W198" s="125"/>
      <c r="X198" s="125"/>
      <c r="Y198" s="125"/>
      <c r="Z198" s="125"/>
      <c r="AA198" s="125"/>
      <c r="AB198" s="125"/>
      <c r="AC198" s="125"/>
      <c r="AD198" s="125"/>
      <c r="AE198" s="125"/>
      <c r="AF198" s="125"/>
      <c r="AG198" s="125"/>
      <c r="AH198" s="125"/>
      <c r="AI198" s="125"/>
      <c r="AJ198" s="125"/>
      <c r="AK198" s="125"/>
      <c r="AL198" s="125"/>
      <c r="AM198" s="125"/>
      <c r="AN198" s="125"/>
      <c r="AO198" s="125"/>
      <c r="AP198" s="125"/>
      <c r="AQ198" s="125"/>
      <c r="AR198" s="125"/>
      <c r="AS198" s="125"/>
      <c r="AT198" s="125"/>
      <c r="AU198" s="125"/>
      <c r="AV198" s="125"/>
      <c r="AW198" s="125"/>
      <c r="AX198" s="125"/>
      <c r="AY198" s="125"/>
      <c r="AZ198" s="125"/>
      <c r="BA198" s="125"/>
      <c r="BB198" s="125"/>
      <c r="BC198" s="125"/>
      <c r="BD198" s="125"/>
      <c r="BE198" s="125"/>
      <c r="BF198" s="125"/>
      <c r="BG198" s="125"/>
      <c r="BH198" s="125"/>
    </row>
    <row r="199" spans="1:60" s="124" customFormat="1" ht="116.25">
      <c r="A199" s="127"/>
      <c r="B199" s="92" t="s">
        <v>447</v>
      </c>
      <c r="C199" s="100" t="s">
        <v>555</v>
      </c>
      <c r="D199" s="100"/>
      <c r="E199" s="100" t="s">
        <v>667</v>
      </c>
      <c r="F199" s="100" t="s">
        <v>666</v>
      </c>
      <c r="G199" s="100" t="s">
        <v>950</v>
      </c>
      <c r="H199" s="100" t="s">
        <v>204</v>
      </c>
      <c r="I199" s="100"/>
      <c r="J199" s="100" t="s">
        <v>202</v>
      </c>
      <c r="K199" s="96" t="s">
        <v>63</v>
      </c>
      <c r="L199" s="99">
        <f t="shared" si="4"/>
        <v>3000</v>
      </c>
      <c r="M199" s="98">
        <f t="shared" si="5"/>
        <v>2</v>
      </c>
      <c r="N199" s="98" t="s">
        <v>558</v>
      </c>
      <c r="O199" s="96"/>
      <c r="P199" s="97" t="s">
        <v>472</v>
      </c>
      <c r="Q199" s="98"/>
      <c r="R199" s="98">
        <v>2</v>
      </c>
      <c r="S199" s="98"/>
      <c r="T199" s="95">
        <v>1500</v>
      </c>
      <c r="U199" s="150" t="s">
        <v>949</v>
      </c>
      <c r="V199" s="125"/>
      <c r="W199" s="125"/>
      <c r="X199" s="125"/>
      <c r="Y199" s="125"/>
      <c r="Z199" s="125"/>
      <c r="AA199" s="125"/>
      <c r="AB199" s="125"/>
      <c r="AC199" s="125"/>
      <c r="AD199" s="125"/>
      <c r="AE199" s="125"/>
      <c r="AF199" s="125"/>
      <c r="AG199" s="125"/>
      <c r="AH199" s="125"/>
      <c r="AI199" s="125"/>
      <c r="AJ199" s="125"/>
      <c r="AK199" s="125"/>
      <c r="AL199" s="125"/>
      <c r="AM199" s="125"/>
      <c r="AN199" s="125"/>
      <c r="AO199" s="125"/>
      <c r="AP199" s="125"/>
      <c r="AQ199" s="125"/>
      <c r="AR199" s="125"/>
      <c r="AS199" s="125"/>
      <c r="AT199" s="125"/>
      <c r="AU199" s="125"/>
      <c r="AV199" s="125"/>
      <c r="AW199" s="125"/>
      <c r="AX199" s="125"/>
      <c r="AY199" s="125"/>
      <c r="AZ199" s="125"/>
      <c r="BA199" s="125"/>
      <c r="BB199" s="125"/>
      <c r="BC199" s="125"/>
      <c r="BD199" s="125"/>
      <c r="BE199" s="125"/>
      <c r="BF199" s="125"/>
      <c r="BG199" s="125"/>
      <c r="BH199" s="125"/>
    </row>
    <row r="200" spans="1:60" s="124" customFormat="1" ht="116.25">
      <c r="A200" s="127"/>
      <c r="B200" s="92" t="s">
        <v>447</v>
      </c>
      <c r="C200" s="100" t="s">
        <v>555</v>
      </c>
      <c r="D200" s="100"/>
      <c r="E200" s="100" t="s">
        <v>667</v>
      </c>
      <c r="F200" s="100" t="s">
        <v>666</v>
      </c>
      <c r="G200" s="100" t="s">
        <v>947</v>
      </c>
      <c r="H200" s="100" t="s">
        <v>381</v>
      </c>
      <c r="I200" s="100"/>
      <c r="J200" s="100" t="s">
        <v>379</v>
      </c>
      <c r="K200" s="96" t="s">
        <v>63</v>
      </c>
      <c r="L200" s="106">
        <f t="shared" si="4"/>
        <v>8600</v>
      </c>
      <c r="M200" s="98">
        <f t="shared" si="5"/>
        <v>1</v>
      </c>
      <c r="N200" s="98" t="s">
        <v>558</v>
      </c>
      <c r="O200" s="97" t="s">
        <v>472</v>
      </c>
      <c r="P200" s="96"/>
      <c r="Q200" s="96"/>
      <c r="R200" s="107">
        <v>1</v>
      </c>
      <c r="S200" s="96"/>
      <c r="T200" s="104">
        <v>8600</v>
      </c>
      <c r="U200" s="94" t="s">
        <v>948</v>
      </c>
      <c r="V200" s="125"/>
      <c r="W200" s="125"/>
      <c r="X200" s="125"/>
      <c r="Y200" s="125"/>
      <c r="Z200" s="125"/>
      <c r="AA200" s="125"/>
      <c r="AB200" s="125"/>
      <c r="AC200" s="125"/>
      <c r="AD200" s="125"/>
      <c r="AE200" s="125"/>
      <c r="AF200" s="125"/>
      <c r="AG200" s="125"/>
      <c r="AH200" s="125"/>
      <c r="AI200" s="125"/>
      <c r="AJ200" s="125"/>
      <c r="AK200" s="125"/>
      <c r="AL200" s="125"/>
      <c r="AM200" s="125"/>
      <c r="AN200" s="125"/>
      <c r="AO200" s="125"/>
      <c r="AP200" s="125"/>
      <c r="AQ200" s="125"/>
      <c r="AR200" s="125"/>
      <c r="AS200" s="125"/>
      <c r="AT200" s="125"/>
      <c r="AU200" s="125"/>
      <c r="AV200" s="125"/>
      <c r="AW200" s="125"/>
      <c r="AX200" s="125"/>
      <c r="AY200" s="125"/>
      <c r="AZ200" s="125"/>
      <c r="BA200" s="125"/>
      <c r="BB200" s="125"/>
      <c r="BC200" s="125"/>
      <c r="BD200" s="125"/>
      <c r="BE200" s="125"/>
      <c r="BF200" s="125"/>
      <c r="BG200" s="125"/>
      <c r="BH200" s="125"/>
    </row>
    <row r="201" spans="1:60" s="124" customFormat="1" ht="116.25">
      <c r="A201" s="127"/>
      <c r="B201" s="92" t="s">
        <v>447</v>
      </c>
      <c r="C201" s="100" t="s">
        <v>555</v>
      </c>
      <c r="D201" s="100"/>
      <c r="E201" s="100" t="s">
        <v>667</v>
      </c>
      <c r="F201" s="100" t="s">
        <v>666</v>
      </c>
      <c r="G201" s="100" t="s">
        <v>947</v>
      </c>
      <c r="H201" s="100" t="s">
        <v>946</v>
      </c>
      <c r="I201" s="100"/>
      <c r="J201" s="100" t="s">
        <v>945</v>
      </c>
      <c r="K201" s="96" t="s">
        <v>40</v>
      </c>
      <c r="L201" s="106">
        <f t="shared" si="4"/>
        <v>8600</v>
      </c>
      <c r="M201" s="98">
        <f t="shared" si="5"/>
        <v>1</v>
      </c>
      <c r="N201" s="98" t="s">
        <v>558</v>
      </c>
      <c r="O201" s="97" t="s">
        <v>472</v>
      </c>
      <c r="P201" s="98"/>
      <c r="Q201" s="98"/>
      <c r="R201" s="133">
        <v>1</v>
      </c>
      <c r="S201" s="98" t="s">
        <v>944</v>
      </c>
      <c r="T201" s="104">
        <v>8600</v>
      </c>
      <c r="U201" s="131" t="s">
        <v>943</v>
      </c>
      <c r="V201" s="125"/>
      <c r="W201" s="125"/>
      <c r="X201" s="125"/>
      <c r="Y201" s="125"/>
      <c r="Z201" s="125"/>
      <c r="AA201" s="125"/>
      <c r="AB201" s="125"/>
      <c r="AC201" s="125"/>
      <c r="AD201" s="125"/>
      <c r="AE201" s="125"/>
      <c r="AF201" s="125"/>
      <c r="AG201" s="125"/>
      <c r="AH201" s="125"/>
      <c r="AI201" s="125"/>
      <c r="AJ201" s="125"/>
      <c r="AK201" s="125"/>
      <c r="AL201" s="125"/>
      <c r="AM201" s="125"/>
      <c r="AN201" s="125"/>
      <c r="AO201" s="125"/>
      <c r="AP201" s="125"/>
      <c r="AQ201" s="125"/>
      <c r="AR201" s="125"/>
      <c r="AS201" s="125"/>
      <c r="AT201" s="125"/>
      <c r="AU201" s="125"/>
      <c r="AV201" s="125"/>
      <c r="AW201" s="125"/>
      <c r="AX201" s="125"/>
      <c r="AY201" s="125"/>
      <c r="AZ201" s="125"/>
      <c r="BA201" s="125"/>
      <c r="BB201" s="125"/>
      <c r="BC201" s="125"/>
      <c r="BD201" s="125"/>
      <c r="BE201" s="125"/>
      <c r="BF201" s="125"/>
      <c r="BG201" s="125"/>
      <c r="BH201" s="125"/>
    </row>
    <row r="202" spans="1:60" s="124" customFormat="1" ht="116.25">
      <c r="A202" s="127"/>
      <c r="B202" s="92" t="s">
        <v>447</v>
      </c>
      <c r="C202" s="100" t="s">
        <v>555</v>
      </c>
      <c r="D202" s="100"/>
      <c r="E202" s="100" t="s">
        <v>667</v>
      </c>
      <c r="F202" s="100" t="s">
        <v>666</v>
      </c>
      <c r="G202" s="103" t="s">
        <v>942</v>
      </c>
      <c r="H202" s="103" t="s">
        <v>365</v>
      </c>
      <c r="I202" s="103"/>
      <c r="J202" s="103" t="s">
        <v>110</v>
      </c>
      <c r="K202" s="96" t="s">
        <v>63</v>
      </c>
      <c r="L202" s="99">
        <f t="shared" si="4"/>
        <v>54000</v>
      </c>
      <c r="M202" s="98">
        <f t="shared" si="5"/>
        <v>2</v>
      </c>
      <c r="N202" s="98" t="s">
        <v>558</v>
      </c>
      <c r="O202" s="108" t="s">
        <v>472</v>
      </c>
      <c r="P202" s="98"/>
      <c r="Q202" s="98"/>
      <c r="R202" s="98">
        <v>2</v>
      </c>
      <c r="S202" s="98"/>
      <c r="T202" s="95">
        <v>27000</v>
      </c>
      <c r="U202" s="131" t="s">
        <v>941</v>
      </c>
      <c r="V202" s="125"/>
      <c r="W202" s="125"/>
      <c r="X202" s="125"/>
      <c r="Y202" s="125"/>
      <c r="Z202" s="125"/>
      <c r="AA202" s="125"/>
      <c r="AB202" s="125"/>
      <c r="AC202" s="125"/>
      <c r="AD202" s="125"/>
      <c r="AE202" s="125"/>
      <c r="AF202" s="125"/>
      <c r="AG202" s="125"/>
      <c r="AH202" s="125"/>
      <c r="AI202" s="125"/>
      <c r="AJ202" s="125"/>
      <c r="AK202" s="125"/>
      <c r="AL202" s="125"/>
      <c r="AM202" s="125"/>
      <c r="AN202" s="125"/>
      <c r="AO202" s="125"/>
      <c r="AP202" s="125"/>
      <c r="AQ202" s="125"/>
      <c r="AR202" s="125"/>
      <c r="AS202" s="125"/>
      <c r="AT202" s="125"/>
      <c r="AU202" s="125"/>
      <c r="AV202" s="125"/>
      <c r="AW202" s="125"/>
      <c r="AX202" s="125"/>
      <c r="AY202" s="125"/>
      <c r="AZ202" s="125"/>
      <c r="BA202" s="125"/>
      <c r="BB202" s="125"/>
      <c r="BC202" s="125"/>
      <c r="BD202" s="125"/>
      <c r="BE202" s="125"/>
      <c r="BF202" s="125"/>
      <c r="BG202" s="125"/>
      <c r="BH202" s="125"/>
    </row>
    <row r="203" spans="1:60" s="124" customFormat="1" ht="116.25">
      <c r="A203" s="127"/>
      <c r="B203" s="92" t="s">
        <v>447</v>
      </c>
      <c r="C203" s="100" t="s">
        <v>555</v>
      </c>
      <c r="D203" s="100"/>
      <c r="E203" s="100" t="s">
        <v>667</v>
      </c>
      <c r="F203" s="100" t="s">
        <v>666</v>
      </c>
      <c r="G203" s="103" t="s">
        <v>942</v>
      </c>
      <c r="H203" s="103" t="s">
        <v>365</v>
      </c>
      <c r="I203" s="103"/>
      <c r="J203" s="103" t="s">
        <v>110</v>
      </c>
      <c r="K203" s="96" t="s">
        <v>63</v>
      </c>
      <c r="L203" s="99">
        <f t="shared" si="4"/>
        <v>54000</v>
      </c>
      <c r="M203" s="98">
        <f t="shared" si="5"/>
        <v>2</v>
      </c>
      <c r="N203" s="98" t="s">
        <v>558</v>
      </c>
      <c r="O203" s="108" t="s">
        <v>472</v>
      </c>
      <c r="P203" s="98"/>
      <c r="Q203" s="98"/>
      <c r="R203" s="98">
        <v>2</v>
      </c>
      <c r="S203" s="98"/>
      <c r="T203" s="95">
        <v>27000</v>
      </c>
      <c r="U203" s="109" t="s">
        <v>941</v>
      </c>
      <c r="V203" s="125"/>
      <c r="W203" s="125"/>
      <c r="X203" s="125"/>
      <c r="Y203" s="125"/>
      <c r="Z203" s="125"/>
      <c r="AA203" s="125"/>
      <c r="AB203" s="125"/>
      <c r="AC203" s="125"/>
      <c r="AD203" s="125"/>
      <c r="AE203" s="125"/>
      <c r="AF203" s="125"/>
      <c r="AG203" s="125"/>
      <c r="AH203" s="125"/>
      <c r="AI203" s="125"/>
      <c r="AJ203" s="125"/>
      <c r="AK203" s="125"/>
      <c r="AL203" s="125"/>
      <c r="AM203" s="125"/>
      <c r="AN203" s="125"/>
      <c r="AO203" s="125"/>
      <c r="AP203" s="125"/>
      <c r="AQ203" s="125"/>
      <c r="AR203" s="125"/>
      <c r="AS203" s="125"/>
      <c r="AT203" s="125"/>
      <c r="AU203" s="125"/>
      <c r="AV203" s="125"/>
      <c r="AW203" s="125"/>
      <c r="AX203" s="125"/>
      <c r="AY203" s="125"/>
      <c r="AZ203" s="125"/>
      <c r="BA203" s="125"/>
      <c r="BB203" s="125"/>
      <c r="BC203" s="125"/>
      <c r="BD203" s="125"/>
      <c r="BE203" s="125"/>
      <c r="BF203" s="125"/>
      <c r="BG203" s="125"/>
      <c r="BH203" s="125"/>
    </row>
    <row r="204" spans="1:60" s="124" customFormat="1" ht="116.25">
      <c r="A204" s="127"/>
      <c r="B204" s="92" t="s">
        <v>447</v>
      </c>
      <c r="C204" s="100" t="s">
        <v>555</v>
      </c>
      <c r="D204" s="100"/>
      <c r="E204" s="100" t="s">
        <v>667</v>
      </c>
      <c r="F204" s="100" t="s">
        <v>666</v>
      </c>
      <c r="G204" s="100" t="s">
        <v>942</v>
      </c>
      <c r="H204" s="100" t="s">
        <v>270</v>
      </c>
      <c r="I204" s="100"/>
      <c r="J204" s="100" t="s">
        <v>172</v>
      </c>
      <c r="K204" s="96" t="s">
        <v>149</v>
      </c>
      <c r="L204" s="99">
        <f t="shared" si="4"/>
        <v>9900</v>
      </c>
      <c r="M204" s="98">
        <f t="shared" si="5"/>
        <v>1</v>
      </c>
      <c r="N204" s="98" t="s">
        <v>558</v>
      </c>
      <c r="O204" s="96"/>
      <c r="P204" s="97" t="s">
        <v>472</v>
      </c>
      <c r="Q204" s="96">
        <v>1</v>
      </c>
      <c r="R204" s="96"/>
      <c r="S204" s="134"/>
      <c r="T204" s="95">
        <v>9900</v>
      </c>
      <c r="U204" s="94" t="s">
        <v>941</v>
      </c>
      <c r="V204" s="125"/>
      <c r="W204" s="125"/>
      <c r="X204" s="125"/>
      <c r="Y204" s="125"/>
      <c r="Z204" s="125"/>
      <c r="AA204" s="125"/>
      <c r="AB204" s="125"/>
      <c r="AC204" s="125"/>
      <c r="AD204" s="125"/>
      <c r="AE204" s="125"/>
      <c r="AF204" s="125"/>
      <c r="AG204" s="125"/>
      <c r="AH204" s="125"/>
      <c r="AI204" s="125"/>
      <c r="AJ204" s="125"/>
      <c r="AK204" s="125"/>
      <c r="AL204" s="125"/>
      <c r="AM204" s="125"/>
      <c r="AN204" s="125"/>
      <c r="AO204" s="125"/>
      <c r="AP204" s="125"/>
      <c r="AQ204" s="125"/>
      <c r="AR204" s="125"/>
      <c r="AS204" s="125"/>
      <c r="AT204" s="125"/>
      <c r="AU204" s="125"/>
      <c r="AV204" s="125"/>
      <c r="AW204" s="125"/>
      <c r="AX204" s="125"/>
      <c r="AY204" s="125"/>
      <c r="AZ204" s="125"/>
      <c r="BA204" s="125"/>
      <c r="BB204" s="125"/>
      <c r="BC204" s="125"/>
      <c r="BD204" s="125"/>
      <c r="BE204" s="125"/>
      <c r="BF204" s="125"/>
      <c r="BG204" s="125"/>
      <c r="BH204" s="125"/>
    </row>
    <row r="205" spans="1:60" s="124" customFormat="1" ht="116.25">
      <c r="A205" s="127"/>
      <c r="B205" s="92" t="s">
        <v>447</v>
      </c>
      <c r="C205" s="100" t="s">
        <v>555</v>
      </c>
      <c r="D205" s="100"/>
      <c r="E205" s="100" t="s">
        <v>667</v>
      </c>
      <c r="F205" s="100" t="s">
        <v>666</v>
      </c>
      <c r="G205" s="103" t="s">
        <v>939</v>
      </c>
      <c r="H205" s="103" t="s">
        <v>450</v>
      </c>
      <c r="I205" s="103"/>
      <c r="J205" s="103" t="s">
        <v>445</v>
      </c>
      <c r="K205" s="96" t="s">
        <v>13</v>
      </c>
      <c r="L205" s="99">
        <f t="shared" si="4"/>
        <v>12840</v>
      </c>
      <c r="M205" s="98">
        <f t="shared" si="5"/>
        <v>1</v>
      </c>
      <c r="N205" s="96" t="s">
        <v>596</v>
      </c>
      <c r="O205" s="96"/>
      <c r="P205" s="97" t="s">
        <v>472</v>
      </c>
      <c r="Q205" s="96">
        <v>1</v>
      </c>
      <c r="R205" s="96"/>
      <c r="S205" s="96" t="s">
        <v>940</v>
      </c>
      <c r="T205" s="95">
        <v>12840</v>
      </c>
      <c r="U205" s="94" t="s">
        <v>937</v>
      </c>
      <c r="V205" s="125"/>
      <c r="W205" s="125"/>
      <c r="X205" s="125"/>
      <c r="Y205" s="125"/>
      <c r="Z205" s="125"/>
      <c r="AA205" s="125"/>
      <c r="AB205" s="125"/>
      <c r="AC205" s="125"/>
      <c r="AD205" s="125"/>
      <c r="AE205" s="125"/>
      <c r="AF205" s="125"/>
      <c r="AG205" s="125"/>
      <c r="AH205" s="125"/>
      <c r="AI205" s="125"/>
      <c r="AJ205" s="125"/>
      <c r="AK205" s="125"/>
      <c r="AL205" s="125"/>
      <c r="AM205" s="125"/>
      <c r="AN205" s="125"/>
      <c r="AO205" s="125"/>
      <c r="AP205" s="125"/>
      <c r="AQ205" s="125"/>
      <c r="AR205" s="125"/>
      <c r="AS205" s="125"/>
      <c r="AT205" s="125"/>
      <c r="AU205" s="125"/>
      <c r="AV205" s="125"/>
      <c r="AW205" s="125"/>
      <c r="AX205" s="125"/>
      <c r="AY205" s="125"/>
      <c r="AZ205" s="125"/>
      <c r="BA205" s="125"/>
      <c r="BB205" s="125"/>
      <c r="BC205" s="125"/>
      <c r="BD205" s="125"/>
      <c r="BE205" s="125"/>
      <c r="BF205" s="125"/>
      <c r="BG205" s="125"/>
      <c r="BH205" s="125"/>
    </row>
    <row r="206" spans="1:60" s="124" customFormat="1" ht="116.25">
      <c r="A206" s="127"/>
      <c r="B206" s="92" t="s">
        <v>447</v>
      </c>
      <c r="C206" s="100" t="s">
        <v>555</v>
      </c>
      <c r="D206" s="100"/>
      <c r="E206" s="100" t="s">
        <v>667</v>
      </c>
      <c r="F206" s="100" t="s">
        <v>666</v>
      </c>
      <c r="G206" s="103" t="s">
        <v>939</v>
      </c>
      <c r="H206" s="103" t="s">
        <v>450</v>
      </c>
      <c r="I206" s="103"/>
      <c r="J206" s="103" t="s">
        <v>445</v>
      </c>
      <c r="K206" s="96" t="s">
        <v>13</v>
      </c>
      <c r="L206" s="99">
        <f t="shared" si="4"/>
        <v>3628</v>
      </c>
      <c r="M206" s="98">
        <f t="shared" si="5"/>
        <v>1</v>
      </c>
      <c r="N206" s="96" t="s">
        <v>596</v>
      </c>
      <c r="O206" s="96"/>
      <c r="P206" s="97" t="s">
        <v>472</v>
      </c>
      <c r="Q206" s="96">
        <v>1</v>
      </c>
      <c r="R206" s="96"/>
      <c r="S206" s="96" t="s">
        <v>938</v>
      </c>
      <c r="T206" s="95">
        <v>3628</v>
      </c>
      <c r="U206" s="94" t="s">
        <v>937</v>
      </c>
      <c r="V206" s="125"/>
      <c r="W206" s="125"/>
      <c r="X206" s="125"/>
      <c r="Y206" s="125"/>
      <c r="Z206" s="125"/>
      <c r="AA206" s="125"/>
      <c r="AB206" s="125"/>
      <c r="AC206" s="125"/>
      <c r="AD206" s="125"/>
      <c r="AE206" s="125"/>
      <c r="AF206" s="125"/>
      <c r="AG206" s="125"/>
      <c r="AH206" s="125"/>
      <c r="AI206" s="125"/>
      <c r="AJ206" s="125"/>
      <c r="AK206" s="125"/>
      <c r="AL206" s="125"/>
      <c r="AM206" s="125"/>
      <c r="AN206" s="125"/>
      <c r="AO206" s="125"/>
      <c r="AP206" s="125"/>
      <c r="AQ206" s="125"/>
      <c r="AR206" s="125"/>
      <c r="AS206" s="125"/>
      <c r="AT206" s="125"/>
      <c r="AU206" s="125"/>
      <c r="AV206" s="125"/>
      <c r="AW206" s="125"/>
      <c r="AX206" s="125"/>
      <c r="AY206" s="125"/>
      <c r="AZ206" s="125"/>
      <c r="BA206" s="125"/>
      <c r="BB206" s="125"/>
      <c r="BC206" s="125"/>
      <c r="BD206" s="125"/>
      <c r="BE206" s="125"/>
      <c r="BF206" s="125"/>
      <c r="BG206" s="125"/>
      <c r="BH206" s="125"/>
    </row>
    <row r="207" spans="1:60" s="124" customFormat="1" ht="116.25">
      <c r="A207" s="127"/>
      <c r="B207" s="92" t="s">
        <v>447</v>
      </c>
      <c r="C207" s="100" t="s">
        <v>555</v>
      </c>
      <c r="D207" s="100"/>
      <c r="E207" s="100" t="s">
        <v>667</v>
      </c>
      <c r="F207" s="100" t="s">
        <v>666</v>
      </c>
      <c r="G207" s="100" t="s">
        <v>935</v>
      </c>
      <c r="H207" s="100" t="s">
        <v>270</v>
      </c>
      <c r="I207" s="100"/>
      <c r="J207" s="100" t="s">
        <v>172</v>
      </c>
      <c r="K207" s="96" t="s">
        <v>149</v>
      </c>
      <c r="L207" s="99">
        <f t="shared" si="4"/>
        <v>3600</v>
      </c>
      <c r="M207" s="98">
        <f t="shared" si="5"/>
        <v>3</v>
      </c>
      <c r="N207" s="98" t="s">
        <v>934</v>
      </c>
      <c r="O207" s="98"/>
      <c r="P207" s="97" t="s">
        <v>472</v>
      </c>
      <c r="Q207" s="98"/>
      <c r="R207" s="98">
        <v>3</v>
      </c>
      <c r="S207" s="98"/>
      <c r="T207" s="95">
        <v>1200</v>
      </c>
      <c r="U207" s="131" t="s">
        <v>936</v>
      </c>
      <c r="V207" s="125"/>
      <c r="W207" s="125"/>
      <c r="X207" s="125"/>
      <c r="Y207" s="125"/>
      <c r="Z207" s="125"/>
      <c r="AA207" s="125"/>
      <c r="AB207" s="125"/>
      <c r="AC207" s="125"/>
      <c r="AD207" s="125"/>
      <c r="AE207" s="125"/>
      <c r="AF207" s="125"/>
      <c r="AG207" s="125"/>
      <c r="AH207" s="125"/>
      <c r="AI207" s="125"/>
      <c r="AJ207" s="125"/>
      <c r="AK207" s="125"/>
      <c r="AL207" s="125"/>
      <c r="AM207" s="125"/>
      <c r="AN207" s="125"/>
      <c r="AO207" s="125"/>
      <c r="AP207" s="125"/>
      <c r="AQ207" s="125"/>
      <c r="AR207" s="125"/>
      <c r="AS207" s="125"/>
      <c r="AT207" s="125"/>
      <c r="AU207" s="125"/>
      <c r="AV207" s="125"/>
      <c r="AW207" s="125"/>
      <c r="AX207" s="125"/>
      <c r="AY207" s="125"/>
      <c r="AZ207" s="125"/>
      <c r="BA207" s="125"/>
      <c r="BB207" s="125"/>
      <c r="BC207" s="125"/>
      <c r="BD207" s="125"/>
      <c r="BE207" s="125"/>
      <c r="BF207" s="125"/>
      <c r="BG207" s="125"/>
      <c r="BH207" s="125"/>
    </row>
    <row r="208" spans="1:60" s="124" customFormat="1" ht="116.25">
      <c r="A208" s="127"/>
      <c r="B208" s="92" t="s">
        <v>447</v>
      </c>
      <c r="C208" s="100" t="s">
        <v>555</v>
      </c>
      <c r="D208" s="100"/>
      <c r="E208" s="100" t="s">
        <v>667</v>
      </c>
      <c r="F208" s="100" t="s">
        <v>666</v>
      </c>
      <c r="G208" s="100" t="s">
        <v>935</v>
      </c>
      <c r="H208" s="100" t="s">
        <v>29</v>
      </c>
      <c r="I208" s="100"/>
      <c r="J208" s="100" t="s">
        <v>27</v>
      </c>
      <c r="K208" s="96" t="s">
        <v>13</v>
      </c>
      <c r="L208" s="99">
        <f t="shared" si="4"/>
        <v>4400</v>
      </c>
      <c r="M208" s="98">
        <f t="shared" si="5"/>
        <v>4</v>
      </c>
      <c r="N208" s="98" t="s">
        <v>934</v>
      </c>
      <c r="O208" s="98"/>
      <c r="P208" s="97" t="s">
        <v>472</v>
      </c>
      <c r="Q208" s="98"/>
      <c r="R208" s="98">
        <v>4</v>
      </c>
      <c r="S208" s="98"/>
      <c r="T208" s="95">
        <v>1100</v>
      </c>
      <c r="U208" s="131" t="s">
        <v>933</v>
      </c>
      <c r="V208" s="125"/>
      <c r="W208" s="125"/>
      <c r="X208" s="125"/>
      <c r="Y208" s="125"/>
      <c r="Z208" s="125"/>
      <c r="AA208" s="125"/>
      <c r="AB208" s="125"/>
      <c r="AC208" s="125"/>
      <c r="AD208" s="125"/>
      <c r="AE208" s="125"/>
      <c r="AF208" s="125"/>
      <c r="AG208" s="125"/>
      <c r="AH208" s="125"/>
      <c r="AI208" s="125"/>
      <c r="AJ208" s="125"/>
      <c r="AK208" s="125"/>
      <c r="AL208" s="125"/>
      <c r="AM208" s="125"/>
      <c r="AN208" s="125"/>
      <c r="AO208" s="125"/>
      <c r="AP208" s="125"/>
      <c r="AQ208" s="125"/>
      <c r="AR208" s="125"/>
      <c r="AS208" s="125"/>
      <c r="AT208" s="125"/>
      <c r="AU208" s="125"/>
      <c r="AV208" s="125"/>
      <c r="AW208" s="125"/>
      <c r="AX208" s="125"/>
      <c r="AY208" s="125"/>
      <c r="AZ208" s="125"/>
      <c r="BA208" s="125"/>
      <c r="BB208" s="125"/>
      <c r="BC208" s="125"/>
      <c r="BD208" s="125"/>
      <c r="BE208" s="125"/>
      <c r="BF208" s="125"/>
      <c r="BG208" s="125"/>
      <c r="BH208" s="125"/>
    </row>
    <row r="209" spans="1:60" s="124" customFormat="1" ht="116.25">
      <c r="A209" s="127"/>
      <c r="B209" s="92" t="s">
        <v>447</v>
      </c>
      <c r="C209" s="100" t="s">
        <v>555</v>
      </c>
      <c r="D209" s="100"/>
      <c r="E209" s="100" t="s">
        <v>667</v>
      </c>
      <c r="F209" s="100" t="s">
        <v>666</v>
      </c>
      <c r="G209" s="100" t="s">
        <v>932</v>
      </c>
      <c r="H209" s="100" t="s">
        <v>461</v>
      </c>
      <c r="I209" s="100"/>
      <c r="J209" s="100" t="s">
        <v>439</v>
      </c>
      <c r="K209" s="96" t="s">
        <v>63</v>
      </c>
      <c r="L209" s="99">
        <f t="shared" si="4"/>
        <v>5950</v>
      </c>
      <c r="M209" s="98">
        <f t="shared" si="5"/>
        <v>5</v>
      </c>
      <c r="N209" s="96" t="s">
        <v>558</v>
      </c>
      <c r="O209" s="96"/>
      <c r="P209" s="97" t="s">
        <v>472</v>
      </c>
      <c r="Q209" s="96"/>
      <c r="R209" s="96">
        <v>5</v>
      </c>
      <c r="S209" s="96"/>
      <c r="T209" s="95">
        <v>1190</v>
      </c>
      <c r="U209" s="94" t="s">
        <v>868</v>
      </c>
      <c r="V209" s="125"/>
      <c r="W209" s="125"/>
      <c r="X209" s="125"/>
      <c r="Y209" s="125"/>
      <c r="Z209" s="125"/>
      <c r="AA209" s="125"/>
      <c r="AB209" s="125"/>
      <c r="AC209" s="125"/>
      <c r="AD209" s="125"/>
      <c r="AE209" s="125"/>
      <c r="AF209" s="125"/>
      <c r="AG209" s="125"/>
      <c r="AH209" s="125"/>
      <c r="AI209" s="125"/>
      <c r="AJ209" s="125"/>
      <c r="AK209" s="125"/>
      <c r="AL209" s="125"/>
      <c r="AM209" s="125"/>
      <c r="AN209" s="125"/>
      <c r="AO209" s="125"/>
      <c r="AP209" s="125"/>
      <c r="AQ209" s="125"/>
      <c r="AR209" s="125"/>
      <c r="AS209" s="125"/>
      <c r="AT209" s="125"/>
      <c r="AU209" s="125"/>
      <c r="AV209" s="125"/>
      <c r="AW209" s="125"/>
      <c r="AX209" s="125"/>
      <c r="AY209" s="125"/>
      <c r="AZ209" s="125"/>
      <c r="BA209" s="125"/>
      <c r="BB209" s="125"/>
      <c r="BC209" s="125"/>
      <c r="BD209" s="125"/>
      <c r="BE209" s="125"/>
      <c r="BF209" s="125"/>
      <c r="BG209" s="125"/>
      <c r="BH209" s="125"/>
    </row>
    <row r="210" spans="1:60" s="124" customFormat="1" ht="116.25">
      <c r="A210" s="127"/>
      <c r="B210" s="92" t="s">
        <v>447</v>
      </c>
      <c r="C210" s="100" t="s">
        <v>555</v>
      </c>
      <c r="D210" s="100"/>
      <c r="E210" s="100" t="s">
        <v>667</v>
      </c>
      <c r="F210" s="100" t="s">
        <v>666</v>
      </c>
      <c r="G210" s="100" t="s">
        <v>932</v>
      </c>
      <c r="H210" s="100" t="s">
        <v>204</v>
      </c>
      <c r="I210" s="100"/>
      <c r="J210" s="100" t="s">
        <v>202</v>
      </c>
      <c r="K210" s="96" t="s">
        <v>63</v>
      </c>
      <c r="L210" s="99">
        <f t="shared" si="4"/>
        <v>8800</v>
      </c>
      <c r="M210" s="98">
        <f t="shared" si="5"/>
        <v>4</v>
      </c>
      <c r="N210" s="96" t="s">
        <v>558</v>
      </c>
      <c r="O210" s="96"/>
      <c r="P210" s="97" t="s">
        <v>472</v>
      </c>
      <c r="Q210" s="96"/>
      <c r="R210" s="96">
        <v>4</v>
      </c>
      <c r="S210" s="96"/>
      <c r="T210" s="95">
        <v>2200</v>
      </c>
      <c r="U210" s="94" t="s">
        <v>868</v>
      </c>
      <c r="V210" s="125"/>
      <c r="W210" s="125"/>
      <c r="X210" s="125"/>
      <c r="Y210" s="125"/>
      <c r="Z210" s="125"/>
      <c r="AA210" s="125"/>
      <c r="AB210" s="125"/>
      <c r="AC210" s="125"/>
      <c r="AD210" s="125"/>
      <c r="AE210" s="125"/>
      <c r="AF210" s="125"/>
      <c r="AG210" s="125"/>
      <c r="AH210" s="125"/>
      <c r="AI210" s="125"/>
      <c r="AJ210" s="125"/>
      <c r="AK210" s="125"/>
      <c r="AL210" s="125"/>
      <c r="AM210" s="125"/>
      <c r="AN210" s="125"/>
      <c r="AO210" s="125"/>
      <c r="AP210" s="125"/>
      <c r="AQ210" s="125"/>
      <c r="AR210" s="125"/>
      <c r="AS210" s="125"/>
      <c r="AT210" s="125"/>
      <c r="AU210" s="125"/>
      <c r="AV210" s="125"/>
      <c r="AW210" s="125"/>
      <c r="AX210" s="125"/>
      <c r="AY210" s="125"/>
      <c r="AZ210" s="125"/>
      <c r="BA210" s="125"/>
      <c r="BB210" s="125"/>
      <c r="BC210" s="125"/>
      <c r="BD210" s="125"/>
      <c r="BE210" s="125"/>
      <c r="BF210" s="125"/>
      <c r="BG210" s="125"/>
      <c r="BH210" s="125"/>
    </row>
    <row r="211" spans="1:60" s="124" customFormat="1" ht="116.25">
      <c r="A211" s="127"/>
      <c r="B211" s="92" t="s">
        <v>447</v>
      </c>
      <c r="C211" s="100" t="s">
        <v>555</v>
      </c>
      <c r="D211" s="100"/>
      <c r="E211" s="100" t="s">
        <v>667</v>
      </c>
      <c r="F211" s="100" t="s">
        <v>666</v>
      </c>
      <c r="G211" s="100" t="s">
        <v>932</v>
      </c>
      <c r="H211" s="100" t="s">
        <v>171</v>
      </c>
      <c r="I211" s="100"/>
      <c r="J211" s="100" t="s">
        <v>169</v>
      </c>
      <c r="K211" s="96" t="s">
        <v>149</v>
      </c>
      <c r="L211" s="99">
        <f t="shared" si="4"/>
        <v>5200</v>
      </c>
      <c r="M211" s="98">
        <f t="shared" si="5"/>
        <v>2</v>
      </c>
      <c r="N211" s="96" t="s">
        <v>558</v>
      </c>
      <c r="O211" s="98"/>
      <c r="P211" s="97" t="s">
        <v>472</v>
      </c>
      <c r="Q211" s="98">
        <v>2</v>
      </c>
      <c r="R211" s="98"/>
      <c r="S211" s="96" t="s">
        <v>931</v>
      </c>
      <c r="T211" s="95">
        <v>2600</v>
      </c>
      <c r="U211" s="131" t="s">
        <v>868</v>
      </c>
      <c r="V211" s="125"/>
      <c r="W211" s="125"/>
      <c r="X211" s="125"/>
      <c r="Y211" s="125"/>
      <c r="Z211" s="125"/>
      <c r="AA211" s="125"/>
      <c r="AB211" s="125"/>
      <c r="AC211" s="125"/>
      <c r="AD211" s="125"/>
      <c r="AE211" s="125"/>
      <c r="AF211" s="125"/>
      <c r="AG211" s="125"/>
      <c r="AH211" s="125"/>
      <c r="AI211" s="125"/>
      <c r="AJ211" s="125"/>
      <c r="AK211" s="125"/>
      <c r="AL211" s="125"/>
      <c r="AM211" s="125"/>
      <c r="AN211" s="125"/>
      <c r="AO211" s="125"/>
      <c r="AP211" s="125"/>
      <c r="AQ211" s="125"/>
      <c r="AR211" s="125"/>
      <c r="AS211" s="125"/>
      <c r="AT211" s="125"/>
      <c r="AU211" s="125"/>
      <c r="AV211" s="125"/>
      <c r="AW211" s="125"/>
      <c r="AX211" s="125"/>
      <c r="AY211" s="125"/>
      <c r="AZ211" s="125"/>
      <c r="BA211" s="125"/>
      <c r="BB211" s="125"/>
      <c r="BC211" s="125"/>
      <c r="BD211" s="125"/>
      <c r="BE211" s="125"/>
      <c r="BF211" s="125"/>
      <c r="BG211" s="125"/>
      <c r="BH211" s="125"/>
    </row>
    <row r="212" spans="1:60" s="124" customFormat="1" ht="116.25">
      <c r="A212" s="127"/>
      <c r="B212" s="92" t="s">
        <v>447</v>
      </c>
      <c r="C212" s="100" t="s">
        <v>477</v>
      </c>
      <c r="D212" s="100"/>
      <c r="E212" s="100" t="s">
        <v>667</v>
      </c>
      <c r="F212" s="100" t="s">
        <v>666</v>
      </c>
      <c r="G212" s="100" t="s">
        <v>930</v>
      </c>
      <c r="H212" s="100" t="s">
        <v>463</v>
      </c>
      <c r="I212" s="100"/>
      <c r="J212" s="100" t="s">
        <v>438</v>
      </c>
      <c r="K212" s="96" t="s">
        <v>63</v>
      </c>
      <c r="L212" s="99">
        <f t="shared" si="4"/>
        <v>93400</v>
      </c>
      <c r="M212" s="98">
        <f t="shared" si="5"/>
        <v>1</v>
      </c>
      <c r="N212" s="96" t="s">
        <v>553</v>
      </c>
      <c r="O212" s="96"/>
      <c r="P212" s="97" t="s">
        <v>472</v>
      </c>
      <c r="Q212" s="96"/>
      <c r="R212" s="96">
        <v>1</v>
      </c>
      <c r="S212" s="96"/>
      <c r="T212" s="95">
        <v>93400</v>
      </c>
      <c r="U212" s="109" t="s">
        <v>912</v>
      </c>
      <c r="V212" s="125"/>
      <c r="W212" s="125"/>
      <c r="X212" s="125"/>
      <c r="Y212" s="125"/>
      <c r="Z212" s="125"/>
      <c r="AA212" s="125"/>
      <c r="AB212" s="125"/>
      <c r="AC212" s="125"/>
      <c r="AD212" s="125"/>
      <c r="AE212" s="125"/>
      <c r="AF212" s="125"/>
      <c r="AG212" s="125"/>
      <c r="AH212" s="125"/>
      <c r="AI212" s="125"/>
      <c r="AJ212" s="125"/>
      <c r="AK212" s="125"/>
      <c r="AL212" s="125"/>
      <c r="AM212" s="125"/>
      <c r="AN212" s="125"/>
      <c r="AO212" s="125"/>
      <c r="AP212" s="125"/>
      <c r="AQ212" s="125"/>
      <c r="AR212" s="125"/>
      <c r="AS212" s="125"/>
      <c r="AT212" s="125"/>
      <c r="AU212" s="125"/>
      <c r="AV212" s="125"/>
      <c r="AW212" s="125"/>
      <c r="AX212" s="125"/>
      <c r="AY212" s="125"/>
      <c r="AZ212" s="125"/>
      <c r="BA212" s="125"/>
      <c r="BB212" s="125"/>
      <c r="BC212" s="125"/>
      <c r="BD212" s="125"/>
      <c r="BE212" s="125"/>
      <c r="BF212" s="125"/>
      <c r="BG212" s="125"/>
      <c r="BH212" s="125"/>
    </row>
    <row r="213" spans="1:60" s="124" customFormat="1" ht="116.25">
      <c r="A213" s="127"/>
      <c r="B213" s="92" t="s">
        <v>447</v>
      </c>
      <c r="C213" s="100" t="s">
        <v>477</v>
      </c>
      <c r="D213" s="100"/>
      <c r="E213" s="100" t="s">
        <v>667</v>
      </c>
      <c r="F213" s="100" t="s">
        <v>666</v>
      </c>
      <c r="G213" s="100" t="s">
        <v>929</v>
      </c>
      <c r="H213" s="100" t="s">
        <v>426</v>
      </c>
      <c r="I213" s="100"/>
      <c r="J213" s="100" t="s">
        <v>424</v>
      </c>
      <c r="K213" s="96" t="s">
        <v>40</v>
      </c>
      <c r="L213" s="99">
        <f t="shared" si="4"/>
        <v>72890</v>
      </c>
      <c r="M213" s="98">
        <f t="shared" si="5"/>
        <v>1</v>
      </c>
      <c r="N213" s="96" t="s">
        <v>553</v>
      </c>
      <c r="O213" s="96"/>
      <c r="P213" s="97" t="s">
        <v>472</v>
      </c>
      <c r="Q213" s="96">
        <v>1</v>
      </c>
      <c r="R213" s="96"/>
      <c r="S213" s="96" t="s">
        <v>928</v>
      </c>
      <c r="T213" s="95">
        <v>72890</v>
      </c>
      <c r="U213" s="94" t="s">
        <v>912</v>
      </c>
      <c r="V213" s="125"/>
      <c r="W213" s="125"/>
      <c r="X213" s="125"/>
      <c r="Y213" s="125"/>
      <c r="Z213" s="125"/>
      <c r="AA213" s="125"/>
      <c r="AB213" s="125"/>
      <c r="AC213" s="125"/>
      <c r="AD213" s="125"/>
      <c r="AE213" s="125"/>
      <c r="AF213" s="125"/>
      <c r="AG213" s="125"/>
      <c r="AH213" s="125"/>
      <c r="AI213" s="125"/>
      <c r="AJ213" s="125"/>
      <c r="AK213" s="125"/>
      <c r="AL213" s="125"/>
      <c r="AM213" s="125"/>
      <c r="AN213" s="125"/>
      <c r="AO213" s="125"/>
      <c r="AP213" s="125"/>
      <c r="AQ213" s="125"/>
      <c r="AR213" s="125"/>
      <c r="AS213" s="125"/>
      <c r="AT213" s="125"/>
      <c r="AU213" s="125"/>
      <c r="AV213" s="125"/>
      <c r="AW213" s="125"/>
      <c r="AX213" s="125"/>
      <c r="AY213" s="125"/>
      <c r="AZ213" s="125"/>
      <c r="BA213" s="125"/>
      <c r="BB213" s="125"/>
      <c r="BC213" s="125"/>
      <c r="BD213" s="125"/>
      <c r="BE213" s="125"/>
      <c r="BF213" s="125"/>
      <c r="BG213" s="125"/>
      <c r="BH213" s="125"/>
    </row>
    <row r="214" spans="1:60" s="124" customFormat="1" ht="116.25">
      <c r="A214" s="127"/>
      <c r="B214" s="92" t="s">
        <v>447</v>
      </c>
      <c r="C214" s="100" t="s">
        <v>477</v>
      </c>
      <c r="D214" s="100"/>
      <c r="E214" s="100" t="s">
        <v>667</v>
      </c>
      <c r="F214" s="100" t="s">
        <v>666</v>
      </c>
      <c r="G214" s="100" t="s">
        <v>925</v>
      </c>
      <c r="H214" s="100" t="s">
        <v>280</v>
      </c>
      <c r="I214" s="100"/>
      <c r="J214" s="100" t="s">
        <v>278</v>
      </c>
      <c r="K214" s="96" t="s">
        <v>40</v>
      </c>
      <c r="L214" s="99">
        <f t="shared" si="4"/>
        <v>92390</v>
      </c>
      <c r="M214" s="98">
        <f t="shared" si="5"/>
        <v>1</v>
      </c>
      <c r="N214" s="96" t="s">
        <v>553</v>
      </c>
      <c r="O214" s="98"/>
      <c r="P214" s="97" t="s">
        <v>472</v>
      </c>
      <c r="Q214" s="98">
        <v>1</v>
      </c>
      <c r="R214" s="98"/>
      <c r="S214" s="96" t="s">
        <v>927</v>
      </c>
      <c r="T214" s="95">
        <v>92390</v>
      </c>
      <c r="U214" s="131" t="s">
        <v>926</v>
      </c>
      <c r="V214" s="125"/>
      <c r="W214" s="125"/>
      <c r="X214" s="125"/>
      <c r="Y214" s="125"/>
      <c r="Z214" s="125"/>
      <c r="AA214" s="125"/>
      <c r="AB214" s="125"/>
      <c r="AC214" s="125"/>
      <c r="AD214" s="125"/>
      <c r="AE214" s="125"/>
      <c r="AF214" s="125"/>
      <c r="AG214" s="125"/>
      <c r="AH214" s="125"/>
      <c r="AI214" s="125"/>
      <c r="AJ214" s="125"/>
      <c r="AK214" s="125"/>
      <c r="AL214" s="125"/>
      <c r="AM214" s="125"/>
      <c r="AN214" s="125"/>
      <c r="AO214" s="125"/>
      <c r="AP214" s="125"/>
      <c r="AQ214" s="125"/>
      <c r="AR214" s="125"/>
      <c r="AS214" s="125"/>
      <c r="AT214" s="125"/>
      <c r="AU214" s="125"/>
      <c r="AV214" s="125"/>
      <c r="AW214" s="125"/>
      <c r="AX214" s="125"/>
      <c r="AY214" s="125"/>
      <c r="AZ214" s="125"/>
      <c r="BA214" s="125"/>
      <c r="BB214" s="125"/>
      <c r="BC214" s="125"/>
      <c r="BD214" s="125"/>
      <c r="BE214" s="125"/>
      <c r="BF214" s="125"/>
      <c r="BG214" s="125"/>
      <c r="BH214" s="125"/>
    </row>
    <row r="215" spans="1:60" s="124" customFormat="1" ht="116.25">
      <c r="A215" s="127"/>
      <c r="B215" s="92" t="s">
        <v>447</v>
      </c>
      <c r="C215" s="100" t="s">
        <v>477</v>
      </c>
      <c r="D215" s="100"/>
      <c r="E215" s="100" t="s">
        <v>667</v>
      </c>
      <c r="F215" s="100" t="s">
        <v>666</v>
      </c>
      <c r="G215" s="100" t="s">
        <v>925</v>
      </c>
      <c r="H215" s="100" t="s">
        <v>223</v>
      </c>
      <c r="I215" s="100"/>
      <c r="J215" s="100" t="s">
        <v>221</v>
      </c>
      <c r="K215" s="96" t="s">
        <v>149</v>
      </c>
      <c r="L215" s="99">
        <f t="shared" si="4"/>
        <v>100000</v>
      </c>
      <c r="M215" s="98">
        <f t="shared" si="5"/>
        <v>1</v>
      </c>
      <c r="N215" s="96" t="s">
        <v>553</v>
      </c>
      <c r="O215" s="98"/>
      <c r="P215" s="97" t="s">
        <v>472</v>
      </c>
      <c r="Q215" s="98">
        <v>1</v>
      </c>
      <c r="R215" s="98"/>
      <c r="S215" s="96" t="s">
        <v>924</v>
      </c>
      <c r="T215" s="95">
        <v>100000</v>
      </c>
      <c r="U215" s="131" t="s">
        <v>923</v>
      </c>
      <c r="V215" s="125"/>
      <c r="W215" s="125"/>
      <c r="X215" s="125"/>
      <c r="Y215" s="125"/>
      <c r="Z215" s="125"/>
      <c r="AA215" s="125"/>
      <c r="AB215" s="125"/>
      <c r="AC215" s="125"/>
      <c r="AD215" s="125"/>
      <c r="AE215" s="125"/>
      <c r="AF215" s="125"/>
      <c r="AG215" s="125"/>
      <c r="AH215" s="125"/>
      <c r="AI215" s="125"/>
      <c r="AJ215" s="125"/>
      <c r="AK215" s="125"/>
      <c r="AL215" s="125"/>
      <c r="AM215" s="125"/>
      <c r="AN215" s="125"/>
      <c r="AO215" s="125"/>
      <c r="AP215" s="125"/>
      <c r="AQ215" s="125"/>
      <c r="AR215" s="125"/>
      <c r="AS215" s="125"/>
      <c r="AT215" s="125"/>
      <c r="AU215" s="125"/>
      <c r="AV215" s="125"/>
      <c r="AW215" s="125"/>
      <c r="AX215" s="125"/>
      <c r="AY215" s="125"/>
      <c r="AZ215" s="125"/>
      <c r="BA215" s="125"/>
      <c r="BB215" s="125"/>
      <c r="BC215" s="125"/>
      <c r="BD215" s="125"/>
      <c r="BE215" s="125"/>
      <c r="BF215" s="125"/>
      <c r="BG215" s="125"/>
      <c r="BH215" s="125"/>
    </row>
    <row r="216" spans="1:60" s="124" customFormat="1" ht="116.25">
      <c r="A216" s="127"/>
      <c r="B216" s="92" t="s">
        <v>447</v>
      </c>
      <c r="C216" s="100" t="s">
        <v>477</v>
      </c>
      <c r="D216" s="100"/>
      <c r="E216" s="100" t="s">
        <v>667</v>
      </c>
      <c r="F216" s="100" t="s">
        <v>666</v>
      </c>
      <c r="G216" s="100" t="s">
        <v>919</v>
      </c>
      <c r="H216" s="100" t="s">
        <v>53</v>
      </c>
      <c r="I216" s="100"/>
      <c r="J216" s="100" t="s">
        <v>51</v>
      </c>
      <c r="K216" s="96" t="s">
        <v>40</v>
      </c>
      <c r="L216" s="99">
        <f t="shared" si="4"/>
        <v>150000</v>
      </c>
      <c r="M216" s="98">
        <f t="shared" si="5"/>
        <v>1</v>
      </c>
      <c r="N216" s="96" t="s">
        <v>553</v>
      </c>
      <c r="O216" s="98"/>
      <c r="P216" s="97" t="s">
        <v>472</v>
      </c>
      <c r="Q216" s="98">
        <v>1</v>
      </c>
      <c r="R216" s="98"/>
      <c r="S216" s="96" t="s">
        <v>674</v>
      </c>
      <c r="T216" s="95">
        <v>150000</v>
      </c>
      <c r="U216" s="131" t="s">
        <v>922</v>
      </c>
      <c r="V216" s="125"/>
      <c r="W216" s="125"/>
      <c r="X216" s="125"/>
      <c r="Y216" s="125"/>
      <c r="Z216" s="125"/>
      <c r="AA216" s="125"/>
      <c r="AB216" s="125"/>
      <c r="AC216" s="125"/>
      <c r="AD216" s="125"/>
      <c r="AE216" s="125"/>
      <c r="AF216" s="125"/>
      <c r="AG216" s="125"/>
      <c r="AH216" s="125"/>
      <c r="AI216" s="125"/>
      <c r="AJ216" s="125"/>
      <c r="AK216" s="125"/>
      <c r="AL216" s="125"/>
      <c r="AM216" s="125"/>
      <c r="AN216" s="125"/>
      <c r="AO216" s="125"/>
      <c r="AP216" s="125"/>
      <c r="AQ216" s="125"/>
      <c r="AR216" s="125"/>
      <c r="AS216" s="125"/>
      <c r="AT216" s="125"/>
      <c r="AU216" s="125"/>
      <c r="AV216" s="125"/>
      <c r="AW216" s="125"/>
      <c r="AX216" s="125"/>
      <c r="AY216" s="125"/>
      <c r="AZ216" s="125"/>
      <c r="BA216" s="125"/>
      <c r="BB216" s="125"/>
      <c r="BC216" s="125"/>
      <c r="BD216" s="125"/>
      <c r="BE216" s="125"/>
      <c r="BF216" s="125"/>
      <c r="BG216" s="125"/>
      <c r="BH216" s="125"/>
    </row>
    <row r="217" spans="1:60" s="124" customFormat="1" ht="116.25">
      <c r="A217" s="127"/>
      <c r="B217" s="92" t="s">
        <v>447</v>
      </c>
      <c r="C217" s="100" t="s">
        <v>477</v>
      </c>
      <c r="D217" s="100"/>
      <c r="E217" s="100" t="s">
        <v>667</v>
      </c>
      <c r="F217" s="100" t="s">
        <v>666</v>
      </c>
      <c r="G217" s="100" t="s">
        <v>919</v>
      </c>
      <c r="H217" s="100" t="s">
        <v>300</v>
      </c>
      <c r="I217" s="100"/>
      <c r="J217" s="100" t="s">
        <v>298</v>
      </c>
      <c r="K217" s="96" t="s">
        <v>149</v>
      </c>
      <c r="L217" s="99">
        <f t="shared" si="4"/>
        <v>65000</v>
      </c>
      <c r="M217" s="98">
        <f t="shared" si="5"/>
        <v>1</v>
      </c>
      <c r="N217" s="96" t="s">
        <v>553</v>
      </c>
      <c r="O217" s="98"/>
      <c r="P217" s="97" t="s">
        <v>472</v>
      </c>
      <c r="Q217" s="98">
        <v>1</v>
      </c>
      <c r="R217" s="98"/>
      <c r="S217" s="96" t="s">
        <v>921</v>
      </c>
      <c r="T217" s="95">
        <v>65000</v>
      </c>
      <c r="U217" s="131" t="s">
        <v>920</v>
      </c>
      <c r="V217" s="125"/>
      <c r="W217" s="125"/>
      <c r="X217" s="125"/>
      <c r="Y217" s="125"/>
      <c r="Z217" s="125"/>
      <c r="AA217" s="125"/>
      <c r="AB217" s="125"/>
      <c r="AC217" s="125"/>
      <c r="AD217" s="125"/>
      <c r="AE217" s="125"/>
      <c r="AF217" s="125"/>
      <c r="AG217" s="125"/>
      <c r="AH217" s="125"/>
      <c r="AI217" s="125"/>
      <c r="AJ217" s="125"/>
      <c r="AK217" s="125"/>
      <c r="AL217" s="125"/>
      <c r="AM217" s="125"/>
      <c r="AN217" s="125"/>
      <c r="AO217" s="125"/>
      <c r="AP217" s="125"/>
      <c r="AQ217" s="125"/>
      <c r="AR217" s="125"/>
      <c r="AS217" s="125"/>
      <c r="AT217" s="125"/>
      <c r="AU217" s="125"/>
      <c r="AV217" s="125"/>
      <c r="AW217" s="125"/>
      <c r="AX217" s="125"/>
      <c r="AY217" s="125"/>
      <c r="AZ217" s="125"/>
      <c r="BA217" s="125"/>
      <c r="BB217" s="125"/>
      <c r="BC217" s="125"/>
      <c r="BD217" s="125"/>
      <c r="BE217" s="125"/>
      <c r="BF217" s="125"/>
      <c r="BG217" s="125"/>
      <c r="BH217" s="125"/>
    </row>
    <row r="218" spans="1:60" s="124" customFormat="1" ht="116.25">
      <c r="A218" s="127"/>
      <c r="B218" s="92" t="s">
        <v>447</v>
      </c>
      <c r="C218" s="100" t="s">
        <v>477</v>
      </c>
      <c r="D218" s="100"/>
      <c r="E218" s="100" t="s">
        <v>667</v>
      </c>
      <c r="F218" s="100" t="s">
        <v>666</v>
      </c>
      <c r="G218" s="100" t="s">
        <v>919</v>
      </c>
      <c r="H218" s="100" t="s">
        <v>450</v>
      </c>
      <c r="I218" s="100"/>
      <c r="J218" s="100" t="s">
        <v>445</v>
      </c>
      <c r="K218" s="96" t="s">
        <v>13</v>
      </c>
      <c r="L218" s="99">
        <f t="shared" si="4"/>
        <v>11000</v>
      </c>
      <c r="M218" s="98">
        <f t="shared" si="5"/>
        <v>1</v>
      </c>
      <c r="N218" s="96" t="s">
        <v>558</v>
      </c>
      <c r="O218" s="108"/>
      <c r="P218" s="108" t="s">
        <v>472</v>
      </c>
      <c r="Q218" s="96">
        <v>1</v>
      </c>
      <c r="R218" s="96"/>
      <c r="S218" s="96" t="s">
        <v>918</v>
      </c>
      <c r="T218" s="95">
        <v>11000</v>
      </c>
      <c r="U218" s="94" t="s">
        <v>818</v>
      </c>
      <c r="V218" s="125"/>
      <c r="W218" s="125"/>
      <c r="X218" s="125"/>
      <c r="Y218" s="125"/>
      <c r="Z218" s="125"/>
      <c r="AA218" s="125"/>
      <c r="AB218" s="125"/>
      <c r="AC218" s="125"/>
      <c r="AD218" s="125"/>
      <c r="AE218" s="125"/>
      <c r="AF218" s="125"/>
      <c r="AG218" s="125"/>
      <c r="AH218" s="125"/>
      <c r="AI218" s="125"/>
      <c r="AJ218" s="125"/>
      <c r="AK218" s="125"/>
      <c r="AL218" s="125"/>
      <c r="AM218" s="125"/>
      <c r="AN218" s="125"/>
      <c r="AO218" s="125"/>
      <c r="AP218" s="125"/>
      <c r="AQ218" s="125"/>
      <c r="AR218" s="125"/>
      <c r="AS218" s="125"/>
      <c r="AT218" s="125"/>
      <c r="AU218" s="125"/>
      <c r="AV218" s="125"/>
      <c r="AW218" s="125"/>
      <c r="AX218" s="125"/>
      <c r="AY218" s="125"/>
      <c r="AZ218" s="125"/>
      <c r="BA218" s="125"/>
      <c r="BB218" s="125"/>
      <c r="BC218" s="125"/>
      <c r="BD218" s="125"/>
      <c r="BE218" s="125"/>
      <c r="BF218" s="125"/>
      <c r="BG218" s="125"/>
      <c r="BH218" s="125"/>
    </row>
    <row r="219" spans="1:60" s="124" customFormat="1" ht="116.25">
      <c r="A219" s="127"/>
      <c r="B219" s="92" t="s">
        <v>447</v>
      </c>
      <c r="C219" s="100" t="s">
        <v>477</v>
      </c>
      <c r="D219" s="100"/>
      <c r="E219" s="100" t="s">
        <v>667</v>
      </c>
      <c r="F219" s="100" t="s">
        <v>666</v>
      </c>
      <c r="G219" s="100" t="s">
        <v>913</v>
      </c>
      <c r="H219" s="100" t="s">
        <v>204</v>
      </c>
      <c r="I219" s="100"/>
      <c r="J219" s="100" t="s">
        <v>202</v>
      </c>
      <c r="K219" s="96" t="s">
        <v>63</v>
      </c>
      <c r="L219" s="99">
        <f t="shared" si="4"/>
        <v>69790</v>
      </c>
      <c r="M219" s="98">
        <f t="shared" si="5"/>
        <v>1</v>
      </c>
      <c r="N219" s="96" t="s">
        <v>553</v>
      </c>
      <c r="O219" s="96"/>
      <c r="P219" s="97" t="s">
        <v>472</v>
      </c>
      <c r="Q219" s="96">
        <v>1</v>
      </c>
      <c r="R219" s="96"/>
      <c r="S219" s="96" t="s">
        <v>917</v>
      </c>
      <c r="T219" s="95">
        <v>69790</v>
      </c>
      <c r="U219" s="94" t="s">
        <v>916</v>
      </c>
      <c r="V219" s="125"/>
      <c r="W219" s="125"/>
      <c r="X219" s="125"/>
      <c r="Y219" s="125"/>
      <c r="Z219" s="125"/>
      <c r="AA219" s="125"/>
      <c r="AB219" s="125"/>
      <c r="AC219" s="125"/>
      <c r="AD219" s="125"/>
      <c r="AE219" s="125"/>
      <c r="AF219" s="125"/>
      <c r="AG219" s="125"/>
      <c r="AH219" s="125"/>
      <c r="AI219" s="125"/>
      <c r="AJ219" s="125"/>
      <c r="AK219" s="125"/>
      <c r="AL219" s="125"/>
      <c r="AM219" s="125"/>
      <c r="AN219" s="125"/>
      <c r="AO219" s="125"/>
      <c r="AP219" s="125"/>
      <c r="AQ219" s="125"/>
      <c r="AR219" s="125"/>
      <c r="AS219" s="125"/>
      <c r="AT219" s="125"/>
      <c r="AU219" s="125"/>
      <c r="AV219" s="125"/>
      <c r="AW219" s="125"/>
      <c r="AX219" s="125"/>
      <c r="AY219" s="125"/>
      <c r="AZ219" s="125"/>
      <c r="BA219" s="125"/>
      <c r="BB219" s="125"/>
      <c r="BC219" s="125"/>
      <c r="BD219" s="125"/>
      <c r="BE219" s="125"/>
      <c r="BF219" s="125"/>
      <c r="BG219" s="125"/>
      <c r="BH219" s="125"/>
    </row>
    <row r="220" spans="1:60" s="124" customFormat="1" ht="116.25">
      <c r="A220" s="127"/>
      <c r="B220" s="92" t="s">
        <v>447</v>
      </c>
      <c r="C220" s="100" t="s">
        <v>477</v>
      </c>
      <c r="D220" s="100"/>
      <c r="E220" s="100" t="s">
        <v>667</v>
      </c>
      <c r="F220" s="100" t="s">
        <v>666</v>
      </c>
      <c r="G220" s="100" t="s">
        <v>913</v>
      </c>
      <c r="H220" s="100" t="s">
        <v>204</v>
      </c>
      <c r="I220" s="100"/>
      <c r="J220" s="100" t="s">
        <v>202</v>
      </c>
      <c r="K220" s="96" t="s">
        <v>63</v>
      </c>
      <c r="L220" s="99">
        <f t="shared" si="4"/>
        <v>69790</v>
      </c>
      <c r="M220" s="98">
        <f t="shared" si="5"/>
        <v>1</v>
      </c>
      <c r="N220" s="98" t="s">
        <v>553</v>
      </c>
      <c r="O220" s="98"/>
      <c r="P220" s="97" t="s">
        <v>472</v>
      </c>
      <c r="Q220" s="98">
        <v>1</v>
      </c>
      <c r="R220" s="98"/>
      <c r="S220" s="98" t="s">
        <v>915</v>
      </c>
      <c r="T220" s="95">
        <v>69790</v>
      </c>
      <c r="U220" s="109" t="s">
        <v>914</v>
      </c>
      <c r="V220" s="125"/>
      <c r="W220" s="125"/>
      <c r="X220" s="125"/>
      <c r="Y220" s="125"/>
      <c r="Z220" s="125"/>
      <c r="AA220" s="125"/>
      <c r="AB220" s="125"/>
      <c r="AC220" s="125"/>
      <c r="AD220" s="125"/>
      <c r="AE220" s="125"/>
      <c r="AF220" s="125"/>
      <c r="AG220" s="125"/>
      <c r="AH220" s="125"/>
      <c r="AI220" s="125"/>
      <c r="AJ220" s="125"/>
      <c r="AK220" s="125"/>
      <c r="AL220" s="125"/>
      <c r="AM220" s="125"/>
      <c r="AN220" s="125"/>
      <c r="AO220" s="125"/>
      <c r="AP220" s="125"/>
      <c r="AQ220" s="125"/>
      <c r="AR220" s="125"/>
      <c r="AS220" s="125"/>
      <c r="AT220" s="125"/>
      <c r="AU220" s="125"/>
      <c r="AV220" s="125"/>
      <c r="AW220" s="125"/>
      <c r="AX220" s="125"/>
      <c r="AY220" s="125"/>
      <c r="AZ220" s="125"/>
      <c r="BA220" s="125"/>
      <c r="BB220" s="125"/>
      <c r="BC220" s="125"/>
      <c r="BD220" s="125"/>
      <c r="BE220" s="125"/>
      <c r="BF220" s="125"/>
      <c r="BG220" s="125"/>
      <c r="BH220" s="125"/>
    </row>
    <row r="221" spans="1:60" s="124" customFormat="1" ht="116.25">
      <c r="A221" s="127"/>
      <c r="B221" s="92" t="s">
        <v>447</v>
      </c>
      <c r="C221" s="100" t="s">
        <v>477</v>
      </c>
      <c r="D221" s="100"/>
      <c r="E221" s="100" t="s">
        <v>667</v>
      </c>
      <c r="F221" s="100" t="s">
        <v>666</v>
      </c>
      <c r="G221" s="100" t="s">
        <v>913</v>
      </c>
      <c r="H221" s="100" t="s">
        <v>135</v>
      </c>
      <c r="I221" s="100"/>
      <c r="J221" s="100" t="s">
        <v>133</v>
      </c>
      <c r="K221" s="96" t="s">
        <v>63</v>
      </c>
      <c r="L221" s="99">
        <f t="shared" si="4"/>
        <v>39266</v>
      </c>
      <c r="M221" s="98">
        <f t="shared" si="5"/>
        <v>1</v>
      </c>
      <c r="N221" s="98" t="s">
        <v>553</v>
      </c>
      <c r="O221" s="98"/>
      <c r="P221" s="97" t="s">
        <v>472</v>
      </c>
      <c r="Q221" s="98">
        <v>1</v>
      </c>
      <c r="R221" s="98"/>
      <c r="S221" s="149"/>
      <c r="T221" s="95">
        <v>39266</v>
      </c>
      <c r="U221" s="109" t="s">
        <v>912</v>
      </c>
      <c r="V221" s="125"/>
      <c r="W221" s="125"/>
      <c r="X221" s="125"/>
      <c r="Y221" s="125"/>
      <c r="Z221" s="125"/>
      <c r="AA221" s="125"/>
      <c r="AB221" s="125"/>
      <c r="AC221" s="125"/>
      <c r="AD221" s="125"/>
      <c r="AE221" s="125"/>
      <c r="AF221" s="125"/>
      <c r="AG221" s="125"/>
      <c r="AH221" s="125"/>
      <c r="AI221" s="125"/>
      <c r="AJ221" s="125"/>
      <c r="AK221" s="125"/>
      <c r="AL221" s="125"/>
      <c r="AM221" s="125"/>
      <c r="AN221" s="125"/>
      <c r="AO221" s="125"/>
      <c r="AP221" s="125"/>
      <c r="AQ221" s="125"/>
      <c r="AR221" s="125"/>
      <c r="AS221" s="125"/>
      <c r="AT221" s="125"/>
      <c r="AU221" s="125"/>
      <c r="AV221" s="125"/>
      <c r="AW221" s="125"/>
      <c r="AX221" s="125"/>
      <c r="AY221" s="125"/>
      <c r="AZ221" s="125"/>
      <c r="BA221" s="125"/>
      <c r="BB221" s="125"/>
      <c r="BC221" s="125"/>
      <c r="BD221" s="125"/>
      <c r="BE221" s="125"/>
      <c r="BF221" s="125"/>
      <c r="BG221" s="125"/>
      <c r="BH221" s="125"/>
    </row>
    <row r="222" spans="1:60" s="124" customFormat="1" ht="116.25">
      <c r="A222" s="127"/>
      <c r="B222" s="92" t="s">
        <v>447</v>
      </c>
      <c r="C222" s="100" t="s">
        <v>477</v>
      </c>
      <c r="D222" s="100"/>
      <c r="E222" s="100" t="s">
        <v>667</v>
      </c>
      <c r="F222" s="100" t="s">
        <v>666</v>
      </c>
      <c r="G222" s="100" t="s">
        <v>911</v>
      </c>
      <c r="H222" s="100" t="s">
        <v>265</v>
      </c>
      <c r="I222" s="100"/>
      <c r="J222" s="100" t="s">
        <v>263</v>
      </c>
      <c r="K222" s="96" t="s">
        <v>63</v>
      </c>
      <c r="L222" s="99">
        <f t="shared" si="4"/>
        <v>39900</v>
      </c>
      <c r="M222" s="98">
        <f t="shared" si="5"/>
        <v>1</v>
      </c>
      <c r="N222" s="98" t="s">
        <v>553</v>
      </c>
      <c r="O222" s="96"/>
      <c r="P222" s="97" t="s">
        <v>472</v>
      </c>
      <c r="Q222" s="96">
        <v>1</v>
      </c>
      <c r="R222" s="96"/>
      <c r="S222" s="96" t="s">
        <v>910</v>
      </c>
      <c r="T222" s="95">
        <v>39900</v>
      </c>
      <c r="U222" s="94" t="s">
        <v>909</v>
      </c>
      <c r="V222" s="125"/>
      <c r="W222" s="125"/>
      <c r="X222" s="125"/>
      <c r="Y222" s="125"/>
      <c r="Z222" s="125"/>
      <c r="AA222" s="125"/>
      <c r="AB222" s="125"/>
      <c r="AC222" s="125"/>
      <c r="AD222" s="125"/>
      <c r="AE222" s="125"/>
      <c r="AF222" s="125"/>
      <c r="AG222" s="125"/>
      <c r="AH222" s="125"/>
      <c r="AI222" s="125"/>
      <c r="AJ222" s="125"/>
      <c r="AK222" s="125"/>
      <c r="AL222" s="125"/>
      <c r="AM222" s="125"/>
      <c r="AN222" s="125"/>
      <c r="AO222" s="125"/>
      <c r="AP222" s="125"/>
      <c r="AQ222" s="125"/>
      <c r="AR222" s="125"/>
      <c r="AS222" s="125"/>
      <c r="AT222" s="125"/>
      <c r="AU222" s="125"/>
      <c r="AV222" s="125"/>
      <c r="AW222" s="125"/>
      <c r="AX222" s="125"/>
      <c r="AY222" s="125"/>
      <c r="AZ222" s="125"/>
      <c r="BA222" s="125"/>
      <c r="BB222" s="125"/>
      <c r="BC222" s="125"/>
      <c r="BD222" s="125"/>
      <c r="BE222" s="125"/>
      <c r="BF222" s="125"/>
      <c r="BG222" s="125"/>
      <c r="BH222" s="125"/>
    </row>
    <row r="223" spans="1:60" s="124" customFormat="1" ht="116.25">
      <c r="A223" s="127"/>
      <c r="B223" s="92" t="s">
        <v>447</v>
      </c>
      <c r="C223" s="100" t="s">
        <v>477</v>
      </c>
      <c r="D223" s="100"/>
      <c r="E223" s="100" t="s">
        <v>667</v>
      </c>
      <c r="F223" s="100" t="s">
        <v>666</v>
      </c>
      <c r="G223" s="100" t="s">
        <v>908</v>
      </c>
      <c r="H223" s="100" t="s">
        <v>159</v>
      </c>
      <c r="I223" s="100"/>
      <c r="J223" s="100" t="s">
        <v>157</v>
      </c>
      <c r="K223" s="96" t="s">
        <v>149</v>
      </c>
      <c r="L223" s="99">
        <f t="shared" si="4"/>
        <v>22720</v>
      </c>
      <c r="M223" s="98">
        <f t="shared" si="5"/>
        <v>1</v>
      </c>
      <c r="N223" s="98" t="s">
        <v>553</v>
      </c>
      <c r="O223" s="96"/>
      <c r="P223" s="97" t="s">
        <v>472</v>
      </c>
      <c r="Q223" s="96">
        <v>1</v>
      </c>
      <c r="R223" s="96"/>
      <c r="S223" s="96" t="s">
        <v>907</v>
      </c>
      <c r="T223" s="95">
        <v>22720</v>
      </c>
      <c r="U223" s="94" t="s">
        <v>906</v>
      </c>
      <c r="V223" s="125"/>
      <c r="W223" s="125"/>
      <c r="X223" s="125"/>
      <c r="Y223" s="125"/>
      <c r="Z223" s="125"/>
      <c r="AA223" s="125"/>
      <c r="AB223" s="125"/>
      <c r="AC223" s="125"/>
      <c r="AD223" s="125"/>
      <c r="AE223" s="125"/>
      <c r="AF223" s="125"/>
      <c r="AG223" s="125"/>
      <c r="AH223" s="125"/>
      <c r="AI223" s="125"/>
      <c r="AJ223" s="125"/>
      <c r="AK223" s="125"/>
      <c r="AL223" s="125"/>
      <c r="AM223" s="125"/>
      <c r="AN223" s="125"/>
      <c r="AO223" s="125"/>
      <c r="AP223" s="125"/>
      <c r="AQ223" s="125"/>
      <c r="AR223" s="125"/>
      <c r="AS223" s="125"/>
      <c r="AT223" s="125"/>
      <c r="AU223" s="125"/>
      <c r="AV223" s="125"/>
      <c r="AW223" s="125"/>
      <c r="AX223" s="125"/>
      <c r="AY223" s="125"/>
      <c r="AZ223" s="125"/>
      <c r="BA223" s="125"/>
      <c r="BB223" s="125"/>
      <c r="BC223" s="125"/>
      <c r="BD223" s="125"/>
      <c r="BE223" s="125"/>
      <c r="BF223" s="125"/>
      <c r="BG223" s="125"/>
      <c r="BH223" s="125"/>
    </row>
    <row r="224" spans="1:60" s="124" customFormat="1" ht="116.25">
      <c r="A224" s="127"/>
      <c r="B224" s="92" t="s">
        <v>447</v>
      </c>
      <c r="C224" s="100" t="s">
        <v>477</v>
      </c>
      <c r="D224" s="100"/>
      <c r="E224" s="100" t="s">
        <v>667</v>
      </c>
      <c r="F224" s="100" t="s">
        <v>666</v>
      </c>
      <c r="G224" s="100" t="s">
        <v>585</v>
      </c>
      <c r="H224" s="100" t="s">
        <v>905</v>
      </c>
      <c r="I224" s="100"/>
      <c r="J224" s="100" t="s">
        <v>904</v>
      </c>
      <c r="K224" s="96" t="s">
        <v>149</v>
      </c>
      <c r="L224" s="99">
        <f t="shared" si="4"/>
        <v>20000</v>
      </c>
      <c r="M224" s="98">
        <f t="shared" si="5"/>
        <v>1</v>
      </c>
      <c r="N224" s="98" t="s">
        <v>553</v>
      </c>
      <c r="O224" s="96"/>
      <c r="P224" s="97" t="s">
        <v>472</v>
      </c>
      <c r="Q224" s="96"/>
      <c r="R224" s="96">
        <v>1</v>
      </c>
      <c r="S224" s="96"/>
      <c r="T224" s="95">
        <v>20000</v>
      </c>
      <c r="U224" s="94" t="s">
        <v>903</v>
      </c>
      <c r="V224" s="125"/>
      <c r="W224" s="125"/>
      <c r="X224" s="125"/>
      <c r="Y224" s="125"/>
      <c r="Z224" s="125"/>
      <c r="AA224" s="125"/>
      <c r="AB224" s="125"/>
      <c r="AC224" s="125"/>
      <c r="AD224" s="125"/>
      <c r="AE224" s="125"/>
      <c r="AF224" s="125"/>
      <c r="AG224" s="125"/>
      <c r="AH224" s="125"/>
      <c r="AI224" s="125"/>
      <c r="AJ224" s="125"/>
      <c r="AK224" s="125"/>
      <c r="AL224" s="125"/>
      <c r="AM224" s="125"/>
      <c r="AN224" s="125"/>
      <c r="AO224" s="125"/>
      <c r="AP224" s="125"/>
      <c r="AQ224" s="125"/>
      <c r="AR224" s="125"/>
      <c r="AS224" s="125"/>
      <c r="AT224" s="125"/>
      <c r="AU224" s="125"/>
      <c r="AV224" s="125"/>
      <c r="AW224" s="125"/>
      <c r="AX224" s="125"/>
      <c r="AY224" s="125"/>
      <c r="AZ224" s="125"/>
      <c r="BA224" s="125"/>
      <c r="BB224" s="125"/>
      <c r="BC224" s="125"/>
      <c r="BD224" s="125"/>
      <c r="BE224" s="125"/>
      <c r="BF224" s="125"/>
      <c r="BG224" s="125"/>
      <c r="BH224" s="125"/>
    </row>
    <row r="225" spans="1:60" s="124" customFormat="1" ht="116.25">
      <c r="A225" s="127"/>
      <c r="B225" s="92" t="s">
        <v>447</v>
      </c>
      <c r="C225" s="100" t="s">
        <v>477</v>
      </c>
      <c r="D225" s="100"/>
      <c r="E225" s="100" t="s">
        <v>667</v>
      </c>
      <c r="F225" s="100" t="s">
        <v>666</v>
      </c>
      <c r="G225" s="100" t="s">
        <v>902</v>
      </c>
      <c r="H225" s="100" t="s">
        <v>232</v>
      </c>
      <c r="I225" s="100"/>
      <c r="J225" s="100" t="s">
        <v>230</v>
      </c>
      <c r="K225" s="96" t="s">
        <v>13</v>
      </c>
      <c r="L225" s="99">
        <f t="shared" si="4"/>
        <v>30000</v>
      </c>
      <c r="M225" s="98">
        <f t="shared" si="5"/>
        <v>6</v>
      </c>
      <c r="N225" s="98" t="s">
        <v>553</v>
      </c>
      <c r="O225" s="96"/>
      <c r="P225" s="97" t="s">
        <v>472</v>
      </c>
      <c r="Q225" s="96"/>
      <c r="R225" s="107">
        <v>6</v>
      </c>
      <c r="S225" s="96"/>
      <c r="T225" s="95">
        <v>5000</v>
      </c>
      <c r="U225" s="148" t="s">
        <v>901</v>
      </c>
      <c r="V225" s="125"/>
      <c r="W225" s="125"/>
      <c r="X225" s="125"/>
      <c r="Y225" s="125"/>
      <c r="Z225" s="125"/>
      <c r="AA225" s="125"/>
      <c r="AB225" s="125"/>
      <c r="AC225" s="125"/>
      <c r="AD225" s="125"/>
      <c r="AE225" s="125"/>
      <c r="AF225" s="125"/>
      <c r="AG225" s="125"/>
      <c r="AH225" s="125"/>
      <c r="AI225" s="125"/>
      <c r="AJ225" s="125"/>
      <c r="AK225" s="125"/>
      <c r="AL225" s="125"/>
      <c r="AM225" s="125"/>
      <c r="AN225" s="125"/>
      <c r="AO225" s="125"/>
      <c r="AP225" s="125"/>
      <c r="AQ225" s="125"/>
      <c r="AR225" s="125"/>
      <c r="AS225" s="125"/>
      <c r="AT225" s="125"/>
      <c r="AU225" s="125"/>
      <c r="AV225" s="125"/>
      <c r="AW225" s="125"/>
      <c r="AX225" s="125"/>
      <c r="AY225" s="125"/>
      <c r="AZ225" s="125"/>
      <c r="BA225" s="125"/>
      <c r="BB225" s="125"/>
      <c r="BC225" s="125"/>
      <c r="BD225" s="125"/>
      <c r="BE225" s="125"/>
      <c r="BF225" s="125"/>
      <c r="BG225" s="125"/>
      <c r="BH225" s="125"/>
    </row>
    <row r="226" spans="1:60" s="124" customFormat="1" ht="116.25">
      <c r="A226" s="127"/>
      <c r="B226" s="92" t="s">
        <v>447</v>
      </c>
      <c r="C226" s="100" t="s">
        <v>477</v>
      </c>
      <c r="D226" s="100"/>
      <c r="E226" s="100" t="s">
        <v>667</v>
      </c>
      <c r="F226" s="100" t="s">
        <v>666</v>
      </c>
      <c r="G226" s="100" t="s">
        <v>895</v>
      </c>
      <c r="H226" s="100" t="s">
        <v>232</v>
      </c>
      <c r="I226" s="100"/>
      <c r="J226" s="100" t="s">
        <v>230</v>
      </c>
      <c r="K226" s="96" t="s">
        <v>13</v>
      </c>
      <c r="L226" s="99">
        <f t="shared" si="4"/>
        <v>26500</v>
      </c>
      <c r="M226" s="98">
        <f t="shared" si="5"/>
        <v>1</v>
      </c>
      <c r="N226" s="98" t="s">
        <v>558</v>
      </c>
      <c r="O226" s="97" t="s">
        <v>472</v>
      </c>
      <c r="P226" s="97"/>
      <c r="Q226" s="96">
        <v>1</v>
      </c>
      <c r="R226" s="107"/>
      <c r="S226" s="96" t="s">
        <v>900</v>
      </c>
      <c r="T226" s="95">
        <v>26500</v>
      </c>
      <c r="U226" s="94" t="s">
        <v>841</v>
      </c>
      <c r="V226" s="125"/>
      <c r="W226" s="125"/>
      <c r="X226" s="125"/>
      <c r="Y226" s="125"/>
      <c r="Z226" s="125"/>
      <c r="AA226" s="125"/>
      <c r="AB226" s="125"/>
      <c r="AC226" s="125"/>
      <c r="AD226" s="125"/>
      <c r="AE226" s="125"/>
      <c r="AF226" s="125"/>
      <c r="AG226" s="125"/>
      <c r="AH226" s="125"/>
      <c r="AI226" s="125"/>
      <c r="AJ226" s="125"/>
      <c r="AK226" s="125"/>
      <c r="AL226" s="125"/>
      <c r="AM226" s="125"/>
      <c r="AN226" s="125"/>
      <c r="AO226" s="125"/>
      <c r="AP226" s="125"/>
      <c r="AQ226" s="125"/>
      <c r="AR226" s="125"/>
      <c r="AS226" s="125"/>
      <c r="AT226" s="125"/>
      <c r="AU226" s="125"/>
      <c r="AV226" s="125"/>
      <c r="AW226" s="125"/>
      <c r="AX226" s="125"/>
      <c r="AY226" s="125"/>
      <c r="AZ226" s="125"/>
      <c r="BA226" s="125"/>
      <c r="BB226" s="125"/>
      <c r="BC226" s="125"/>
      <c r="BD226" s="125"/>
      <c r="BE226" s="125"/>
      <c r="BF226" s="125"/>
      <c r="BG226" s="125"/>
      <c r="BH226" s="125"/>
    </row>
    <row r="227" spans="1:60" s="124" customFormat="1" ht="116.25">
      <c r="A227" s="127"/>
      <c r="B227" s="92" t="s">
        <v>447</v>
      </c>
      <c r="C227" s="100" t="s">
        <v>477</v>
      </c>
      <c r="D227" s="100"/>
      <c r="E227" s="100" t="s">
        <v>667</v>
      </c>
      <c r="F227" s="100" t="s">
        <v>666</v>
      </c>
      <c r="G227" s="100" t="s">
        <v>895</v>
      </c>
      <c r="H227" s="100" t="s">
        <v>164</v>
      </c>
      <c r="I227" s="100"/>
      <c r="J227" s="100" t="s">
        <v>160</v>
      </c>
      <c r="K227" s="96" t="s">
        <v>149</v>
      </c>
      <c r="L227" s="99">
        <f t="shared" si="4"/>
        <v>29900</v>
      </c>
      <c r="M227" s="98">
        <f t="shared" si="5"/>
        <v>1</v>
      </c>
      <c r="N227" s="96" t="s">
        <v>558</v>
      </c>
      <c r="O227" s="97" t="s">
        <v>472</v>
      </c>
      <c r="P227" s="96"/>
      <c r="Q227" s="96">
        <v>1</v>
      </c>
      <c r="R227" s="96"/>
      <c r="S227" s="96" t="s">
        <v>899</v>
      </c>
      <c r="T227" s="95">
        <v>29900</v>
      </c>
      <c r="U227" s="94" t="s">
        <v>898</v>
      </c>
      <c r="V227" s="125"/>
      <c r="W227" s="125"/>
      <c r="X227" s="125"/>
      <c r="Y227" s="125"/>
      <c r="Z227" s="125"/>
      <c r="AA227" s="125"/>
      <c r="AB227" s="125"/>
      <c r="AC227" s="125"/>
      <c r="AD227" s="125"/>
      <c r="AE227" s="125"/>
      <c r="AF227" s="125"/>
      <c r="AG227" s="125"/>
      <c r="AH227" s="125"/>
      <c r="AI227" s="125"/>
      <c r="AJ227" s="125"/>
      <c r="AK227" s="125"/>
      <c r="AL227" s="125"/>
      <c r="AM227" s="125"/>
      <c r="AN227" s="125"/>
      <c r="AO227" s="125"/>
      <c r="AP227" s="125"/>
      <c r="AQ227" s="125"/>
      <c r="AR227" s="125"/>
      <c r="AS227" s="125"/>
      <c r="AT227" s="125"/>
      <c r="AU227" s="125"/>
      <c r="AV227" s="125"/>
      <c r="AW227" s="125"/>
      <c r="AX227" s="125"/>
      <c r="AY227" s="125"/>
      <c r="AZ227" s="125"/>
      <c r="BA227" s="125"/>
      <c r="BB227" s="125"/>
      <c r="BC227" s="125"/>
      <c r="BD227" s="125"/>
      <c r="BE227" s="125"/>
      <c r="BF227" s="125"/>
      <c r="BG227" s="125"/>
      <c r="BH227" s="125"/>
    </row>
    <row r="228" spans="1:60" s="124" customFormat="1" ht="116.25">
      <c r="A228" s="127"/>
      <c r="B228" s="92" t="s">
        <v>447</v>
      </c>
      <c r="C228" s="100" t="s">
        <v>477</v>
      </c>
      <c r="D228" s="100"/>
      <c r="E228" s="100" t="s">
        <v>667</v>
      </c>
      <c r="F228" s="100" t="s">
        <v>666</v>
      </c>
      <c r="G228" s="100" t="s">
        <v>895</v>
      </c>
      <c r="H228" s="100" t="s">
        <v>262</v>
      </c>
      <c r="I228" s="100"/>
      <c r="J228" s="100" t="s">
        <v>260</v>
      </c>
      <c r="K228" s="96" t="s">
        <v>63</v>
      </c>
      <c r="L228" s="99">
        <f t="shared" si="4"/>
        <v>29900</v>
      </c>
      <c r="M228" s="98">
        <f t="shared" si="5"/>
        <v>1</v>
      </c>
      <c r="N228" s="96" t="s">
        <v>558</v>
      </c>
      <c r="O228" s="97" t="s">
        <v>472</v>
      </c>
      <c r="P228" s="96"/>
      <c r="Q228" s="96">
        <v>1</v>
      </c>
      <c r="R228" s="96"/>
      <c r="S228" s="134"/>
      <c r="T228" s="95">
        <v>29900</v>
      </c>
      <c r="U228" s="109" t="s">
        <v>897</v>
      </c>
      <c r="V228" s="125"/>
      <c r="W228" s="125"/>
      <c r="X228" s="125"/>
      <c r="Y228" s="125"/>
      <c r="Z228" s="125"/>
      <c r="AA228" s="125"/>
      <c r="AB228" s="125"/>
      <c r="AC228" s="125"/>
      <c r="AD228" s="125"/>
      <c r="AE228" s="125"/>
      <c r="AF228" s="125"/>
      <c r="AG228" s="125"/>
      <c r="AH228" s="125"/>
      <c r="AI228" s="125"/>
      <c r="AJ228" s="125"/>
      <c r="AK228" s="125"/>
      <c r="AL228" s="125"/>
      <c r="AM228" s="125"/>
      <c r="AN228" s="125"/>
      <c r="AO228" s="125"/>
      <c r="AP228" s="125"/>
      <c r="AQ228" s="125"/>
      <c r="AR228" s="125"/>
      <c r="AS228" s="125"/>
      <c r="AT228" s="125"/>
      <c r="AU228" s="125"/>
      <c r="AV228" s="125"/>
      <c r="AW228" s="125"/>
      <c r="AX228" s="125"/>
      <c r="AY228" s="125"/>
      <c r="AZ228" s="125"/>
      <c r="BA228" s="125"/>
      <c r="BB228" s="125"/>
      <c r="BC228" s="125"/>
      <c r="BD228" s="125"/>
      <c r="BE228" s="125"/>
      <c r="BF228" s="125"/>
      <c r="BG228" s="125"/>
      <c r="BH228" s="125"/>
    </row>
    <row r="229" spans="1:60" s="124" customFormat="1" ht="116.25">
      <c r="A229" s="127"/>
      <c r="B229" s="92" t="s">
        <v>447</v>
      </c>
      <c r="C229" s="100" t="s">
        <v>477</v>
      </c>
      <c r="D229" s="100"/>
      <c r="E229" s="100" t="s">
        <v>667</v>
      </c>
      <c r="F229" s="100" t="s">
        <v>666</v>
      </c>
      <c r="G229" s="100" t="s">
        <v>895</v>
      </c>
      <c r="H229" s="100" t="s">
        <v>201</v>
      </c>
      <c r="I229" s="100"/>
      <c r="J229" s="100" t="s">
        <v>199</v>
      </c>
      <c r="K229" s="96" t="s">
        <v>63</v>
      </c>
      <c r="L229" s="99">
        <f t="shared" si="4"/>
        <v>29900</v>
      </c>
      <c r="M229" s="98">
        <f t="shared" si="5"/>
        <v>1</v>
      </c>
      <c r="N229" s="96" t="s">
        <v>558</v>
      </c>
      <c r="O229" s="97" t="s">
        <v>472</v>
      </c>
      <c r="P229" s="96"/>
      <c r="Q229" s="96"/>
      <c r="R229" s="96">
        <v>1</v>
      </c>
      <c r="S229" s="96"/>
      <c r="T229" s="95">
        <v>29900</v>
      </c>
      <c r="U229" s="109" t="s">
        <v>896</v>
      </c>
      <c r="V229" s="125"/>
      <c r="W229" s="125"/>
      <c r="X229" s="125"/>
      <c r="Y229" s="125"/>
      <c r="Z229" s="125"/>
      <c r="AA229" s="125"/>
      <c r="AB229" s="125"/>
      <c r="AC229" s="125"/>
      <c r="AD229" s="125"/>
      <c r="AE229" s="125"/>
      <c r="AF229" s="125"/>
      <c r="AG229" s="125"/>
      <c r="AH229" s="125"/>
      <c r="AI229" s="125"/>
      <c r="AJ229" s="125"/>
      <c r="AK229" s="125"/>
      <c r="AL229" s="125"/>
      <c r="AM229" s="125"/>
      <c r="AN229" s="125"/>
      <c r="AO229" s="125"/>
      <c r="AP229" s="125"/>
      <c r="AQ229" s="125"/>
      <c r="AR229" s="125"/>
      <c r="AS229" s="125"/>
      <c r="AT229" s="125"/>
      <c r="AU229" s="125"/>
      <c r="AV229" s="125"/>
      <c r="AW229" s="125"/>
      <c r="AX229" s="125"/>
      <c r="AY229" s="125"/>
      <c r="AZ229" s="125"/>
      <c r="BA229" s="125"/>
      <c r="BB229" s="125"/>
      <c r="BC229" s="125"/>
      <c r="BD229" s="125"/>
      <c r="BE229" s="125"/>
      <c r="BF229" s="125"/>
      <c r="BG229" s="125"/>
      <c r="BH229" s="125"/>
    </row>
    <row r="230" spans="1:60" s="124" customFormat="1" ht="116.25">
      <c r="A230" s="127"/>
      <c r="B230" s="92" t="s">
        <v>447</v>
      </c>
      <c r="C230" s="100" t="s">
        <v>477</v>
      </c>
      <c r="D230" s="100"/>
      <c r="E230" s="100" t="s">
        <v>667</v>
      </c>
      <c r="F230" s="100" t="s">
        <v>666</v>
      </c>
      <c r="G230" s="100" t="s">
        <v>895</v>
      </c>
      <c r="H230" s="100" t="s">
        <v>894</v>
      </c>
      <c r="I230" s="100"/>
      <c r="J230" s="100" t="s">
        <v>320</v>
      </c>
      <c r="K230" s="96" t="s">
        <v>40</v>
      </c>
      <c r="L230" s="99">
        <f t="shared" si="4"/>
        <v>29900</v>
      </c>
      <c r="M230" s="98">
        <f t="shared" si="5"/>
        <v>1</v>
      </c>
      <c r="N230" s="96" t="s">
        <v>558</v>
      </c>
      <c r="O230" s="97" t="s">
        <v>472</v>
      </c>
      <c r="P230" s="96"/>
      <c r="Q230" s="96"/>
      <c r="R230" s="96">
        <v>1</v>
      </c>
      <c r="S230" s="96"/>
      <c r="T230" s="95">
        <v>29900</v>
      </c>
      <c r="U230" s="109" t="s">
        <v>893</v>
      </c>
      <c r="V230" s="125"/>
      <c r="W230" s="125"/>
      <c r="X230" s="125"/>
      <c r="Y230" s="125"/>
      <c r="Z230" s="125"/>
      <c r="AA230" s="125"/>
      <c r="AB230" s="125"/>
      <c r="AC230" s="125"/>
      <c r="AD230" s="125"/>
      <c r="AE230" s="125"/>
      <c r="AF230" s="125"/>
      <c r="AG230" s="125"/>
      <c r="AH230" s="125"/>
      <c r="AI230" s="125"/>
      <c r="AJ230" s="125"/>
      <c r="AK230" s="125"/>
      <c r="AL230" s="125"/>
      <c r="AM230" s="125"/>
      <c r="AN230" s="125"/>
      <c r="AO230" s="125"/>
      <c r="AP230" s="125"/>
      <c r="AQ230" s="125"/>
      <c r="AR230" s="125"/>
      <c r="AS230" s="125"/>
      <c r="AT230" s="125"/>
      <c r="AU230" s="125"/>
      <c r="AV230" s="125"/>
      <c r="AW230" s="125"/>
      <c r="AX230" s="125"/>
      <c r="AY230" s="125"/>
      <c r="AZ230" s="125"/>
      <c r="BA230" s="125"/>
      <c r="BB230" s="125"/>
      <c r="BC230" s="125"/>
      <c r="BD230" s="125"/>
      <c r="BE230" s="125"/>
      <c r="BF230" s="125"/>
      <c r="BG230" s="125"/>
      <c r="BH230" s="125"/>
    </row>
    <row r="231" spans="1:60" s="124" customFormat="1" ht="116.25">
      <c r="A231" s="127"/>
      <c r="B231" s="92" t="s">
        <v>447</v>
      </c>
      <c r="C231" s="100" t="s">
        <v>477</v>
      </c>
      <c r="D231" s="100"/>
      <c r="E231" s="100" t="s">
        <v>667</v>
      </c>
      <c r="F231" s="100" t="s">
        <v>666</v>
      </c>
      <c r="G231" s="100" t="s">
        <v>888</v>
      </c>
      <c r="H231" s="100" t="s">
        <v>265</v>
      </c>
      <c r="I231" s="100"/>
      <c r="J231" s="100" t="s">
        <v>263</v>
      </c>
      <c r="K231" s="96" t="s">
        <v>63</v>
      </c>
      <c r="L231" s="99">
        <f t="shared" si="4"/>
        <v>43100</v>
      </c>
      <c r="M231" s="98">
        <f t="shared" si="5"/>
        <v>1</v>
      </c>
      <c r="N231" s="96" t="s">
        <v>558</v>
      </c>
      <c r="O231" s="97" t="s">
        <v>472</v>
      </c>
      <c r="P231" s="96"/>
      <c r="Q231" s="96">
        <v>1</v>
      </c>
      <c r="R231" s="96"/>
      <c r="S231" s="96" t="s">
        <v>892</v>
      </c>
      <c r="T231" s="95">
        <v>43100</v>
      </c>
      <c r="U231" s="109" t="s">
        <v>891</v>
      </c>
      <c r="V231" s="125"/>
      <c r="W231" s="125"/>
      <c r="X231" s="125"/>
      <c r="Y231" s="125"/>
      <c r="Z231" s="125"/>
      <c r="AA231" s="125"/>
      <c r="AB231" s="125"/>
      <c r="AC231" s="125"/>
      <c r="AD231" s="125"/>
      <c r="AE231" s="125"/>
      <c r="AF231" s="125"/>
      <c r="AG231" s="125"/>
      <c r="AH231" s="125"/>
      <c r="AI231" s="125"/>
      <c r="AJ231" s="125"/>
      <c r="AK231" s="125"/>
      <c r="AL231" s="125"/>
      <c r="AM231" s="125"/>
      <c r="AN231" s="125"/>
      <c r="AO231" s="125"/>
      <c r="AP231" s="125"/>
      <c r="AQ231" s="125"/>
      <c r="AR231" s="125"/>
      <c r="AS231" s="125"/>
      <c r="AT231" s="125"/>
      <c r="AU231" s="125"/>
      <c r="AV231" s="125"/>
      <c r="AW231" s="125"/>
      <c r="AX231" s="125"/>
      <c r="AY231" s="125"/>
      <c r="AZ231" s="125"/>
      <c r="BA231" s="125"/>
      <c r="BB231" s="125"/>
      <c r="BC231" s="125"/>
      <c r="BD231" s="125"/>
      <c r="BE231" s="125"/>
      <c r="BF231" s="125"/>
      <c r="BG231" s="125"/>
      <c r="BH231" s="125"/>
    </row>
    <row r="232" spans="1:60" s="124" customFormat="1" ht="116.25">
      <c r="A232" s="127"/>
      <c r="B232" s="92" t="s">
        <v>447</v>
      </c>
      <c r="C232" s="100" t="s">
        <v>477</v>
      </c>
      <c r="D232" s="100"/>
      <c r="E232" s="100" t="s">
        <v>667</v>
      </c>
      <c r="F232" s="100" t="s">
        <v>666</v>
      </c>
      <c r="G232" s="100" t="s">
        <v>888</v>
      </c>
      <c r="H232" s="100" t="s">
        <v>195</v>
      </c>
      <c r="I232" s="100"/>
      <c r="J232" s="100" t="s">
        <v>193</v>
      </c>
      <c r="K232" s="96" t="s">
        <v>40</v>
      </c>
      <c r="L232" s="106">
        <f t="shared" si="4"/>
        <v>91800</v>
      </c>
      <c r="M232" s="98">
        <f t="shared" si="5"/>
        <v>2</v>
      </c>
      <c r="N232" s="96" t="s">
        <v>558</v>
      </c>
      <c r="O232" s="108" t="s">
        <v>472</v>
      </c>
      <c r="P232" s="96"/>
      <c r="Q232" s="96">
        <v>1</v>
      </c>
      <c r="R232" s="96">
        <v>1</v>
      </c>
      <c r="S232" s="96" t="s">
        <v>890</v>
      </c>
      <c r="T232" s="104">
        <v>45900</v>
      </c>
      <c r="U232" s="109" t="s">
        <v>889</v>
      </c>
      <c r="V232" s="125"/>
      <c r="W232" s="125"/>
      <c r="X232" s="125"/>
      <c r="Y232" s="125"/>
      <c r="Z232" s="125"/>
      <c r="AA232" s="125"/>
      <c r="AB232" s="125"/>
      <c r="AC232" s="125"/>
      <c r="AD232" s="125"/>
      <c r="AE232" s="125"/>
      <c r="AF232" s="125"/>
      <c r="AG232" s="125"/>
      <c r="AH232" s="125"/>
      <c r="AI232" s="125"/>
      <c r="AJ232" s="125"/>
      <c r="AK232" s="125"/>
      <c r="AL232" s="125"/>
      <c r="AM232" s="125"/>
      <c r="AN232" s="125"/>
      <c r="AO232" s="125"/>
      <c r="AP232" s="125"/>
      <c r="AQ232" s="125"/>
      <c r="AR232" s="125"/>
      <c r="AS232" s="125"/>
      <c r="AT232" s="125"/>
      <c r="AU232" s="125"/>
      <c r="AV232" s="125"/>
      <c r="AW232" s="125"/>
      <c r="AX232" s="125"/>
      <c r="AY232" s="125"/>
      <c r="AZ232" s="125"/>
      <c r="BA232" s="125"/>
      <c r="BB232" s="125"/>
      <c r="BC232" s="125"/>
      <c r="BD232" s="125"/>
      <c r="BE232" s="125"/>
      <c r="BF232" s="125"/>
      <c r="BG232" s="125"/>
      <c r="BH232" s="125"/>
    </row>
    <row r="233" spans="1:60" s="124" customFormat="1" ht="116.25">
      <c r="A233" s="127"/>
      <c r="B233" s="92" t="s">
        <v>447</v>
      </c>
      <c r="C233" s="100" t="s">
        <v>477</v>
      </c>
      <c r="D233" s="100"/>
      <c r="E233" s="100" t="s">
        <v>667</v>
      </c>
      <c r="F233" s="100" t="s">
        <v>666</v>
      </c>
      <c r="G233" s="100" t="s">
        <v>888</v>
      </c>
      <c r="H233" s="100" t="s">
        <v>62</v>
      </c>
      <c r="I233" s="100"/>
      <c r="J233" s="100" t="s">
        <v>60</v>
      </c>
      <c r="K233" s="96" t="s">
        <v>40</v>
      </c>
      <c r="L233" s="106">
        <f t="shared" si="4"/>
        <v>65800</v>
      </c>
      <c r="M233" s="98">
        <f t="shared" si="5"/>
        <v>2</v>
      </c>
      <c r="N233" s="96" t="s">
        <v>558</v>
      </c>
      <c r="O233" s="108" t="s">
        <v>472</v>
      </c>
      <c r="P233" s="96"/>
      <c r="Q233" s="96">
        <v>1</v>
      </c>
      <c r="R233" s="96">
        <v>1</v>
      </c>
      <c r="S233" s="96" t="s">
        <v>887</v>
      </c>
      <c r="T233" s="104">
        <v>32900</v>
      </c>
      <c r="U233" s="109" t="s">
        <v>886</v>
      </c>
      <c r="V233" s="125"/>
      <c r="W233" s="125"/>
      <c r="X233" s="125"/>
      <c r="Y233" s="125"/>
      <c r="Z233" s="125"/>
      <c r="AA233" s="125"/>
      <c r="AB233" s="125"/>
      <c r="AC233" s="125"/>
      <c r="AD233" s="125"/>
      <c r="AE233" s="125"/>
      <c r="AF233" s="125"/>
      <c r="AG233" s="125"/>
      <c r="AH233" s="125"/>
      <c r="AI233" s="125"/>
      <c r="AJ233" s="125"/>
      <c r="AK233" s="125"/>
      <c r="AL233" s="125"/>
      <c r="AM233" s="125"/>
      <c r="AN233" s="125"/>
      <c r="AO233" s="125"/>
      <c r="AP233" s="125"/>
      <c r="AQ233" s="125"/>
      <c r="AR233" s="125"/>
      <c r="AS233" s="125"/>
      <c r="AT233" s="125"/>
      <c r="AU233" s="125"/>
      <c r="AV233" s="125"/>
      <c r="AW233" s="125"/>
      <c r="AX233" s="125"/>
      <c r="AY233" s="125"/>
      <c r="AZ233" s="125"/>
      <c r="BA233" s="125"/>
      <c r="BB233" s="125"/>
      <c r="BC233" s="125"/>
      <c r="BD233" s="125"/>
      <c r="BE233" s="125"/>
      <c r="BF233" s="125"/>
      <c r="BG233" s="125"/>
      <c r="BH233" s="125"/>
    </row>
    <row r="234" spans="1:60" s="124" customFormat="1" ht="116.25">
      <c r="A234" s="127"/>
      <c r="B234" s="92" t="s">
        <v>447</v>
      </c>
      <c r="C234" s="100" t="s">
        <v>477</v>
      </c>
      <c r="D234" s="100"/>
      <c r="E234" s="100" t="s">
        <v>667</v>
      </c>
      <c r="F234" s="100" t="s">
        <v>666</v>
      </c>
      <c r="G234" s="100" t="s">
        <v>880</v>
      </c>
      <c r="H234" s="100" t="s">
        <v>50</v>
      </c>
      <c r="I234" s="100"/>
      <c r="J234" s="100" t="s">
        <v>46</v>
      </c>
      <c r="K234" s="96" t="s">
        <v>40</v>
      </c>
      <c r="L234" s="99">
        <f t="shared" si="4"/>
        <v>48600</v>
      </c>
      <c r="M234" s="98">
        <f t="shared" si="5"/>
        <v>1</v>
      </c>
      <c r="N234" s="96" t="s">
        <v>558</v>
      </c>
      <c r="O234" s="97" t="s">
        <v>472</v>
      </c>
      <c r="P234" s="96"/>
      <c r="Q234" s="96">
        <v>1</v>
      </c>
      <c r="R234" s="96"/>
      <c r="S234" s="96" t="s">
        <v>885</v>
      </c>
      <c r="T234" s="95">
        <v>48600</v>
      </c>
      <c r="U234" s="109" t="s">
        <v>884</v>
      </c>
      <c r="V234" s="125"/>
      <c r="W234" s="125"/>
      <c r="X234" s="125"/>
      <c r="Y234" s="125"/>
      <c r="Z234" s="125"/>
      <c r="AA234" s="125"/>
      <c r="AB234" s="125"/>
      <c r="AC234" s="125"/>
      <c r="AD234" s="125"/>
      <c r="AE234" s="125"/>
      <c r="AF234" s="125"/>
      <c r="AG234" s="125"/>
      <c r="AH234" s="125"/>
      <c r="AI234" s="125"/>
      <c r="AJ234" s="125"/>
      <c r="AK234" s="125"/>
      <c r="AL234" s="125"/>
      <c r="AM234" s="125"/>
      <c r="AN234" s="125"/>
      <c r="AO234" s="125"/>
      <c r="AP234" s="125"/>
      <c r="AQ234" s="125"/>
      <c r="AR234" s="125"/>
      <c r="AS234" s="125"/>
      <c r="AT234" s="125"/>
      <c r="AU234" s="125"/>
      <c r="AV234" s="125"/>
      <c r="AW234" s="125"/>
      <c r="AX234" s="125"/>
      <c r="AY234" s="125"/>
      <c r="AZ234" s="125"/>
      <c r="BA234" s="125"/>
      <c r="BB234" s="125"/>
      <c r="BC234" s="125"/>
      <c r="BD234" s="125"/>
      <c r="BE234" s="125"/>
      <c r="BF234" s="125"/>
      <c r="BG234" s="125"/>
      <c r="BH234" s="125"/>
    </row>
    <row r="235" spans="1:60" s="124" customFormat="1" ht="116.25">
      <c r="A235" s="127"/>
      <c r="B235" s="92" t="s">
        <v>447</v>
      </c>
      <c r="C235" s="100" t="s">
        <v>477</v>
      </c>
      <c r="D235" s="100"/>
      <c r="E235" s="100" t="s">
        <v>667</v>
      </c>
      <c r="F235" s="100" t="s">
        <v>666</v>
      </c>
      <c r="G235" s="100" t="s">
        <v>880</v>
      </c>
      <c r="H235" s="100" t="s">
        <v>50</v>
      </c>
      <c r="I235" s="100"/>
      <c r="J235" s="100" t="s">
        <v>46</v>
      </c>
      <c r="K235" s="96" t="s">
        <v>40</v>
      </c>
      <c r="L235" s="99">
        <f t="shared" si="4"/>
        <v>14900</v>
      </c>
      <c r="M235" s="98">
        <f t="shared" si="5"/>
        <v>1</v>
      </c>
      <c r="N235" s="96" t="s">
        <v>558</v>
      </c>
      <c r="O235" s="97" t="s">
        <v>472</v>
      </c>
      <c r="P235" s="96"/>
      <c r="Q235" s="96"/>
      <c r="R235" s="96">
        <v>1</v>
      </c>
      <c r="S235" s="96"/>
      <c r="T235" s="104">
        <v>14900</v>
      </c>
      <c r="U235" s="94" t="s">
        <v>883</v>
      </c>
      <c r="V235" s="125"/>
      <c r="W235" s="125"/>
      <c r="X235" s="125"/>
      <c r="Y235" s="125"/>
      <c r="Z235" s="125"/>
      <c r="AA235" s="125"/>
      <c r="AB235" s="125"/>
      <c r="AC235" s="125"/>
      <c r="AD235" s="125"/>
      <c r="AE235" s="125"/>
      <c r="AF235" s="125"/>
      <c r="AG235" s="125"/>
      <c r="AH235" s="125"/>
      <c r="AI235" s="125"/>
      <c r="AJ235" s="125"/>
      <c r="AK235" s="125"/>
      <c r="AL235" s="125"/>
      <c r="AM235" s="125"/>
      <c r="AN235" s="125"/>
      <c r="AO235" s="125"/>
      <c r="AP235" s="125"/>
      <c r="AQ235" s="125"/>
      <c r="AR235" s="125"/>
      <c r="AS235" s="125"/>
      <c r="AT235" s="125"/>
      <c r="AU235" s="125"/>
      <c r="AV235" s="125"/>
      <c r="AW235" s="125"/>
      <c r="AX235" s="125"/>
      <c r="AY235" s="125"/>
      <c r="AZ235" s="125"/>
      <c r="BA235" s="125"/>
      <c r="BB235" s="125"/>
      <c r="BC235" s="125"/>
      <c r="BD235" s="125"/>
      <c r="BE235" s="125"/>
      <c r="BF235" s="125"/>
      <c r="BG235" s="125"/>
      <c r="BH235" s="125"/>
    </row>
    <row r="236" spans="1:60" s="124" customFormat="1" ht="116.25">
      <c r="A236" s="127"/>
      <c r="B236" s="92" t="s">
        <v>447</v>
      </c>
      <c r="C236" s="100" t="s">
        <v>477</v>
      </c>
      <c r="D236" s="100"/>
      <c r="E236" s="100" t="s">
        <v>667</v>
      </c>
      <c r="F236" s="100" t="s">
        <v>666</v>
      </c>
      <c r="G236" s="100" t="s">
        <v>880</v>
      </c>
      <c r="H236" s="100" t="s">
        <v>148</v>
      </c>
      <c r="I236" s="100"/>
      <c r="J236" s="100" t="s">
        <v>146</v>
      </c>
      <c r="K236" s="96" t="s">
        <v>63</v>
      </c>
      <c r="L236" s="99">
        <f t="shared" si="4"/>
        <v>48600</v>
      </c>
      <c r="M236" s="98">
        <f t="shared" si="5"/>
        <v>1</v>
      </c>
      <c r="N236" s="96" t="s">
        <v>558</v>
      </c>
      <c r="O236" s="97" t="s">
        <v>472</v>
      </c>
      <c r="P236" s="96"/>
      <c r="Q236" s="96">
        <v>1</v>
      </c>
      <c r="R236" s="96"/>
      <c r="S236" s="96" t="s">
        <v>882</v>
      </c>
      <c r="T236" s="95">
        <v>48600</v>
      </c>
      <c r="U236" s="94" t="s">
        <v>881</v>
      </c>
      <c r="V236" s="125"/>
      <c r="W236" s="125"/>
      <c r="X236" s="125"/>
      <c r="Y236" s="125"/>
      <c r="Z236" s="125"/>
      <c r="AA236" s="125"/>
      <c r="AB236" s="125"/>
      <c r="AC236" s="125"/>
      <c r="AD236" s="125"/>
      <c r="AE236" s="125"/>
      <c r="AF236" s="125"/>
      <c r="AG236" s="125"/>
      <c r="AH236" s="125"/>
      <c r="AI236" s="125"/>
      <c r="AJ236" s="125"/>
      <c r="AK236" s="125"/>
      <c r="AL236" s="125"/>
      <c r="AM236" s="125"/>
      <c r="AN236" s="125"/>
      <c r="AO236" s="125"/>
      <c r="AP236" s="125"/>
      <c r="AQ236" s="125"/>
      <c r="AR236" s="125"/>
      <c r="AS236" s="125"/>
      <c r="AT236" s="125"/>
      <c r="AU236" s="125"/>
      <c r="AV236" s="125"/>
      <c r="AW236" s="125"/>
      <c r="AX236" s="125"/>
      <c r="AY236" s="125"/>
      <c r="AZ236" s="125"/>
      <c r="BA236" s="125"/>
      <c r="BB236" s="125"/>
      <c r="BC236" s="125"/>
      <c r="BD236" s="125"/>
      <c r="BE236" s="125"/>
      <c r="BF236" s="125"/>
      <c r="BG236" s="125"/>
      <c r="BH236" s="125"/>
    </row>
    <row r="237" spans="1:60" s="124" customFormat="1" ht="116.25">
      <c r="A237" s="127"/>
      <c r="B237" s="92" t="s">
        <v>447</v>
      </c>
      <c r="C237" s="100" t="s">
        <v>477</v>
      </c>
      <c r="D237" s="100"/>
      <c r="E237" s="100" t="s">
        <v>667</v>
      </c>
      <c r="F237" s="100" t="s">
        <v>666</v>
      </c>
      <c r="G237" s="100" t="s">
        <v>880</v>
      </c>
      <c r="H237" s="100" t="s">
        <v>121</v>
      </c>
      <c r="I237" s="100"/>
      <c r="J237" s="100" t="s">
        <v>119</v>
      </c>
      <c r="K237" s="96" t="s">
        <v>63</v>
      </c>
      <c r="L237" s="99">
        <f t="shared" si="4"/>
        <v>145800</v>
      </c>
      <c r="M237" s="98">
        <f t="shared" si="5"/>
        <v>3</v>
      </c>
      <c r="N237" s="96" t="s">
        <v>558</v>
      </c>
      <c r="O237" s="97" t="s">
        <v>472</v>
      </c>
      <c r="P237" s="96"/>
      <c r="Q237" s="96">
        <v>1</v>
      </c>
      <c r="R237" s="96">
        <v>2</v>
      </c>
      <c r="S237" s="96" t="s">
        <v>879</v>
      </c>
      <c r="T237" s="95">
        <v>48600</v>
      </c>
      <c r="U237" s="94" t="s">
        <v>878</v>
      </c>
      <c r="V237" s="125"/>
      <c r="W237" s="125"/>
      <c r="X237" s="125"/>
      <c r="Y237" s="125"/>
      <c r="Z237" s="125"/>
      <c r="AA237" s="125"/>
      <c r="AB237" s="125"/>
      <c r="AC237" s="125"/>
      <c r="AD237" s="125"/>
      <c r="AE237" s="125"/>
      <c r="AF237" s="125"/>
      <c r="AG237" s="125"/>
      <c r="AH237" s="125"/>
      <c r="AI237" s="125"/>
      <c r="AJ237" s="125"/>
      <c r="AK237" s="125"/>
      <c r="AL237" s="125"/>
      <c r="AM237" s="125"/>
      <c r="AN237" s="125"/>
      <c r="AO237" s="125"/>
      <c r="AP237" s="125"/>
      <c r="AQ237" s="125"/>
      <c r="AR237" s="125"/>
      <c r="AS237" s="125"/>
      <c r="AT237" s="125"/>
      <c r="AU237" s="125"/>
      <c r="AV237" s="125"/>
      <c r="AW237" s="125"/>
      <c r="AX237" s="125"/>
      <c r="AY237" s="125"/>
      <c r="AZ237" s="125"/>
      <c r="BA237" s="125"/>
      <c r="BB237" s="125"/>
      <c r="BC237" s="125"/>
      <c r="BD237" s="125"/>
      <c r="BE237" s="125"/>
      <c r="BF237" s="125"/>
      <c r="BG237" s="125"/>
      <c r="BH237" s="125"/>
    </row>
    <row r="238" spans="1:60" s="124" customFormat="1" ht="116.25">
      <c r="A238" s="127"/>
      <c r="B238" s="92" t="s">
        <v>447</v>
      </c>
      <c r="C238" s="100" t="s">
        <v>477</v>
      </c>
      <c r="D238" s="100"/>
      <c r="E238" s="100" t="s">
        <v>667</v>
      </c>
      <c r="F238" s="100" t="s">
        <v>666</v>
      </c>
      <c r="G238" s="100" t="s">
        <v>875</v>
      </c>
      <c r="H238" s="100" t="s">
        <v>377</v>
      </c>
      <c r="I238" s="100"/>
      <c r="J238" s="100" t="s">
        <v>375</v>
      </c>
      <c r="K238" s="96" t="s">
        <v>63</v>
      </c>
      <c r="L238" s="99">
        <f t="shared" si="4"/>
        <v>14900</v>
      </c>
      <c r="M238" s="98">
        <f t="shared" si="5"/>
        <v>1</v>
      </c>
      <c r="N238" s="96" t="s">
        <v>617</v>
      </c>
      <c r="O238" s="97" t="s">
        <v>472</v>
      </c>
      <c r="P238" s="108"/>
      <c r="Q238" s="96">
        <v>1</v>
      </c>
      <c r="R238" s="96"/>
      <c r="S238" s="96" t="s">
        <v>877</v>
      </c>
      <c r="T238" s="95">
        <v>14900</v>
      </c>
      <c r="U238" s="94" t="s">
        <v>876</v>
      </c>
      <c r="V238" s="125"/>
      <c r="W238" s="125"/>
      <c r="X238" s="125"/>
      <c r="Y238" s="125"/>
      <c r="Z238" s="125"/>
      <c r="AA238" s="125"/>
      <c r="AB238" s="125"/>
      <c r="AC238" s="125"/>
      <c r="AD238" s="125"/>
      <c r="AE238" s="125"/>
      <c r="AF238" s="125"/>
      <c r="AG238" s="125"/>
      <c r="AH238" s="125"/>
      <c r="AI238" s="125"/>
      <c r="AJ238" s="125"/>
      <c r="AK238" s="125"/>
      <c r="AL238" s="125"/>
      <c r="AM238" s="125"/>
      <c r="AN238" s="125"/>
      <c r="AO238" s="125"/>
      <c r="AP238" s="125"/>
      <c r="AQ238" s="125"/>
      <c r="AR238" s="125"/>
      <c r="AS238" s="125"/>
      <c r="AT238" s="125"/>
      <c r="AU238" s="125"/>
      <c r="AV238" s="125"/>
      <c r="AW238" s="125"/>
      <c r="AX238" s="125"/>
      <c r="AY238" s="125"/>
      <c r="AZ238" s="125"/>
      <c r="BA238" s="125"/>
      <c r="BB238" s="125"/>
      <c r="BC238" s="125"/>
      <c r="BD238" s="125"/>
      <c r="BE238" s="125"/>
      <c r="BF238" s="125"/>
      <c r="BG238" s="125"/>
      <c r="BH238" s="125"/>
    </row>
    <row r="239" spans="1:60" s="124" customFormat="1" ht="116.25">
      <c r="A239" s="127"/>
      <c r="B239" s="92" t="s">
        <v>447</v>
      </c>
      <c r="C239" s="100" t="s">
        <v>477</v>
      </c>
      <c r="D239" s="100"/>
      <c r="E239" s="100" t="s">
        <v>667</v>
      </c>
      <c r="F239" s="100" t="s">
        <v>666</v>
      </c>
      <c r="G239" s="100" t="s">
        <v>875</v>
      </c>
      <c r="H239" s="100" t="s">
        <v>164</v>
      </c>
      <c r="I239" s="100"/>
      <c r="J239" s="100" t="s">
        <v>160</v>
      </c>
      <c r="K239" s="96" t="s">
        <v>149</v>
      </c>
      <c r="L239" s="99">
        <f t="shared" si="4"/>
        <v>14900</v>
      </c>
      <c r="M239" s="98">
        <f t="shared" si="5"/>
        <v>1</v>
      </c>
      <c r="N239" s="96" t="s">
        <v>617</v>
      </c>
      <c r="O239" s="97" t="s">
        <v>472</v>
      </c>
      <c r="P239" s="96"/>
      <c r="Q239" s="96">
        <v>1</v>
      </c>
      <c r="R239" s="96"/>
      <c r="S239" s="96" t="s">
        <v>874</v>
      </c>
      <c r="T239" s="95">
        <v>14900</v>
      </c>
      <c r="U239" s="109" t="s">
        <v>873</v>
      </c>
      <c r="V239" s="125"/>
      <c r="W239" s="125"/>
      <c r="X239" s="125"/>
      <c r="Y239" s="125"/>
      <c r="Z239" s="125"/>
      <c r="AA239" s="125"/>
      <c r="AB239" s="125"/>
      <c r="AC239" s="125"/>
      <c r="AD239" s="125"/>
      <c r="AE239" s="125"/>
      <c r="AF239" s="125"/>
      <c r="AG239" s="125"/>
      <c r="AH239" s="125"/>
      <c r="AI239" s="125"/>
      <c r="AJ239" s="125"/>
      <c r="AK239" s="125"/>
      <c r="AL239" s="125"/>
      <c r="AM239" s="125"/>
      <c r="AN239" s="125"/>
      <c r="AO239" s="125"/>
      <c r="AP239" s="125"/>
      <c r="AQ239" s="125"/>
      <c r="AR239" s="125"/>
      <c r="AS239" s="125"/>
      <c r="AT239" s="125"/>
      <c r="AU239" s="125"/>
      <c r="AV239" s="125"/>
      <c r="AW239" s="125"/>
      <c r="AX239" s="125"/>
      <c r="AY239" s="125"/>
      <c r="AZ239" s="125"/>
      <c r="BA239" s="125"/>
      <c r="BB239" s="125"/>
      <c r="BC239" s="125"/>
      <c r="BD239" s="125"/>
      <c r="BE239" s="125"/>
      <c r="BF239" s="125"/>
      <c r="BG239" s="125"/>
      <c r="BH239" s="125"/>
    </row>
    <row r="240" spans="1:60" s="124" customFormat="1" ht="116.25">
      <c r="A240" s="127"/>
      <c r="B240" s="92" t="s">
        <v>447</v>
      </c>
      <c r="C240" s="100" t="s">
        <v>477</v>
      </c>
      <c r="D240" s="100"/>
      <c r="E240" s="100" t="s">
        <v>667</v>
      </c>
      <c r="F240" s="100" t="s">
        <v>666</v>
      </c>
      <c r="G240" s="100" t="s">
        <v>872</v>
      </c>
      <c r="H240" s="100" t="s">
        <v>201</v>
      </c>
      <c r="I240" s="100"/>
      <c r="J240" s="100" t="s">
        <v>199</v>
      </c>
      <c r="K240" s="96" t="s">
        <v>63</v>
      </c>
      <c r="L240" s="99">
        <f t="shared" si="4"/>
        <v>34900</v>
      </c>
      <c r="M240" s="98">
        <f t="shared" si="5"/>
        <v>1</v>
      </c>
      <c r="N240" s="96" t="s">
        <v>617</v>
      </c>
      <c r="O240" s="97" t="s">
        <v>472</v>
      </c>
      <c r="P240" s="96"/>
      <c r="Q240" s="96"/>
      <c r="R240" s="96">
        <v>1</v>
      </c>
      <c r="S240" s="96"/>
      <c r="T240" s="95">
        <v>34900</v>
      </c>
      <c r="U240" s="94" t="s">
        <v>871</v>
      </c>
      <c r="V240" s="125"/>
      <c r="W240" s="125"/>
      <c r="X240" s="125"/>
      <c r="Y240" s="125"/>
      <c r="Z240" s="125"/>
      <c r="AA240" s="125"/>
      <c r="AB240" s="125"/>
      <c r="AC240" s="125"/>
      <c r="AD240" s="125"/>
      <c r="AE240" s="125"/>
      <c r="AF240" s="125"/>
      <c r="AG240" s="125"/>
      <c r="AH240" s="125"/>
      <c r="AI240" s="125"/>
      <c r="AJ240" s="125"/>
      <c r="AK240" s="125"/>
      <c r="AL240" s="125"/>
      <c r="AM240" s="125"/>
      <c r="AN240" s="125"/>
      <c r="AO240" s="125"/>
      <c r="AP240" s="125"/>
      <c r="AQ240" s="125"/>
      <c r="AR240" s="125"/>
      <c r="AS240" s="125"/>
      <c r="AT240" s="125"/>
      <c r="AU240" s="125"/>
      <c r="AV240" s="125"/>
      <c r="AW240" s="125"/>
      <c r="AX240" s="125"/>
      <c r="AY240" s="125"/>
      <c r="AZ240" s="125"/>
      <c r="BA240" s="125"/>
      <c r="BB240" s="125"/>
      <c r="BC240" s="125"/>
      <c r="BD240" s="125"/>
      <c r="BE240" s="125"/>
      <c r="BF240" s="125"/>
      <c r="BG240" s="125"/>
      <c r="BH240" s="125"/>
    </row>
    <row r="241" spans="1:60" s="124" customFormat="1" ht="116.25">
      <c r="A241" s="127"/>
      <c r="B241" s="92" t="s">
        <v>447</v>
      </c>
      <c r="C241" s="100" t="s">
        <v>477</v>
      </c>
      <c r="D241" s="100"/>
      <c r="E241" s="100" t="s">
        <v>667</v>
      </c>
      <c r="F241" s="100" t="s">
        <v>666</v>
      </c>
      <c r="G241" s="100" t="s">
        <v>870</v>
      </c>
      <c r="H241" s="100" t="s">
        <v>195</v>
      </c>
      <c r="I241" s="100"/>
      <c r="J241" s="100" t="s">
        <v>193</v>
      </c>
      <c r="K241" s="96" t="s">
        <v>40</v>
      </c>
      <c r="L241" s="99">
        <f t="shared" ref="L241:L285" si="6">M241*T241</f>
        <v>45000</v>
      </c>
      <c r="M241" s="98">
        <f t="shared" ref="M241:M304" si="7">Q241+R241</f>
        <v>1</v>
      </c>
      <c r="N241" s="96" t="s">
        <v>617</v>
      </c>
      <c r="O241" s="97" t="s">
        <v>472</v>
      </c>
      <c r="P241" s="96"/>
      <c r="Q241" s="96"/>
      <c r="R241" s="96">
        <v>1</v>
      </c>
      <c r="S241" s="96"/>
      <c r="T241" s="95">
        <v>45000</v>
      </c>
      <c r="U241" s="94" t="s">
        <v>868</v>
      </c>
      <c r="V241" s="125"/>
      <c r="W241" s="125"/>
      <c r="X241" s="125"/>
      <c r="Y241" s="125"/>
      <c r="Z241" s="125"/>
      <c r="AA241" s="125"/>
      <c r="AB241" s="125"/>
      <c r="AC241" s="125"/>
      <c r="AD241" s="125"/>
      <c r="AE241" s="125"/>
      <c r="AF241" s="125"/>
      <c r="AG241" s="125"/>
      <c r="AH241" s="125"/>
      <c r="AI241" s="125"/>
      <c r="AJ241" s="125"/>
      <c r="AK241" s="125"/>
      <c r="AL241" s="125"/>
      <c r="AM241" s="125"/>
      <c r="AN241" s="125"/>
      <c r="AO241" s="125"/>
      <c r="AP241" s="125"/>
      <c r="AQ241" s="125"/>
      <c r="AR241" s="125"/>
      <c r="AS241" s="125"/>
      <c r="AT241" s="125"/>
      <c r="AU241" s="125"/>
      <c r="AV241" s="125"/>
      <c r="AW241" s="125"/>
      <c r="AX241" s="125"/>
      <c r="AY241" s="125"/>
      <c r="AZ241" s="125"/>
      <c r="BA241" s="125"/>
      <c r="BB241" s="125"/>
      <c r="BC241" s="125"/>
      <c r="BD241" s="125"/>
      <c r="BE241" s="125"/>
      <c r="BF241" s="125"/>
      <c r="BG241" s="125"/>
      <c r="BH241" s="125"/>
    </row>
    <row r="242" spans="1:60" s="124" customFormat="1" ht="116.25">
      <c r="A242" s="127"/>
      <c r="B242" s="92" t="s">
        <v>447</v>
      </c>
      <c r="C242" s="100" t="s">
        <v>477</v>
      </c>
      <c r="D242" s="100"/>
      <c r="E242" s="100" t="s">
        <v>667</v>
      </c>
      <c r="F242" s="100" t="s">
        <v>666</v>
      </c>
      <c r="G242" s="100" t="s">
        <v>869</v>
      </c>
      <c r="H242" s="100" t="s">
        <v>463</v>
      </c>
      <c r="I242" s="100"/>
      <c r="J242" s="100" t="s">
        <v>438</v>
      </c>
      <c r="K242" s="96" t="s">
        <v>63</v>
      </c>
      <c r="L242" s="99">
        <f t="shared" si="6"/>
        <v>15000</v>
      </c>
      <c r="M242" s="98">
        <f t="shared" si="7"/>
        <v>1</v>
      </c>
      <c r="N242" s="96" t="s">
        <v>558</v>
      </c>
      <c r="O242" s="97" t="s">
        <v>472</v>
      </c>
      <c r="P242" s="96"/>
      <c r="Q242" s="96"/>
      <c r="R242" s="96">
        <v>1</v>
      </c>
      <c r="S242" s="96"/>
      <c r="T242" s="95">
        <v>15000</v>
      </c>
      <c r="U242" s="94" t="s">
        <v>868</v>
      </c>
      <c r="V242" s="125"/>
      <c r="W242" s="125"/>
      <c r="X242" s="125"/>
      <c r="Y242" s="125"/>
      <c r="Z242" s="125"/>
      <c r="AA242" s="125"/>
      <c r="AB242" s="125"/>
      <c r="AC242" s="125"/>
      <c r="AD242" s="125"/>
      <c r="AE242" s="125"/>
      <c r="AF242" s="125"/>
      <c r="AG242" s="125"/>
      <c r="AH242" s="125"/>
      <c r="AI242" s="125"/>
      <c r="AJ242" s="125"/>
      <c r="AK242" s="125"/>
      <c r="AL242" s="125"/>
      <c r="AM242" s="125"/>
      <c r="AN242" s="125"/>
      <c r="AO242" s="125"/>
      <c r="AP242" s="125"/>
      <c r="AQ242" s="125"/>
      <c r="AR242" s="125"/>
      <c r="AS242" s="125"/>
      <c r="AT242" s="125"/>
      <c r="AU242" s="125"/>
      <c r="AV242" s="125"/>
      <c r="AW242" s="125"/>
      <c r="AX242" s="125"/>
      <c r="AY242" s="125"/>
      <c r="AZ242" s="125"/>
      <c r="BA242" s="125"/>
      <c r="BB242" s="125"/>
      <c r="BC242" s="125"/>
      <c r="BD242" s="125"/>
      <c r="BE242" s="125"/>
      <c r="BF242" s="125"/>
      <c r="BG242" s="125"/>
      <c r="BH242" s="125"/>
    </row>
    <row r="243" spans="1:60" s="124" customFormat="1" ht="116.25">
      <c r="A243" s="127"/>
      <c r="B243" s="92" t="s">
        <v>447</v>
      </c>
      <c r="C243" s="100" t="s">
        <v>477</v>
      </c>
      <c r="D243" s="100"/>
      <c r="E243" s="100" t="s">
        <v>667</v>
      </c>
      <c r="F243" s="100" t="s">
        <v>666</v>
      </c>
      <c r="G243" s="103" t="s">
        <v>867</v>
      </c>
      <c r="H243" s="100" t="s">
        <v>45</v>
      </c>
      <c r="I243" s="100"/>
      <c r="J243" s="100" t="s">
        <v>41</v>
      </c>
      <c r="K243" s="96" t="s">
        <v>40</v>
      </c>
      <c r="L243" s="99">
        <f t="shared" si="6"/>
        <v>46000</v>
      </c>
      <c r="M243" s="98">
        <f t="shared" si="7"/>
        <v>2</v>
      </c>
      <c r="N243" s="96" t="s">
        <v>558</v>
      </c>
      <c r="O243" s="97" t="s">
        <v>472</v>
      </c>
      <c r="P243" s="96"/>
      <c r="Q243" s="96"/>
      <c r="R243" s="96">
        <v>2</v>
      </c>
      <c r="S243" s="96"/>
      <c r="T243" s="104">
        <v>23000</v>
      </c>
      <c r="U243" s="94" t="s">
        <v>862</v>
      </c>
      <c r="V243" s="125"/>
      <c r="W243" s="125"/>
      <c r="X243" s="125"/>
      <c r="Y243" s="125"/>
      <c r="Z243" s="125"/>
      <c r="AA243" s="125"/>
      <c r="AB243" s="125"/>
      <c r="AC243" s="125"/>
      <c r="AD243" s="125"/>
      <c r="AE243" s="125"/>
      <c r="AF243" s="125"/>
      <c r="AG243" s="125"/>
      <c r="AH243" s="125"/>
      <c r="AI243" s="125"/>
      <c r="AJ243" s="125"/>
      <c r="AK243" s="125"/>
      <c r="AL243" s="125"/>
      <c r="AM243" s="125"/>
      <c r="AN243" s="125"/>
      <c r="AO243" s="125"/>
      <c r="AP243" s="125"/>
      <c r="AQ243" s="125"/>
      <c r="AR243" s="125"/>
      <c r="AS243" s="125"/>
      <c r="AT243" s="125"/>
      <c r="AU243" s="125"/>
      <c r="AV243" s="125"/>
      <c r="AW243" s="125"/>
      <c r="AX243" s="125"/>
      <c r="AY243" s="125"/>
      <c r="AZ243" s="125"/>
      <c r="BA243" s="125"/>
      <c r="BB243" s="125"/>
      <c r="BC243" s="125"/>
      <c r="BD243" s="125"/>
      <c r="BE243" s="125"/>
      <c r="BF243" s="125"/>
      <c r="BG243" s="125"/>
      <c r="BH243" s="125"/>
    </row>
    <row r="244" spans="1:60" s="124" customFormat="1" ht="116.25">
      <c r="A244" s="127"/>
      <c r="B244" s="92" t="s">
        <v>447</v>
      </c>
      <c r="C244" s="100" t="s">
        <v>477</v>
      </c>
      <c r="D244" s="100"/>
      <c r="E244" s="100" t="s">
        <v>667</v>
      </c>
      <c r="F244" s="100" t="s">
        <v>666</v>
      </c>
      <c r="G244" s="103" t="s">
        <v>867</v>
      </c>
      <c r="H244" s="100" t="s">
        <v>148</v>
      </c>
      <c r="I244" s="100"/>
      <c r="J244" s="100" t="s">
        <v>146</v>
      </c>
      <c r="K244" s="96" t="s">
        <v>63</v>
      </c>
      <c r="L244" s="99">
        <f t="shared" si="6"/>
        <v>23000</v>
      </c>
      <c r="M244" s="98">
        <f t="shared" si="7"/>
        <v>1</v>
      </c>
      <c r="N244" s="96" t="s">
        <v>558</v>
      </c>
      <c r="O244" s="97" t="s">
        <v>472</v>
      </c>
      <c r="P244" s="96"/>
      <c r="Q244" s="96">
        <v>1</v>
      </c>
      <c r="R244" s="96"/>
      <c r="S244" s="96" t="s">
        <v>866</v>
      </c>
      <c r="T244" s="104">
        <v>23000</v>
      </c>
      <c r="U244" s="109" t="s">
        <v>865</v>
      </c>
      <c r="V244" s="125"/>
      <c r="W244" s="125"/>
      <c r="X244" s="125"/>
      <c r="Y244" s="125"/>
      <c r="Z244" s="125"/>
      <c r="AA244" s="125"/>
      <c r="AB244" s="125"/>
      <c r="AC244" s="125"/>
      <c r="AD244" s="125"/>
      <c r="AE244" s="125"/>
      <c r="AF244" s="125"/>
      <c r="AG244" s="125"/>
      <c r="AH244" s="125"/>
      <c r="AI244" s="125"/>
      <c r="AJ244" s="125"/>
      <c r="AK244" s="125"/>
      <c r="AL244" s="125"/>
      <c r="AM244" s="125"/>
      <c r="AN244" s="125"/>
      <c r="AO244" s="125"/>
      <c r="AP244" s="125"/>
      <c r="AQ244" s="125"/>
      <c r="AR244" s="125"/>
      <c r="AS244" s="125"/>
      <c r="AT244" s="125"/>
      <c r="AU244" s="125"/>
      <c r="AV244" s="125"/>
      <c r="AW244" s="125"/>
      <c r="AX244" s="125"/>
      <c r="AY244" s="125"/>
      <c r="AZ244" s="125"/>
      <c r="BA244" s="125"/>
      <c r="BB244" s="125"/>
      <c r="BC244" s="125"/>
      <c r="BD244" s="125"/>
      <c r="BE244" s="125"/>
      <c r="BF244" s="125"/>
      <c r="BG244" s="125"/>
      <c r="BH244" s="125"/>
    </row>
    <row r="245" spans="1:60" s="124" customFormat="1" ht="116.25">
      <c r="A245" s="127"/>
      <c r="B245" s="92" t="s">
        <v>447</v>
      </c>
      <c r="C245" s="100" t="s">
        <v>477</v>
      </c>
      <c r="D245" s="100"/>
      <c r="E245" s="100" t="s">
        <v>667</v>
      </c>
      <c r="F245" s="100" t="s">
        <v>666</v>
      </c>
      <c r="G245" s="100" t="s">
        <v>864</v>
      </c>
      <c r="H245" s="100" t="s">
        <v>164</v>
      </c>
      <c r="I245" s="100"/>
      <c r="J245" s="100" t="s">
        <v>160</v>
      </c>
      <c r="K245" s="96" t="s">
        <v>149</v>
      </c>
      <c r="L245" s="99">
        <f t="shared" si="6"/>
        <v>19000</v>
      </c>
      <c r="M245" s="98">
        <f t="shared" si="7"/>
        <v>1</v>
      </c>
      <c r="N245" s="96" t="s">
        <v>558</v>
      </c>
      <c r="O245" s="97" t="s">
        <v>472</v>
      </c>
      <c r="P245" s="98"/>
      <c r="Q245" s="98">
        <v>1</v>
      </c>
      <c r="R245" s="98"/>
      <c r="S245" s="98"/>
      <c r="T245" s="95">
        <v>19000</v>
      </c>
      <c r="U245" s="131" t="s">
        <v>863</v>
      </c>
      <c r="V245" s="125"/>
      <c r="W245" s="125"/>
      <c r="X245" s="125"/>
      <c r="Y245" s="125"/>
      <c r="Z245" s="125"/>
      <c r="AA245" s="125"/>
      <c r="AB245" s="125"/>
      <c r="AC245" s="125"/>
      <c r="AD245" s="125"/>
      <c r="AE245" s="125"/>
      <c r="AF245" s="125"/>
      <c r="AG245" s="125"/>
      <c r="AH245" s="125"/>
      <c r="AI245" s="125"/>
      <c r="AJ245" s="125"/>
      <c r="AK245" s="125"/>
      <c r="AL245" s="125"/>
      <c r="AM245" s="125"/>
      <c r="AN245" s="125"/>
      <c r="AO245" s="125"/>
      <c r="AP245" s="125"/>
      <c r="AQ245" s="125"/>
      <c r="AR245" s="125"/>
      <c r="AS245" s="125"/>
      <c r="AT245" s="125"/>
      <c r="AU245" s="125"/>
      <c r="AV245" s="125"/>
      <c r="AW245" s="125"/>
      <c r="AX245" s="125"/>
      <c r="AY245" s="125"/>
      <c r="AZ245" s="125"/>
      <c r="BA245" s="125"/>
      <c r="BB245" s="125"/>
      <c r="BC245" s="125"/>
      <c r="BD245" s="125"/>
      <c r="BE245" s="125"/>
      <c r="BF245" s="125"/>
      <c r="BG245" s="125"/>
      <c r="BH245" s="125"/>
    </row>
    <row r="246" spans="1:60" s="124" customFormat="1" ht="116.25">
      <c r="A246" s="127"/>
      <c r="B246" s="92" t="s">
        <v>447</v>
      </c>
      <c r="C246" s="100" t="s">
        <v>477</v>
      </c>
      <c r="D246" s="100"/>
      <c r="E246" s="100" t="s">
        <v>667</v>
      </c>
      <c r="F246" s="100" t="s">
        <v>666</v>
      </c>
      <c r="G246" s="100" t="s">
        <v>860</v>
      </c>
      <c r="H246" s="100" t="s">
        <v>109</v>
      </c>
      <c r="I246" s="100"/>
      <c r="J246" s="100" t="s">
        <v>107</v>
      </c>
      <c r="K246" s="96" t="s">
        <v>63</v>
      </c>
      <c r="L246" s="99">
        <f t="shared" si="6"/>
        <v>45000</v>
      </c>
      <c r="M246" s="98">
        <f t="shared" si="7"/>
        <v>1</v>
      </c>
      <c r="N246" s="96" t="s">
        <v>558</v>
      </c>
      <c r="O246" s="97" t="s">
        <v>472</v>
      </c>
      <c r="P246" s="98"/>
      <c r="Q246" s="98"/>
      <c r="R246" s="98">
        <v>1</v>
      </c>
      <c r="S246" s="98"/>
      <c r="T246" s="95">
        <v>45000</v>
      </c>
      <c r="U246" s="109" t="s">
        <v>862</v>
      </c>
      <c r="V246" s="125"/>
      <c r="W246" s="125"/>
      <c r="X246" s="125"/>
      <c r="Y246" s="125"/>
      <c r="Z246" s="125"/>
      <c r="AA246" s="125"/>
      <c r="AB246" s="125"/>
      <c r="AC246" s="125"/>
      <c r="AD246" s="125"/>
      <c r="AE246" s="125"/>
      <c r="AF246" s="125"/>
      <c r="AG246" s="125"/>
      <c r="AH246" s="125"/>
      <c r="AI246" s="125"/>
      <c r="AJ246" s="125"/>
      <c r="AK246" s="125"/>
      <c r="AL246" s="125"/>
      <c r="AM246" s="125"/>
      <c r="AN246" s="125"/>
      <c r="AO246" s="125"/>
      <c r="AP246" s="125"/>
      <c r="AQ246" s="125"/>
      <c r="AR246" s="125"/>
      <c r="AS246" s="125"/>
      <c r="AT246" s="125"/>
      <c r="AU246" s="125"/>
      <c r="AV246" s="125"/>
      <c r="AW246" s="125"/>
      <c r="AX246" s="125"/>
      <c r="AY246" s="125"/>
      <c r="AZ246" s="125"/>
      <c r="BA246" s="125"/>
      <c r="BB246" s="125"/>
      <c r="BC246" s="125"/>
      <c r="BD246" s="125"/>
      <c r="BE246" s="125"/>
      <c r="BF246" s="125"/>
      <c r="BG246" s="125"/>
      <c r="BH246" s="125"/>
    </row>
    <row r="247" spans="1:60" s="124" customFormat="1" ht="116.25">
      <c r="A247" s="127"/>
      <c r="B247" s="92" t="s">
        <v>447</v>
      </c>
      <c r="C247" s="100" t="s">
        <v>477</v>
      </c>
      <c r="D247" s="100"/>
      <c r="E247" s="100" t="s">
        <v>667</v>
      </c>
      <c r="F247" s="100" t="s">
        <v>666</v>
      </c>
      <c r="G247" s="100" t="s">
        <v>860</v>
      </c>
      <c r="H247" s="100" t="s">
        <v>451</v>
      </c>
      <c r="I247" s="100"/>
      <c r="J247" s="100" t="s">
        <v>444</v>
      </c>
      <c r="K247" s="96" t="s">
        <v>13</v>
      </c>
      <c r="L247" s="99">
        <f t="shared" si="6"/>
        <v>45000</v>
      </c>
      <c r="M247" s="98">
        <f t="shared" si="7"/>
        <v>1</v>
      </c>
      <c r="N247" s="96" t="s">
        <v>558</v>
      </c>
      <c r="O247" s="97" t="s">
        <v>472</v>
      </c>
      <c r="P247" s="96"/>
      <c r="Q247" s="96"/>
      <c r="R247" s="96">
        <v>1</v>
      </c>
      <c r="S247" s="96"/>
      <c r="T247" s="95">
        <v>45000</v>
      </c>
      <c r="U247" s="94" t="s">
        <v>861</v>
      </c>
      <c r="V247" s="125"/>
      <c r="W247" s="125"/>
      <c r="X247" s="125"/>
      <c r="Y247" s="125"/>
      <c r="Z247" s="125"/>
      <c r="AA247" s="125"/>
      <c r="AB247" s="125"/>
      <c r="AC247" s="125"/>
      <c r="AD247" s="125"/>
      <c r="AE247" s="125"/>
      <c r="AF247" s="125"/>
      <c r="AG247" s="125"/>
      <c r="AH247" s="125"/>
      <c r="AI247" s="125"/>
      <c r="AJ247" s="125"/>
      <c r="AK247" s="125"/>
      <c r="AL247" s="125"/>
      <c r="AM247" s="125"/>
      <c r="AN247" s="125"/>
      <c r="AO247" s="125"/>
      <c r="AP247" s="125"/>
      <c r="AQ247" s="125"/>
      <c r="AR247" s="125"/>
      <c r="AS247" s="125"/>
      <c r="AT247" s="125"/>
      <c r="AU247" s="125"/>
      <c r="AV247" s="125"/>
      <c r="AW247" s="125"/>
      <c r="AX247" s="125"/>
      <c r="AY247" s="125"/>
      <c r="AZ247" s="125"/>
      <c r="BA247" s="125"/>
      <c r="BB247" s="125"/>
      <c r="BC247" s="125"/>
      <c r="BD247" s="125"/>
      <c r="BE247" s="125"/>
      <c r="BF247" s="125"/>
      <c r="BG247" s="125"/>
      <c r="BH247" s="125"/>
    </row>
    <row r="248" spans="1:60" s="124" customFormat="1" ht="116.25">
      <c r="A248" s="127"/>
      <c r="B248" s="92" t="s">
        <v>447</v>
      </c>
      <c r="C248" s="100" t="s">
        <v>477</v>
      </c>
      <c r="D248" s="100"/>
      <c r="E248" s="100" t="s">
        <v>667</v>
      </c>
      <c r="F248" s="100" t="s">
        <v>666</v>
      </c>
      <c r="G248" s="100" t="s">
        <v>860</v>
      </c>
      <c r="H248" s="100" t="s">
        <v>216</v>
      </c>
      <c r="I248" s="100"/>
      <c r="J248" s="100" t="s">
        <v>214</v>
      </c>
      <c r="K248" s="96" t="s">
        <v>63</v>
      </c>
      <c r="L248" s="99">
        <f t="shared" si="6"/>
        <v>45000</v>
      </c>
      <c r="M248" s="98">
        <f t="shared" si="7"/>
        <v>1</v>
      </c>
      <c r="N248" s="96" t="s">
        <v>558</v>
      </c>
      <c r="O248" s="97" t="s">
        <v>472</v>
      </c>
      <c r="P248" s="96"/>
      <c r="Q248" s="96"/>
      <c r="R248" s="96">
        <v>1</v>
      </c>
      <c r="S248" s="96"/>
      <c r="T248" s="95">
        <v>45000</v>
      </c>
      <c r="U248" s="94" t="s">
        <v>859</v>
      </c>
      <c r="V248" s="125"/>
      <c r="W248" s="125"/>
      <c r="X248" s="125"/>
      <c r="Y248" s="125"/>
      <c r="Z248" s="125"/>
      <c r="AA248" s="125"/>
      <c r="AB248" s="125"/>
      <c r="AC248" s="125"/>
      <c r="AD248" s="125"/>
      <c r="AE248" s="125"/>
      <c r="AF248" s="125"/>
      <c r="AG248" s="125"/>
      <c r="AH248" s="125"/>
      <c r="AI248" s="125"/>
      <c r="AJ248" s="125"/>
      <c r="AK248" s="125"/>
      <c r="AL248" s="125"/>
      <c r="AM248" s="125"/>
      <c r="AN248" s="125"/>
      <c r="AO248" s="125"/>
      <c r="AP248" s="125"/>
      <c r="AQ248" s="125"/>
      <c r="AR248" s="125"/>
      <c r="AS248" s="125"/>
      <c r="AT248" s="125"/>
      <c r="AU248" s="125"/>
      <c r="AV248" s="125"/>
      <c r="AW248" s="125"/>
      <c r="AX248" s="125"/>
      <c r="AY248" s="125"/>
      <c r="AZ248" s="125"/>
      <c r="BA248" s="125"/>
      <c r="BB248" s="125"/>
      <c r="BC248" s="125"/>
      <c r="BD248" s="125"/>
      <c r="BE248" s="125"/>
      <c r="BF248" s="125"/>
      <c r="BG248" s="125"/>
      <c r="BH248" s="125"/>
    </row>
    <row r="249" spans="1:60" s="124" customFormat="1" ht="116.25">
      <c r="A249" s="127"/>
      <c r="B249" s="92" t="s">
        <v>447</v>
      </c>
      <c r="C249" s="100" t="s">
        <v>477</v>
      </c>
      <c r="D249" s="100"/>
      <c r="E249" s="100" t="s">
        <v>667</v>
      </c>
      <c r="F249" s="100" t="s">
        <v>666</v>
      </c>
      <c r="G249" s="100" t="s">
        <v>860</v>
      </c>
      <c r="H249" s="100" t="s">
        <v>195</v>
      </c>
      <c r="I249" s="100"/>
      <c r="J249" s="100" t="s">
        <v>193</v>
      </c>
      <c r="K249" s="96" t="s">
        <v>40</v>
      </c>
      <c r="L249" s="99">
        <f t="shared" si="6"/>
        <v>45000</v>
      </c>
      <c r="M249" s="98">
        <f t="shared" si="7"/>
        <v>1</v>
      </c>
      <c r="N249" s="96" t="s">
        <v>558</v>
      </c>
      <c r="O249" s="97" t="s">
        <v>472</v>
      </c>
      <c r="P249" s="98"/>
      <c r="Q249" s="98"/>
      <c r="R249" s="98">
        <v>1</v>
      </c>
      <c r="S249" s="98"/>
      <c r="T249" s="95">
        <v>45000</v>
      </c>
      <c r="U249" s="109" t="s">
        <v>859</v>
      </c>
      <c r="V249" s="125"/>
      <c r="W249" s="125"/>
      <c r="X249" s="125"/>
      <c r="Y249" s="125"/>
      <c r="Z249" s="125"/>
      <c r="AA249" s="125"/>
      <c r="AB249" s="125"/>
      <c r="AC249" s="125"/>
      <c r="AD249" s="125"/>
      <c r="AE249" s="125"/>
      <c r="AF249" s="125"/>
      <c r="AG249" s="125"/>
      <c r="AH249" s="125"/>
      <c r="AI249" s="125"/>
      <c r="AJ249" s="125"/>
      <c r="AK249" s="125"/>
      <c r="AL249" s="125"/>
      <c r="AM249" s="125"/>
      <c r="AN249" s="125"/>
      <c r="AO249" s="125"/>
      <c r="AP249" s="125"/>
      <c r="AQ249" s="125"/>
      <c r="AR249" s="125"/>
      <c r="AS249" s="125"/>
      <c r="AT249" s="125"/>
      <c r="AU249" s="125"/>
      <c r="AV249" s="125"/>
      <c r="AW249" s="125"/>
      <c r="AX249" s="125"/>
      <c r="AY249" s="125"/>
      <c r="AZ249" s="125"/>
      <c r="BA249" s="125"/>
      <c r="BB249" s="125"/>
      <c r="BC249" s="125"/>
      <c r="BD249" s="125"/>
      <c r="BE249" s="125"/>
      <c r="BF249" s="125"/>
      <c r="BG249" s="125"/>
      <c r="BH249" s="125"/>
    </row>
    <row r="250" spans="1:60" s="124" customFormat="1" ht="116.25">
      <c r="A250" s="127"/>
      <c r="B250" s="92" t="s">
        <v>447</v>
      </c>
      <c r="C250" s="100" t="s">
        <v>477</v>
      </c>
      <c r="D250" s="100"/>
      <c r="E250" s="100" t="s">
        <v>667</v>
      </c>
      <c r="F250" s="100" t="s">
        <v>666</v>
      </c>
      <c r="G250" s="100" t="s">
        <v>856</v>
      </c>
      <c r="H250" s="100" t="s">
        <v>39</v>
      </c>
      <c r="I250" s="100"/>
      <c r="J250" s="100" t="s">
        <v>34</v>
      </c>
      <c r="K250" s="96" t="s">
        <v>13</v>
      </c>
      <c r="L250" s="99">
        <f t="shared" si="6"/>
        <v>30000</v>
      </c>
      <c r="M250" s="98">
        <f t="shared" si="7"/>
        <v>1</v>
      </c>
      <c r="N250" s="96" t="s">
        <v>558</v>
      </c>
      <c r="O250" s="97" t="s">
        <v>472</v>
      </c>
      <c r="P250" s="98"/>
      <c r="Q250" s="98">
        <v>1</v>
      </c>
      <c r="R250" s="98"/>
      <c r="S250" s="96" t="s">
        <v>858</v>
      </c>
      <c r="T250" s="95">
        <v>30000</v>
      </c>
      <c r="U250" s="131" t="s">
        <v>857</v>
      </c>
      <c r="V250" s="125"/>
      <c r="W250" s="125"/>
      <c r="X250" s="125"/>
      <c r="Y250" s="125"/>
      <c r="Z250" s="125"/>
      <c r="AA250" s="125"/>
      <c r="AB250" s="125"/>
      <c r="AC250" s="125"/>
      <c r="AD250" s="125"/>
      <c r="AE250" s="125"/>
      <c r="AF250" s="125"/>
      <c r="AG250" s="125"/>
      <c r="AH250" s="125"/>
      <c r="AI250" s="125"/>
      <c r="AJ250" s="125"/>
      <c r="AK250" s="125"/>
      <c r="AL250" s="125"/>
      <c r="AM250" s="125"/>
      <c r="AN250" s="125"/>
      <c r="AO250" s="125"/>
      <c r="AP250" s="125"/>
      <c r="AQ250" s="125"/>
      <c r="AR250" s="125"/>
      <c r="AS250" s="125"/>
      <c r="AT250" s="125"/>
      <c r="AU250" s="125"/>
      <c r="AV250" s="125"/>
      <c r="AW250" s="125"/>
      <c r="AX250" s="125"/>
      <c r="AY250" s="125"/>
      <c r="AZ250" s="125"/>
      <c r="BA250" s="125"/>
      <c r="BB250" s="125"/>
      <c r="BC250" s="125"/>
      <c r="BD250" s="125"/>
      <c r="BE250" s="125"/>
      <c r="BF250" s="125"/>
      <c r="BG250" s="125"/>
      <c r="BH250" s="125"/>
    </row>
    <row r="251" spans="1:60" s="124" customFormat="1" ht="116.25">
      <c r="A251" s="127"/>
      <c r="B251" s="92" t="s">
        <v>447</v>
      </c>
      <c r="C251" s="100" t="s">
        <v>477</v>
      </c>
      <c r="D251" s="100"/>
      <c r="E251" s="100" t="s">
        <v>667</v>
      </c>
      <c r="F251" s="100" t="s">
        <v>666</v>
      </c>
      <c r="G251" s="100" t="s">
        <v>856</v>
      </c>
      <c r="H251" s="100" t="s">
        <v>145</v>
      </c>
      <c r="I251" s="100"/>
      <c r="J251" s="100" t="s">
        <v>143</v>
      </c>
      <c r="K251" s="96" t="s">
        <v>63</v>
      </c>
      <c r="L251" s="99">
        <f t="shared" si="6"/>
        <v>60000</v>
      </c>
      <c r="M251" s="98">
        <f t="shared" si="7"/>
        <v>2</v>
      </c>
      <c r="N251" s="96" t="s">
        <v>558</v>
      </c>
      <c r="O251" s="97" t="s">
        <v>472</v>
      </c>
      <c r="P251" s="96"/>
      <c r="Q251" s="96"/>
      <c r="R251" s="96">
        <v>2</v>
      </c>
      <c r="S251" s="96"/>
      <c r="T251" s="95">
        <v>30000</v>
      </c>
      <c r="U251" s="94" t="s">
        <v>855</v>
      </c>
      <c r="V251" s="125"/>
      <c r="W251" s="125"/>
      <c r="X251" s="125"/>
      <c r="Y251" s="125"/>
      <c r="Z251" s="125"/>
      <c r="AA251" s="125"/>
      <c r="AB251" s="125"/>
      <c r="AC251" s="125"/>
      <c r="AD251" s="125"/>
      <c r="AE251" s="125"/>
      <c r="AF251" s="125"/>
      <c r="AG251" s="125"/>
      <c r="AH251" s="125"/>
      <c r="AI251" s="125"/>
      <c r="AJ251" s="125"/>
      <c r="AK251" s="125"/>
      <c r="AL251" s="125"/>
      <c r="AM251" s="125"/>
      <c r="AN251" s="125"/>
      <c r="AO251" s="125"/>
      <c r="AP251" s="125"/>
      <c r="AQ251" s="125"/>
      <c r="AR251" s="125"/>
      <c r="AS251" s="125"/>
      <c r="AT251" s="125"/>
      <c r="AU251" s="125"/>
      <c r="AV251" s="125"/>
      <c r="AW251" s="125"/>
      <c r="AX251" s="125"/>
      <c r="AY251" s="125"/>
      <c r="AZ251" s="125"/>
      <c r="BA251" s="125"/>
      <c r="BB251" s="125"/>
      <c r="BC251" s="125"/>
      <c r="BD251" s="125"/>
      <c r="BE251" s="125"/>
      <c r="BF251" s="125"/>
      <c r="BG251" s="125"/>
      <c r="BH251" s="125"/>
    </row>
    <row r="252" spans="1:60" s="124" customFormat="1" ht="116.25">
      <c r="A252" s="127"/>
      <c r="B252" s="92" t="s">
        <v>447</v>
      </c>
      <c r="C252" s="100" t="s">
        <v>477</v>
      </c>
      <c r="D252" s="100"/>
      <c r="E252" s="100" t="s">
        <v>667</v>
      </c>
      <c r="F252" s="100" t="s">
        <v>666</v>
      </c>
      <c r="G252" s="100" t="s">
        <v>854</v>
      </c>
      <c r="H252" s="100" t="s">
        <v>853</v>
      </c>
      <c r="I252" s="100"/>
      <c r="J252" s="100" t="s">
        <v>852</v>
      </c>
      <c r="K252" s="96" t="s">
        <v>63</v>
      </c>
      <c r="L252" s="99">
        <f t="shared" si="6"/>
        <v>30000</v>
      </c>
      <c r="M252" s="98">
        <f t="shared" si="7"/>
        <v>1</v>
      </c>
      <c r="N252" s="96" t="s">
        <v>558</v>
      </c>
      <c r="O252" s="97" t="s">
        <v>472</v>
      </c>
      <c r="P252" s="96"/>
      <c r="Q252" s="96">
        <v>1</v>
      </c>
      <c r="R252" s="107"/>
      <c r="S252" s="96" t="s">
        <v>851</v>
      </c>
      <c r="T252" s="95">
        <v>30000</v>
      </c>
      <c r="U252" s="94" t="s">
        <v>850</v>
      </c>
      <c r="V252" s="125"/>
      <c r="W252" s="125"/>
      <c r="X252" s="125"/>
      <c r="Y252" s="125"/>
      <c r="Z252" s="125"/>
      <c r="AA252" s="125"/>
      <c r="AB252" s="125"/>
      <c r="AC252" s="125"/>
      <c r="AD252" s="125"/>
      <c r="AE252" s="125"/>
      <c r="AF252" s="125"/>
      <c r="AG252" s="125"/>
      <c r="AH252" s="125"/>
      <c r="AI252" s="125"/>
      <c r="AJ252" s="125"/>
      <c r="AK252" s="125"/>
      <c r="AL252" s="125"/>
      <c r="AM252" s="125"/>
      <c r="AN252" s="125"/>
      <c r="AO252" s="125"/>
      <c r="AP252" s="125"/>
      <c r="AQ252" s="125"/>
      <c r="AR252" s="125"/>
      <c r="AS252" s="125"/>
      <c r="AT252" s="125"/>
      <c r="AU252" s="125"/>
      <c r="AV252" s="125"/>
      <c r="AW252" s="125"/>
      <c r="AX252" s="125"/>
      <c r="AY252" s="125"/>
      <c r="AZ252" s="125"/>
      <c r="BA252" s="125"/>
      <c r="BB252" s="125"/>
      <c r="BC252" s="125"/>
      <c r="BD252" s="125"/>
      <c r="BE252" s="125"/>
      <c r="BF252" s="125"/>
      <c r="BG252" s="125"/>
      <c r="BH252" s="125"/>
    </row>
    <row r="253" spans="1:60" s="124" customFormat="1" ht="116.25">
      <c r="A253" s="127"/>
      <c r="B253" s="92" t="s">
        <v>447</v>
      </c>
      <c r="C253" s="100" t="s">
        <v>538</v>
      </c>
      <c r="D253" s="100"/>
      <c r="E253" s="100" t="s">
        <v>667</v>
      </c>
      <c r="F253" s="100" t="s">
        <v>666</v>
      </c>
      <c r="G253" s="100" t="s">
        <v>845</v>
      </c>
      <c r="H253" s="100" t="s">
        <v>39</v>
      </c>
      <c r="I253" s="100"/>
      <c r="J253" s="100" t="s">
        <v>34</v>
      </c>
      <c r="K253" s="96" t="s">
        <v>13</v>
      </c>
      <c r="L253" s="99">
        <f t="shared" si="6"/>
        <v>13000</v>
      </c>
      <c r="M253" s="98">
        <f t="shared" si="7"/>
        <v>1</v>
      </c>
      <c r="N253" s="96" t="s">
        <v>558</v>
      </c>
      <c r="O253" s="97" t="s">
        <v>472</v>
      </c>
      <c r="P253" s="96"/>
      <c r="Q253" s="96">
        <v>1</v>
      </c>
      <c r="R253" s="96"/>
      <c r="S253" s="96" t="s">
        <v>849</v>
      </c>
      <c r="T253" s="95">
        <v>13000</v>
      </c>
      <c r="U253" s="94" t="s">
        <v>848</v>
      </c>
      <c r="V253" s="125"/>
      <c r="W253" s="125"/>
      <c r="X253" s="125"/>
      <c r="Y253" s="125"/>
      <c r="Z253" s="125"/>
      <c r="AA253" s="125"/>
      <c r="AB253" s="125"/>
      <c r="AC253" s="125"/>
      <c r="AD253" s="125"/>
      <c r="AE253" s="125"/>
      <c r="AF253" s="125"/>
      <c r="AG253" s="125"/>
      <c r="AH253" s="125"/>
      <c r="AI253" s="125"/>
      <c r="AJ253" s="125"/>
      <c r="AK253" s="125"/>
      <c r="AL253" s="125"/>
      <c r="AM253" s="125"/>
      <c r="AN253" s="125"/>
      <c r="AO253" s="125"/>
      <c r="AP253" s="125"/>
      <c r="AQ253" s="125"/>
      <c r="AR253" s="125"/>
      <c r="AS253" s="125"/>
      <c r="AT253" s="125"/>
      <c r="AU253" s="125"/>
      <c r="AV253" s="125"/>
      <c r="AW253" s="125"/>
      <c r="AX253" s="125"/>
      <c r="AY253" s="125"/>
      <c r="AZ253" s="125"/>
      <c r="BA253" s="125"/>
      <c r="BB253" s="125"/>
      <c r="BC253" s="125"/>
      <c r="BD253" s="125"/>
      <c r="BE253" s="125"/>
      <c r="BF253" s="125"/>
      <c r="BG253" s="125"/>
      <c r="BH253" s="125"/>
    </row>
    <row r="254" spans="1:60" s="124" customFormat="1" ht="116.25">
      <c r="A254" s="127"/>
      <c r="B254" s="92" t="s">
        <v>447</v>
      </c>
      <c r="C254" s="100" t="s">
        <v>538</v>
      </c>
      <c r="D254" s="100"/>
      <c r="E254" s="100" t="s">
        <v>667</v>
      </c>
      <c r="F254" s="100" t="s">
        <v>666</v>
      </c>
      <c r="G254" s="100" t="s">
        <v>845</v>
      </c>
      <c r="H254" s="100" t="s">
        <v>164</v>
      </c>
      <c r="I254" s="100"/>
      <c r="J254" s="100" t="s">
        <v>160</v>
      </c>
      <c r="K254" s="96" t="s">
        <v>149</v>
      </c>
      <c r="L254" s="99">
        <f t="shared" si="6"/>
        <v>13000</v>
      </c>
      <c r="M254" s="98">
        <f t="shared" si="7"/>
        <v>1</v>
      </c>
      <c r="N254" s="96" t="s">
        <v>558</v>
      </c>
      <c r="O254" s="97" t="s">
        <v>472</v>
      </c>
      <c r="P254" s="96"/>
      <c r="Q254" s="147"/>
      <c r="R254" s="107">
        <v>1</v>
      </c>
      <c r="S254" s="107" t="s">
        <v>847</v>
      </c>
      <c r="T254" s="95">
        <v>13000</v>
      </c>
      <c r="U254" s="94" t="s">
        <v>846</v>
      </c>
      <c r="V254" s="125"/>
      <c r="W254" s="125"/>
      <c r="X254" s="125"/>
      <c r="Y254" s="125"/>
      <c r="Z254" s="125"/>
      <c r="AA254" s="125"/>
      <c r="AB254" s="125"/>
      <c r="AC254" s="125"/>
      <c r="AD254" s="125"/>
      <c r="AE254" s="125"/>
      <c r="AF254" s="125"/>
      <c r="AG254" s="125"/>
      <c r="AH254" s="125"/>
      <c r="AI254" s="125"/>
      <c r="AJ254" s="125"/>
      <c r="AK254" s="125"/>
      <c r="AL254" s="125"/>
      <c r="AM254" s="125"/>
      <c r="AN254" s="125"/>
      <c r="AO254" s="125"/>
      <c r="AP254" s="125"/>
      <c r="AQ254" s="125"/>
      <c r="AR254" s="125"/>
      <c r="AS254" s="125"/>
      <c r="AT254" s="125"/>
      <c r="AU254" s="125"/>
      <c r="AV254" s="125"/>
      <c r="AW254" s="125"/>
      <c r="AX254" s="125"/>
      <c r="AY254" s="125"/>
      <c r="AZ254" s="125"/>
      <c r="BA254" s="125"/>
      <c r="BB254" s="125"/>
      <c r="BC254" s="125"/>
      <c r="BD254" s="125"/>
      <c r="BE254" s="125"/>
      <c r="BF254" s="125"/>
      <c r="BG254" s="125"/>
      <c r="BH254" s="125"/>
    </row>
    <row r="255" spans="1:60" s="124" customFormat="1" ht="116.25">
      <c r="A255" s="127"/>
      <c r="B255" s="92" t="s">
        <v>447</v>
      </c>
      <c r="C255" s="100" t="s">
        <v>538</v>
      </c>
      <c r="D255" s="100"/>
      <c r="E255" s="100" t="s">
        <v>667</v>
      </c>
      <c r="F255" s="100" t="s">
        <v>666</v>
      </c>
      <c r="G255" s="100" t="s">
        <v>845</v>
      </c>
      <c r="H255" s="100" t="s">
        <v>135</v>
      </c>
      <c r="I255" s="100"/>
      <c r="J255" s="100" t="s">
        <v>133</v>
      </c>
      <c r="K255" s="96" t="s">
        <v>63</v>
      </c>
      <c r="L255" s="99">
        <f t="shared" si="6"/>
        <v>13000</v>
      </c>
      <c r="M255" s="98">
        <f t="shared" si="7"/>
        <v>1</v>
      </c>
      <c r="N255" s="96" t="s">
        <v>558</v>
      </c>
      <c r="O255" s="97" t="s">
        <v>472</v>
      </c>
      <c r="P255" s="96"/>
      <c r="Q255" s="96"/>
      <c r="R255" s="96">
        <v>1</v>
      </c>
      <c r="S255" s="96"/>
      <c r="T255" s="95">
        <v>13000</v>
      </c>
      <c r="U255" s="94" t="s">
        <v>844</v>
      </c>
      <c r="V255" s="125"/>
      <c r="W255" s="125"/>
      <c r="X255" s="125"/>
      <c r="Y255" s="125"/>
      <c r="Z255" s="125"/>
      <c r="AA255" s="125"/>
      <c r="AB255" s="125"/>
      <c r="AC255" s="125"/>
      <c r="AD255" s="125"/>
      <c r="AE255" s="125"/>
      <c r="AF255" s="125"/>
      <c r="AG255" s="125"/>
      <c r="AH255" s="125"/>
      <c r="AI255" s="125"/>
      <c r="AJ255" s="125"/>
      <c r="AK255" s="125"/>
      <c r="AL255" s="125"/>
      <c r="AM255" s="125"/>
      <c r="AN255" s="125"/>
      <c r="AO255" s="125"/>
      <c r="AP255" s="125"/>
      <c r="AQ255" s="125"/>
      <c r="AR255" s="125"/>
      <c r="AS255" s="125"/>
      <c r="AT255" s="125"/>
      <c r="AU255" s="125"/>
      <c r="AV255" s="125"/>
      <c r="AW255" s="125"/>
      <c r="AX255" s="125"/>
      <c r="AY255" s="125"/>
      <c r="AZ255" s="125"/>
      <c r="BA255" s="125"/>
      <c r="BB255" s="125"/>
      <c r="BC255" s="125"/>
      <c r="BD255" s="125"/>
      <c r="BE255" s="125"/>
      <c r="BF255" s="125"/>
      <c r="BG255" s="125"/>
      <c r="BH255" s="125"/>
    </row>
    <row r="256" spans="1:60" s="124" customFormat="1" ht="116.25">
      <c r="A256" s="127"/>
      <c r="B256" s="92" t="s">
        <v>447</v>
      </c>
      <c r="C256" s="100" t="s">
        <v>538</v>
      </c>
      <c r="D256" s="100"/>
      <c r="E256" s="100" t="s">
        <v>667</v>
      </c>
      <c r="F256" s="100" t="s">
        <v>666</v>
      </c>
      <c r="G256" s="100" t="s">
        <v>845</v>
      </c>
      <c r="H256" s="100" t="s">
        <v>59</v>
      </c>
      <c r="I256" s="100"/>
      <c r="J256" s="100" t="s">
        <v>57</v>
      </c>
      <c r="K256" s="96" t="s">
        <v>40</v>
      </c>
      <c r="L256" s="99">
        <f t="shared" si="6"/>
        <v>13000</v>
      </c>
      <c r="M256" s="98">
        <f t="shared" si="7"/>
        <v>1</v>
      </c>
      <c r="N256" s="96" t="s">
        <v>561</v>
      </c>
      <c r="O256" s="97" t="s">
        <v>472</v>
      </c>
      <c r="P256" s="96"/>
      <c r="Q256" s="96"/>
      <c r="R256" s="96">
        <v>1</v>
      </c>
      <c r="S256" s="96"/>
      <c r="T256" s="95">
        <v>13000</v>
      </c>
      <c r="U256" s="94" t="s">
        <v>844</v>
      </c>
      <c r="V256" s="125"/>
      <c r="W256" s="125"/>
      <c r="X256" s="125"/>
      <c r="Y256" s="125"/>
      <c r="Z256" s="125"/>
      <c r="AA256" s="125"/>
      <c r="AB256" s="125"/>
      <c r="AC256" s="125"/>
      <c r="AD256" s="125"/>
      <c r="AE256" s="125"/>
      <c r="AF256" s="125"/>
      <c r="AG256" s="125"/>
      <c r="AH256" s="125"/>
      <c r="AI256" s="125"/>
      <c r="AJ256" s="125"/>
      <c r="AK256" s="125"/>
      <c r="AL256" s="125"/>
      <c r="AM256" s="125"/>
      <c r="AN256" s="125"/>
      <c r="AO256" s="125"/>
      <c r="AP256" s="125"/>
      <c r="AQ256" s="125"/>
      <c r="AR256" s="125"/>
      <c r="AS256" s="125"/>
      <c r="AT256" s="125"/>
      <c r="AU256" s="125"/>
      <c r="AV256" s="125"/>
      <c r="AW256" s="125"/>
      <c r="AX256" s="125"/>
      <c r="AY256" s="125"/>
      <c r="AZ256" s="125"/>
      <c r="BA256" s="125"/>
      <c r="BB256" s="125"/>
      <c r="BC256" s="125"/>
      <c r="BD256" s="125"/>
      <c r="BE256" s="125"/>
      <c r="BF256" s="125"/>
      <c r="BG256" s="125"/>
      <c r="BH256" s="125"/>
    </row>
    <row r="257" spans="1:60" s="124" customFormat="1" ht="116.25">
      <c r="A257" s="127"/>
      <c r="B257" s="92" t="s">
        <v>447</v>
      </c>
      <c r="C257" s="100" t="s">
        <v>538</v>
      </c>
      <c r="D257" s="100"/>
      <c r="E257" s="100" t="s">
        <v>667</v>
      </c>
      <c r="F257" s="100" t="s">
        <v>666</v>
      </c>
      <c r="G257" s="100" t="s">
        <v>843</v>
      </c>
      <c r="H257" s="100" t="s">
        <v>39</v>
      </c>
      <c r="I257" s="100"/>
      <c r="J257" s="100" t="s">
        <v>34</v>
      </c>
      <c r="K257" s="96" t="s">
        <v>13</v>
      </c>
      <c r="L257" s="99">
        <f t="shared" si="6"/>
        <v>18500</v>
      </c>
      <c r="M257" s="98">
        <f t="shared" si="7"/>
        <v>1</v>
      </c>
      <c r="N257" s="96" t="s">
        <v>561</v>
      </c>
      <c r="O257" s="97" t="s">
        <v>472</v>
      </c>
      <c r="P257" s="96"/>
      <c r="Q257" s="96">
        <v>1</v>
      </c>
      <c r="R257" s="96"/>
      <c r="S257" s="96" t="s">
        <v>842</v>
      </c>
      <c r="T257" s="95">
        <v>18500</v>
      </c>
      <c r="U257" s="94" t="s">
        <v>841</v>
      </c>
      <c r="V257" s="125"/>
      <c r="W257" s="125"/>
      <c r="X257" s="125"/>
      <c r="Y257" s="125"/>
      <c r="Z257" s="125"/>
      <c r="AA257" s="125"/>
      <c r="AB257" s="125"/>
      <c r="AC257" s="125"/>
      <c r="AD257" s="125"/>
      <c r="AE257" s="125"/>
      <c r="AF257" s="125"/>
      <c r="AG257" s="125"/>
      <c r="AH257" s="125"/>
      <c r="AI257" s="125"/>
      <c r="AJ257" s="125"/>
      <c r="AK257" s="125"/>
      <c r="AL257" s="125"/>
      <c r="AM257" s="125"/>
      <c r="AN257" s="125"/>
      <c r="AO257" s="125"/>
      <c r="AP257" s="125"/>
      <c r="AQ257" s="125"/>
      <c r="AR257" s="125"/>
      <c r="AS257" s="125"/>
      <c r="AT257" s="125"/>
      <c r="AU257" s="125"/>
      <c r="AV257" s="125"/>
      <c r="AW257" s="125"/>
      <c r="AX257" s="125"/>
      <c r="AY257" s="125"/>
      <c r="AZ257" s="125"/>
      <c r="BA257" s="125"/>
      <c r="BB257" s="125"/>
      <c r="BC257" s="125"/>
      <c r="BD257" s="125"/>
      <c r="BE257" s="125"/>
      <c r="BF257" s="125"/>
      <c r="BG257" s="125"/>
      <c r="BH257" s="125"/>
    </row>
    <row r="258" spans="1:60" s="124" customFormat="1" ht="116.25">
      <c r="A258" s="127"/>
      <c r="B258" s="92" t="s">
        <v>447</v>
      </c>
      <c r="C258" s="100" t="s">
        <v>538</v>
      </c>
      <c r="D258" s="100"/>
      <c r="E258" s="100" t="s">
        <v>667</v>
      </c>
      <c r="F258" s="100" t="s">
        <v>666</v>
      </c>
      <c r="G258" s="100" t="s">
        <v>838</v>
      </c>
      <c r="H258" s="100" t="s">
        <v>201</v>
      </c>
      <c r="I258" s="100"/>
      <c r="J258" s="100" t="s">
        <v>199</v>
      </c>
      <c r="K258" s="96" t="s">
        <v>63</v>
      </c>
      <c r="L258" s="99">
        <f t="shared" si="6"/>
        <v>23000</v>
      </c>
      <c r="M258" s="98">
        <f t="shared" si="7"/>
        <v>1</v>
      </c>
      <c r="N258" s="96" t="s">
        <v>561</v>
      </c>
      <c r="O258" s="97" t="s">
        <v>472</v>
      </c>
      <c r="P258" s="96"/>
      <c r="Q258" s="96">
        <v>1</v>
      </c>
      <c r="R258" s="96"/>
      <c r="S258" s="96" t="s">
        <v>840</v>
      </c>
      <c r="T258" s="95">
        <v>23000</v>
      </c>
      <c r="U258" s="94" t="s">
        <v>839</v>
      </c>
      <c r="V258" s="125"/>
      <c r="W258" s="125"/>
      <c r="X258" s="125"/>
      <c r="Y258" s="125"/>
      <c r="Z258" s="125"/>
      <c r="AA258" s="125"/>
      <c r="AB258" s="125"/>
      <c r="AC258" s="125"/>
      <c r="AD258" s="125"/>
      <c r="AE258" s="125"/>
      <c r="AF258" s="125"/>
      <c r="AG258" s="125"/>
      <c r="AH258" s="125"/>
      <c r="AI258" s="125"/>
      <c r="AJ258" s="125"/>
      <c r="AK258" s="125"/>
      <c r="AL258" s="125"/>
      <c r="AM258" s="125"/>
      <c r="AN258" s="125"/>
      <c r="AO258" s="125"/>
      <c r="AP258" s="125"/>
      <c r="AQ258" s="125"/>
      <c r="AR258" s="125"/>
      <c r="AS258" s="125"/>
      <c r="AT258" s="125"/>
      <c r="AU258" s="125"/>
      <c r="AV258" s="125"/>
      <c r="AW258" s="125"/>
      <c r="AX258" s="125"/>
      <c r="AY258" s="125"/>
      <c r="AZ258" s="125"/>
      <c r="BA258" s="125"/>
      <c r="BB258" s="125"/>
      <c r="BC258" s="125"/>
      <c r="BD258" s="125"/>
      <c r="BE258" s="125"/>
      <c r="BF258" s="125"/>
      <c r="BG258" s="125"/>
      <c r="BH258" s="125"/>
    </row>
    <row r="259" spans="1:60" s="124" customFormat="1" ht="116.25">
      <c r="A259" s="127"/>
      <c r="B259" s="92" t="s">
        <v>447</v>
      </c>
      <c r="C259" s="100" t="s">
        <v>538</v>
      </c>
      <c r="D259" s="100"/>
      <c r="E259" s="100" t="s">
        <v>667</v>
      </c>
      <c r="F259" s="100" t="s">
        <v>666</v>
      </c>
      <c r="G259" s="100" t="s">
        <v>838</v>
      </c>
      <c r="H259" s="100" t="s">
        <v>204</v>
      </c>
      <c r="I259" s="100"/>
      <c r="J259" s="100" t="s">
        <v>202</v>
      </c>
      <c r="K259" s="96" t="s">
        <v>63</v>
      </c>
      <c r="L259" s="99">
        <f t="shared" si="6"/>
        <v>23000</v>
      </c>
      <c r="M259" s="98">
        <f t="shared" si="7"/>
        <v>1</v>
      </c>
      <c r="N259" s="96" t="s">
        <v>561</v>
      </c>
      <c r="O259" s="97" t="s">
        <v>472</v>
      </c>
      <c r="P259" s="108"/>
      <c r="Q259" s="96"/>
      <c r="R259" s="96">
        <v>1</v>
      </c>
      <c r="S259" s="96"/>
      <c r="T259" s="95">
        <v>23000</v>
      </c>
      <c r="U259" s="94" t="s">
        <v>834</v>
      </c>
      <c r="V259" s="125"/>
      <c r="W259" s="125"/>
      <c r="X259" s="125"/>
      <c r="Y259" s="125"/>
      <c r="Z259" s="125"/>
      <c r="AA259" s="125"/>
      <c r="AB259" s="125"/>
      <c r="AC259" s="125"/>
      <c r="AD259" s="125"/>
      <c r="AE259" s="125"/>
      <c r="AF259" s="125"/>
      <c r="AG259" s="125"/>
      <c r="AH259" s="125"/>
      <c r="AI259" s="125"/>
      <c r="AJ259" s="125"/>
      <c r="AK259" s="125"/>
      <c r="AL259" s="125"/>
      <c r="AM259" s="125"/>
      <c r="AN259" s="125"/>
      <c r="AO259" s="125"/>
      <c r="AP259" s="125"/>
      <c r="AQ259" s="125"/>
      <c r="AR259" s="125"/>
      <c r="AS259" s="125"/>
      <c r="AT259" s="125"/>
      <c r="AU259" s="125"/>
      <c r="AV259" s="125"/>
      <c r="AW259" s="125"/>
      <c r="AX259" s="125"/>
      <c r="AY259" s="125"/>
      <c r="AZ259" s="125"/>
      <c r="BA259" s="125"/>
      <c r="BB259" s="125"/>
      <c r="BC259" s="125"/>
      <c r="BD259" s="125"/>
      <c r="BE259" s="125"/>
      <c r="BF259" s="125"/>
      <c r="BG259" s="125"/>
      <c r="BH259" s="125"/>
    </row>
    <row r="260" spans="1:60" s="124" customFormat="1" ht="116.25">
      <c r="A260" s="127"/>
      <c r="B260" s="92" t="s">
        <v>447</v>
      </c>
      <c r="C260" s="100" t="s">
        <v>538</v>
      </c>
      <c r="D260" s="100"/>
      <c r="E260" s="100" t="s">
        <v>667</v>
      </c>
      <c r="F260" s="100" t="s">
        <v>666</v>
      </c>
      <c r="G260" s="100" t="s">
        <v>838</v>
      </c>
      <c r="H260" s="100" t="s">
        <v>124</v>
      </c>
      <c r="I260" s="100"/>
      <c r="J260" s="100" t="s">
        <v>122</v>
      </c>
      <c r="K260" s="96" t="s">
        <v>63</v>
      </c>
      <c r="L260" s="99">
        <f t="shared" si="6"/>
        <v>23000</v>
      </c>
      <c r="M260" s="98">
        <f t="shared" si="7"/>
        <v>1</v>
      </c>
      <c r="N260" s="96" t="s">
        <v>561</v>
      </c>
      <c r="O260" s="97" t="s">
        <v>472</v>
      </c>
      <c r="P260" s="96"/>
      <c r="Q260" s="96">
        <v>1</v>
      </c>
      <c r="R260" s="96"/>
      <c r="S260" s="134"/>
      <c r="T260" s="95">
        <v>23000</v>
      </c>
      <c r="U260" s="94" t="s">
        <v>834</v>
      </c>
      <c r="V260" s="125"/>
      <c r="W260" s="125"/>
      <c r="X260" s="125"/>
      <c r="Y260" s="125"/>
      <c r="Z260" s="125"/>
      <c r="AA260" s="125"/>
      <c r="AB260" s="125"/>
      <c r="AC260" s="125"/>
      <c r="AD260" s="125"/>
      <c r="AE260" s="125"/>
      <c r="AF260" s="125"/>
      <c r="AG260" s="125"/>
      <c r="AH260" s="125"/>
      <c r="AI260" s="125"/>
      <c r="AJ260" s="125"/>
      <c r="AK260" s="125"/>
      <c r="AL260" s="125"/>
      <c r="AM260" s="125"/>
      <c r="AN260" s="125"/>
      <c r="AO260" s="125"/>
      <c r="AP260" s="125"/>
      <c r="AQ260" s="125"/>
      <c r="AR260" s="125"/>
      <c r="AS260" s="125"/>
      <c r="AT260" s="125"/>
      <c r="AU260" s="125"/>
      <c r="AV260" s="125"/>
      <c r="AW260" s="125"/>
      <c r="AX260" s="125"/>
      <c r="AY260" s="125"/>
      <c r="AZ260" s="125"/>
      <c r="BA260" s="125"/>
      <c r="BB260" s="125"/>
      <c r="BC260" s="125"/>
      <c r="BD260" s="125"/>
      <c r="BE260" s="125"/>
      <c r="BF260" s="125"/>
      <c r="BG260" s="125"/>
      <c r="BH260" s="125"/>
    </row>
    <row r="261" spans="1:60" s="124" customFormat="1" ht="116.25">
      <c r="A261" s="127"/>
      <c r="B261" s="92" t="s">
        <v>447</v>
      </c>
      <c r="C261" s="100" t="s">
        <v>538</v>
      </c>
      <c r="D261" s="100"/>
      <c r="E261" s="100" t="s">
        <v>667</v>
      </c>
      <c r="F261" s="100" t="s">
        <v>666</v>
      </c>
      <c r="G261" s="100" t="s">
        <v>838</v>
      </c>
      <c r="H261" s="100" t="s">
        <v>433</v>
      </c>
      <c r="I261" s="100"/>
      <c r="J261" s="100" t="s">
        <v>428</v>
      </c>
      <c r="K261" s="96" t="s">
        <v>63</v>
      </c>
      <c r="L261" s="99">
        <f t="shared" si="6"/>
        <v>23000</v>
      </c>
      <c r="M261" s="98">
        <f t="shared" si="7"/>
        <v>1</v>
      </c>
      <c r="N261" s="96" t="s">
        <v>561</v>
      </c>
      <c r="O261" s="97" t="s">
        <v>472</v>
      </c>
      <c r="P261" s="96"/>
      <c r="Q261" s="96"/>
      <c r="R261" s="96">
        <v>1</v>
      </c>
      <c r="S261" s="96"/>
      <c r="T261" s="95">
        <v>23000</v>
      </c>
      <c r="U261" s="94" t="s">
        <v>837</v>
      </c>
      <c r="V261" s="125"/>
      <c r="W261" s="125"/>
      <c r="X261" s="125"/>
      <c r="Y261" s="125"/>
      <c r="Z261" s="125"/>
      <c r="AA261" s="125"/>
      <c r="AB261" s="125"/>
      <c r="AC261" s="125"/>
      <c r="AD261" s="125"/>
      <c r="AE261" s="125"/>
      <c r="AF261" s="125"/>
      <c r="AG261" s="125"/>
      <c r="AH261" s="125"/>
      <c r="AI261" s="125"/>
      <c r="AJ261" s="125"/>
      <c r="AK261" s="125"/>
      <c r="AL261" s="125"/>
      <c r="AM261" s="125"/>
      <c r="AN261" s="125"/>
      <c r="AO261" s="125"/>
      <c r="AP261" s="125"/>
      <c r="AQ261" s="125"/>
      <c r="AR261" s="125"/>
      <c r="AS261" s="125"/>
      <c r="AT261" s="125"/>
      <c r="AU261" s="125"/>
      <c r="AV261" s="125"/>
      <c r="AW261" s="125"/>
      <c r="AX261" s="125"/>
      <c r="AY261" s="125"/>
      <c r="AZ261" s="125"/>
      <c r="BA261" s="125"/>
      <c r="BB261" s="125"/>
      <c r="BC261" s="125"/>
      <c r="BD261" s="125"/>
      <c r="BE261" s="125"/>
      <c r="BF261" s="125"/>
      <c r="BG261" s="125"/>
      <c r="BH261" s="125"/>
    </row>
    <row r="262" spans="1:60" s="124" customFormat="1" ht="116.25">
      <c r="A262" s="127"/>
      <c r="B262" s="92" t="s">
        <v>447</v>
      </c>
      <c r="C262" s="100" t="s">
        <v>538</v>
      </c>
      <c r="D262" s="100"/>
      <c r="E262" s="100" t="s">
        <v>667</v>
      </c>
      <c r="F262" s="100" t="s">
        <v>666</v>
      </c>
      <c r="G262" s="100" t="s">
        <v>830</v>
      </c>
      <c r="H262" s="100" t="s">
        <v>461</v>
      </c>
      <c r="I262" s="100"/>
      <c r="J262" s="100" t="s">
        <v>439</v>
      </c>
      <c r="K262" s="96" t="s">
        <v>63</v>
      </c>
      <c r="L262" s="99">
        <f t="shared" si="6"/>
        <v>4390</v>
      </c>
      <c r="M262" s="98">
        <f t="shared" si="7"/>
        <v>1</v>
      </c>
      <c r="N262" s="96" t="s">
        <v>561</v>
      </c>
      <c r="O262" s="96"/>
      <c r="P262" s="97" t="s">
        <v>472</v>
      </c>
      <c r="Q262" s="145">
        <v>1</v>
      </c>
      <c r="R262" s="145"/>
      <c r="S262" s="96" t="s">
        <v>836</v>
      </c>
      <c r="T262" s="95">
        <v>4390</v>
      </c>
      <c r="U262" s="94" t="s">
        <v>835</v>
      </c>
      <c r="V262" s="125"/>
      <c r="W262" s="125"/>
      <c r="X262" s="125"/>
      <c r="Y262" s="125"/>
      <c r="Z262" s="125"/>
      <c r="AA262" s="125"/>
      <c r="AB262" s="125"/>
      <c r="AC262" s="125"/>
      <c r="AD262" s="125"/>
      <c r="AE262" s="125"/>
      <c r="AF262" s="125"/>
      <c r="AG262" s="125"/>
      <c r="AH262" s="125"/>
      <c r="AI262" s="125"/>
      <c r="AJ262" s="125"/>
      <c r="AK262" s="125"/>
      <c r="AL262" s="125"/>
      <c r="AM262" s="125"/>
      <c r="AN262" s="125"/>
      <c r="AO262" s="125"/>
      <c r="AP262" s="125"/>
      <c r="AQ262" s="125"/>
      <c r="AR262" s="125"/>
      <c r="AS262" s="125"/>
      <c r="AT262" s="125"/>
      <c r="AU262" s="125"/>
      <c r="AV262" s="125"/>
      <c r="AW262" s="125"/>
      <c r="AX262" s="125"/>
      <c r="AY262" s="125"/>
      <c r="AZ262" s="125"/>
      <c r="BA262" s="125"/>
      <c r="BB262" s="125"/>
      <c r="BC262" s="125"/>
      <c r="BD262" s="125"/>
      <c r="BE262" s="125"/>
      <c r="BF262" s="125"/>
      <c r="BG262" s="125"/>
      <c r="BH262" s="125"/>
    </row>
    <row r="263" spans="1:60" s="124" customFormat="1" ht="116.25">
      <c r="A263" s="127"/>
      <c r="B263" s="92" t="s">
        <v>447</v>
      </c>
      <c r="C263" s="100" t="s">
        <v>538</v>
      </c>
      <c r="D263" s="100"/>
      <c r="E263" s="100" t="s">
        <v>667</v>
      </c>
      <c r="F263" s="100" t="s">
        <v>666</v>
      </c>
      <c r="G263" s="100" t="s">
        <v>830</v>
      </c>
      <c r="H263" s="100" t="s">
        <v>29</v>
      </c>
      <c r="I263" s="100"/>
      <c r="J263" s="100" t="s">
        <v>27</v>
      </c>
      <c r="K263" s="96" t="s">
        <v>13</v>
      </c>
      <c r="L263" s="99">
        <f t="shared" si="6"/>
        <v>4390</v>
      </c>
      <c r="M263" s="98">
        <f t="shared" si="7"/>
        <v>1</v>
      </c>
      <c r="N263" s="96" t="s">
        <v>561</v>
      </c>
      <c r="O263" s="146"/>
      <c r="P263" s="97" t="s">
        <v>472</v>
      </c>
      <c r="Q263" s="145"/>
      <c r="R263" s="145">
        <v>1</v>
      </c>
      <c r="S263" s="96"/>
      <c r="T263" s="95">
        <v>4390</v>
      </c>
      <c r="U263" s="94" t="s">
        <v>828</v>
      </c>
      <c r="V263" s="125"/>
      <c r="W263" s="125"/>
      <c r="X263" s="125"/>
      <c r="Y263" s="125"/>
      <c r="Z263" s="125"/>
      <c r="AA263" s="125"/>
      <c r="AB263" s="125"/>
      <c r="AC263" s="125"/>
      <c r="AD263" s="125"/>
      <c r="AE263" s="125"/>
      <c r="AF263" s="125"/>
      <c r="AG263" s="125"/>
      <c r="AH263" s="125"/>
      <c r="AI263" s="125"/>
      <c r="AJ263" s="125"/>
      <c r="AK263" s="125"/>
      <c r="AL263" s="125"/>
      <c r="AM263" s="125"/>
      <c r="AN263" s="125"/>
      <c r="AO263" s="125"/>
      <c r="AP263" s="125"/>
      <c r="AQ263" s="125"/>
      <c r="AR263" s="125"/>
      <c r="AS263" s="125"/>
      <c r="AT263" s="125"/>
      <c r="AU263" s="125"/>
      <c r="AV263" s="125"/>
      <c r="AW263" s="125"/>
      <c r="AX263" s="125"/>
      <c r="AY263" s="125"/>
      <c r="AZ263" s="125"/>
      <c r="BA263" s="125"/>
      <c r="BB263" s="125"/>
      <c r="BC263" s="125"/>
      <c r="BD263" s="125"/>
      <c r="BE263" s="125"/>
      <c r="BF263" s="125"/>
      <c r="BG263" s="125"/>
      <c r="BH263" s="125"/>
    </row>
    <row r="264" spans="1:60" s="124" customFormat="1" ht="116.25">
      <c r="A264" s="127"/>
      <c r="B264" s="92" t="s">
        <v>447</v>
      </c>
      <c r="C264" s="100" t="s">
        <v>538</v>
      </c>
      <c r="D264" s="100"/>
      <c r="E264" s="100" t="s">
        <v>667</v>
      </c>
      <c r="F264" s="100" t="s">
        <v>666</v>
      </c>
      <c r="G264" s="100" t="s">
        <v>830</v>
      </c>
      <c r="H264" s="100" t="s">
        <v>50</v>
      </c>
      <c r="I264" s="100"/>
      <c r="J264" s="100" t="s">
        <v>46</v>
      </c>
      <c r="K264" s="96" t="s">
        <v>40</v>
      </c>
      <c r="L264" s="99">
        <f t="shared" si="6"/>
        <v>10600</v>
      </c>
      <c r="M264" s="98">
        <f t="shared" si="7"/>
        <v>1</v>
      </c>
      <c r="N264" s="96" t="s">
        <v>558</v>
      </c>
      <c r="O264" s="108" t="s">
        <v>472</v>
      </c>
      <c r="P264" s="96"/>
      <c r="Q264" s="145"/>
      <c r="R264" s="145">
        <v>1</v>
      </c>
      <c r="S264" s="96"/>
      <c r="T264" s="95">
        <v>10600</v>
      </c>
      <c r="U264" s="94" t="s">
        <v>834</v>
      </c>
      <c r="V264" s="125"/>
      <c r="W264" s="125"/>
      <c r="X264" s="125"/>
      <c r="Y264" s="125"/>
      <c r="Z264" s="125"/>
      <c r="AA264" s="125"/>
      <c r="AB264" s="125"/>
      <c r="AC264" s="125"/>
      <c r="AD264" s="125"/>
      <c r="AE264" s="125"/>
      <c r="AF264" s="125"/>
      <c r="AG264" s="125"/>
      <c r="AH264" s="125"/>
      <c r="AI264" s="125"/>
      <c r="AJ264" s="125"/>
      <c r="AK264" s="125"/>
      <c r="AL264" s="125"/>
      <c r="AM264" s="125"/>
      <c r="AN264" s="125"/>
      <c r="AO264" s="125"/>
      <c r="AP264" s="125"/>
      <c r="AQ264" s="125"/>
      <c r="AR264" s="125"/>
      <c r="AS264" s="125"/>
      <c r="AT264" s="125"/>
      <c r="AU264" s="125"/>
      <c r="AV264" s="125"/>
      <c r="AW264" s="125"/>
      <c r="AX264" s="125"/>
      <c r="AY264" s="125"/>
      <c r="AZ264" s="125"/>
      <c r="BA264" s="125"/>
      <c r="BB264" s="125"/>
      <c r="BC264" s="125"/>
      <c r="BD264" s="125"/>
      <c r="BE264" s="125"/>
      <c r="BF264" s="125"/>
      <c r="BG264" s="125"/>
      <c r="BH264" s="125"/>
    </row>
    <row r="265" spans="1:60" s="124" customFormat="1" ht="116.25">
      <c r="A265" s="127"/>
      <c r="B265" s="92" t="s">
        <v>447</v>
      </c>
      <c r="C265" s="100" t="s">
        <v>538</v>
      </c>
      <c r="D265" s="100"/>
      <c r="E265" s="100" t="s">
        <v>667</v>
      </c>
      <c r="F265" s="100" t="s">
        <v>666</v>
      </c>
      <c r="G265" s="100" t="s">
        <v>830</v>
      </c>
      <c r="H265" s="100" t="s">
        <v>265</v>
      </c>
      <c r="I265" s="100"/>
      <c r="J265" s="100" t="s">
        <v>263</v>
      </c>
      <c r="K265" s="96" t="s">
        <v>63</v>
      </c>
      <c r="L265" s="99">
        <f t="shared" si="6"/>
        <v>5500</v>
      </c>
      <c r="M265" s="98">
        <f t="shared" si="7"/>
        <v>1</v>
      </c>
      <c r="N265" s="96" t="s">
        <v>833</v>
      </c>
      <c r="O265" s="96"/>
      <c r="P265" s="97" t="s">
        <v>472</v>
      </c>
      <c r="Q265" s="145">
        <v>1</v>
      </c>
      <c r="R265" s="145"/>
      <c r="S265" s="96" t="s">
        <v>832</v>
      </c>
      <c r="T265" s="95">
        <v>5500</v>
      </c>
      <c r="U265" s="94" t="s">
        <v>831</v>
      </c>
      <c r="V265" s="125"/>
      <c r="W265" s="125"/>
      <c r="X265" s="125"/>
      <c r="Y265" s="125"/>
      <c r="Z265" s="125"/>
      <c r="AA265" s="125"/>
      <c r="AB265" s="125"/>
      <c r="AC265" s="125"/>
      <c r="AD265" s="125"/>
      <c r="AE265" s="125"/>
      <c r="AF265" s="125"/>
      <c r="AG265" s="125"/>
      <c r="AH265" s="125"/>
      <c r="AI265" s="125"/>
      <c r="AJ265" s="125"/>
      <c r="AK265" s="125"/>
      <c r="AL265" s="125"/>
      <c r="AM265" s="125"/>
      <c r="AN265" s="125"/>
      <c r="AO265" s="125"/>
      <c r="AP265" s="125"/>
      <c r="AQ265" s="125"/>
      <c r="AR265" s="125"/>
      <c r="AS265" s="125"/>
      <c r="AT265" s="125"/>
      <c r="AU265" s="125"/>
      <c r="AV265" s="125"/>
      <c r="AW265" s="125"/>
      <c r="AX265" s="125"/>
      <c r="AY265" s="125"/>
      <c r="AZ265" s="125"/>
      <c r="BA265" s="125"/>
      <c r="BB265" s="125"/>
      <c r="BC265" s="125"/>
      <c r="BD265" s="125"/>
      <c r="BE265" s="125"/>
      <c r="BF265" s="125"/>
      <c r="BG265" s="125"/>
      <c r="BH265" s="125"/>
    </row>
    <row r="266" spans="1:60" s="124" customFormat="1" ht="116.25">
      <c r="A266" s="127"/>
      <c r="B266" s="92" t="s">
        <v>447</v>
      </c>
      <c r="C266" s="100" t="s">
        <v>538</v>
      </c>
      <c r="D266" s="100"/>
      <c r="E266" s="100" t="s">
        <v>667</v>
      </c>
      <c r="F266" s="100" t="s">
        <v>666</v>
      </c>
      <c r="G266" s="100" t="s">
        <v>830</v>
      </c>
      <c r="H266" s="100" t="s">
        <v>24</v>
      </c>
      <c r="I266" s="100"/>
      <c r="J266" s="100" t="s">
        <v>22</v>
      </c>
      <c r="K266" s="96" t="s">
        <v>13</v>
      </c>
      <c r="L266" s="99">
        <f t="shared" si="6"/>
        <v>23000</v>
      </c>
      <c r="M266" s="98">
        <f t="shared" si="7"/>
        <v>1</v>
      </c>
      <c r="N266" s="98" t="s">
        <v>558</v>
      </c>
      <c r="O266" s="108" t="s">
        <v>472</v>
      </c>
      <c r="P266" s="98"/>
      <c r="Q266" s="145">
        <v>1</v>
      </c>
      <c r="R266" s="145"/>
      <c r="S266" s="98" t="s">
        <v>829</v>
      </c>
      <c r="T266" s="95">
        <v>23000</v>
      </c>
      <c r="U266" s="109" t="s">
        <v>828</v>
      </c>
      <c r="V266" s="125"/>
      <c r="W266" s="125"/>
      <c r="X266" s="125"/>
      <c r="Y266" s="125"/>
      <c r="Z266" s="125"/>
      <c r="AA266" s="125"/>
      <c r="AB266" s="125"/>
      <c r="AC266" s="125"/>
      <c r="AD266" s="125"/>
      <c r="AE266" s="125"/>
      <c r="AF266" s="125"/>
      <c r="AG266" s="125"/>
      <c r="AH266" s="125"/>
      <c r="AI266" s="125"/>
      <c r="AJ266" s="125"/>
      <c r="AK266" s="125"/>
      <c r="AL266" s="125"/>
      <c r="AM266" s="125"/>
      <c r="AN266" s="125"/>
      <c r="AO266" s="125"/>
      <c r="AP266" s="125"/>
      <c r="AQ266" s="125"/>
      <c r="AR266" s="125"/>
      <c r="AS266" s="125"/>
      <c r="AT266" s="125"/>
      <c r="AU266" s="125"/>
      <c r="AV266" s="125"/>
      <c r="AW266" s="125"/>
      <c r="AX266" s="125"/>
      <c r="AY266" s="125"/>
      <c r="AZ266" s="125"/>
      <c r="BA266" s="125"/>
      <c r="BB266" s="125"/>
      <c r="BC266" s="125"/>
      <c r="BD266" s="125"/>
      <c r="BE266" s="125"/>
      <c r="BF266" s="125"/>
      <c r="BG266" s="125"/>
      <c r="BH266" s="125"/>
    </row>
    <row r="267" spans="1:60" s="124" customFormat="1" ht="116.25">
      <c r="A267" s="127"/>
      <c r="B267" s="92" t="s">
        <v>447</v>
      </c>
      <c r="C267" s="100" t="s">
        <v>538</v>
      </c>
      <c r="D267" s="100"/>
      <c r="E267" s="100" t="s">
        <v>667</v>
      </c>
      <c r="F267" s="100" t="s">
        <v>666</v>
      </c>
      <c r="G267" s="100" t="s">
        <v>827</v>
      </c>
      <c r="H267" s="100" t="s">
        <v>270</v>
      </c>
      <c r="I267" s="100"/>
      <c r="J267" s="100" t="s">
        <v>172</v>
      </c>
      <c r="K267" s="96" t="s">
        <v>149</v>
      </c>
      <c r="L267" s="99">
        <f t="shared" si="6"/>
        <v>13600</v>
      </c>
      <c r="M267" s="98">
        <f t="shared" si="7"/>
        <v>1</v>
      </c>
      <c r="N267" s="98" t="s">
        <v>558</v>
      </c>
      <c r="O267" s="98"/>
      <c r="P267" s="97" t="s">
        <v>472</v>
      </c>
      <c r="Q267" s="98"/>
      <c r="R267" s="98">
        <v>1</v>
      </c>
      <c r="S267" s="98"/>
      <c r="T267" s="95">
        <v>13600</v>
      </c>
      <c r="U267" s="131" t="s">
        <v>826</v>
      </c>
      <c r="V267" s="125"/>
      <c r="W267" s="125"/>
      <c r="X267" s="125"/>
      <c r="Y267" s="125"/>
      <c r="Z267" s="125"/>
      <c r="AA267" s="125"/>
      <c r="AB267" s="125"/>
      <c r="AC267" s="125"/>
      <c r="AD267" s="125"/>
      <c r="AE267" s="125"/>
      <c r="AF267" s="125"/>
      <c r="AG267" s="125"/>
      <c r="AH267" s="125"/>
      <c r="AI267" s="125"/>
      <c r="AJ267" s="125"/>
      <c r="AK267" s="125"/>
      <c r="AL267" s="125"/>
      <c r="AM267" s="125"/>
      <c r="AN267" s="125"/>
      <c r="AO267" s="125"/>
      <c r="AP267" s="125"/>
      <c r="AQ267" s="125"/>
      <c r="AR267" s="125"/>
      <c r="AS267" s="125"/>
      <c r="AT267" s="125"/>
      <c r="AU267" s="125"/>
      <c r="AV267" s="125"/>
      <c r="AW267" s="125"/>
      <c r="AX267" s="125"/>
      <c r="AY267" s="125"/>
      <c r="AZ267" s="125"/>
      <c r="BA267" s="125"/>
      <c r="BB267" s="125"/>
      <c r="BC267" s="125"/>
      <c r="BD267" s="125"/>
      <c r="BE267" s="125"/>
      <c r="BF267" s="125"/>
      <c r="BG267" s="125"/>
      <c r="BH267" s="125"/>
    </row>
    <row r="268" spans="1:60" s="124" customFormat="1" ht="116.25">
      <c r="A268" s="127"/>
      <c r="B268" s="92" t="s">
        <v>447</v>
      </c>
      <c r="C268" s="100" t="s">
        <v>538</v>
      </c>
      <c r="D268" s="100"/>
      <c r="E268" s="100" t="s">
        <v>667</v>
      </c>
      <c r="F268" s="100" t="s">
        <v>666</v>
      </c>
      <c r="G268" s="100" t="s">
        <v>545</v>
      </c>
      <c r="H268" s="100" t="s">
        <v>322</v>
      </c>
      <c r="I268" s="100"/>
      <c r="J268" s="100" t="s">
        <v>320</v>
      </c>
      <c r="K268" s="96" t="s">
        <v>40</v>
      </c>
      <c r="L268" s="99">
        <f t="shared" si="6"/>
        <v>9500</v>
      </c>
      <c r="M268" s="98">
        <f t="shared" si="7"/>
        <v>1</v>
      </c>
      <c r="N268" s="98" t="s">
        <v>558</v>
      </c>
      <c r="O268" s="144"/>
      <c r="P268" s="97" t="s">
        <v>472</v>
      </c>
      <c r="Q268" s="98"/>
      <c r="R268" s="98">
        <v>1</v>
      </c>
      <c r="S268" s="98"/>
      <c r="T268" s="95">
        <v>9500</v>
      </c>
      <c r="U268" s="131" t="s">
        <v>825</v>
      </c>
      <c r="V268" s="125"/>
      <c r="W268" s="125"/>
      <c r="X268" s="125"/>
      <c r="Y268" s="125"/>
      <c r="Z268" s="125"/>
      <c r="AA268" s="125"/>
      <c r="AB268" s="125"/>
      <c r="AC268" s="125"/>
      <c r="AD268" s="125"/>
      <c r="AE268" s="125"/>
      <c r="AF268" s="125"/>
      <c r="AG268" s="125"/>
      <c r="AH268" s="125"/>
      <c r="AI268" s="125"/>
      <c r="AJ268" s="125"/>
      <c r="AK268" s="125"/>
      <c r="AL268" s="125"/>
      <c r="AM268" s="125"/>
      <c r="AN268" s="125"/>
      <c r="AO268" s="125"/>
      <c r="AP268" s="125"/>
      <c r="AQ268" s="125"/>
      <c r="AR268" s="125"/>
      <c r="AS268" s="125"/>
      <c r="AT268" s="125"/>
      <c r="AU268" s="125"/>
      <c r="AV268" s="125"/>
      <c r="AW268" s="125"/>
      <c r="AX268" s="125"/>
      <c r="AY268" s="125"/>
      <c r="AZ268" s="125"/>
      <c r="BA268" s="125"/>
      <c r="BB268" s="125"/>
      <c r="BC268" s="125"/>
      <c r="BD268" s="125"/>
      <c r="BE268" s="125"/>
      <c r="BF268" s="125"/>
      <c r="BG268" s="125"/>
      <c r="BH268" s="125"/>
    </row>
    <row r="269" spans="1:60" s="124" customFormat="1" ht="116.25">
      <c r="A269" s="127"/>
      <c r="B269" s="92" t="s">
        <v>447</v>
      </c>
      <c r="C269" s="100" t="s">
        <v>538</v>
      </c>
      <c r="D269" s="100"/>
      <c r="E269" s="100" t="s">
        <v>667</v>
      </c>
      <c r="F269" s="100" t="s">
        <v>666</v>
      </c>
      <c r="G269" s="100" t="s">
        <v>824</v>
      </c>
      <c r="H269" s="100" t="s">
        <v>62</v>
      </c>
      <c r="I269" s="100"/>
      <c r="J269" s="100" t="s">
        <v>60</v>
      </c>
      <c r="K269" s="96" t="s">
        <v>40</v>
      </c>
      <c r="L269" s="99">
        <f t="shared" si="6"/>
        <v>10600</v>
      </c>
      <c r="M269" s="98">
        <f t="shared" si="7"/>
        <v>1</v>
      </c>
      <c r="N269" s="98" t="s">
        <v>558</v>
      </c>
      <c r="O269" s="144"/>
      <c r="P269" s="97" t="s">
        <v>472</v>
      </c>
      <c r="Q269" s="98"/>
      <c r="R269" s="98">
        <v>1</v>
      </c>
      <c r="S269" s="98"/>
      <c r="T269" s="95">
        <v>10600</v>
      </c>
      <c r="U269" s="131" t="s">
        <v>823</v>
      </c>
      <c r="V269" s="125"/>
      <c r="W269" s="125"/>
      <c r="X269" s="125"/>
      <c r="Y269" s="125"/>
      <c r="Z269" s="125"/>
      <c r="AA269" s="125"/>
      <c r="AB269" s="125"/>
      <c r="AC269" s="125"/>
      <c r="AD269" s="125"/>
      <c r="AE269" s="125"/>
      <c r="AF269" s="125"/>
      <c r="AG269" s="125"/>
      <c r="AH269" s="125"/>
      <c r="AI269" s="125"/>
      <c r="AJ269" s="125"/>
      <c r="AK269" s="125"/>
      <c r="AL269" s="125"/>
      <c r="AM269" s="125"/>
      <c r="AN269" s="125"/>
      <c r="AO269" s="125"/>
      <c r="AP269" s="125"/>
      <c r="AQ269" s="125"/>
      <c r="AR269" s="125"/>
      <c r="AS269" s="125"/>
      <c r="AT269" s="125"/>
      <c r="AU269" s="125"/>
      <c r="AV269" s="125"/>
      <c r="AW269" s="125"/>
      <c r="AX269" s="125"/>
      <c r="AY269" s="125"/>
      <c r="AZ269" s="125"/>
      <c r="BA269" s="125"/>
      <c r="BB269" s="125"/>
      <c r="BC269" s="125"/>
      <c r="BD269" s="125"/>
      <c r="BE269" s="125"/>
      <c r="BF269" s="125"/>
      <c r="BG269" s="125"/>
      <c r="BH269" s="125"/>
    </row>
    <row r="270" spans="1:60" s="124" customFormat="1" ht="116.25">
      <c r="A270" s="127"/>
      <c r="B270" s="92" t="s">
        <v>447</v>
      </c>
      <c r="C270" s="100" t="s">
        <v>538</v>
      </c>
      <c r="D270" s="100"/>
      <c r="E270" s="100" t="s">
        <v>667</v>
      </c>
      <c r="F270" s="100" t="s">
        <v>666</v>
      </c>
      <c r="G270" s="100" t="s">
        <v>822</v>
      </c>
      <c r="H270" s="100" t="s">
        <v>59</v>
      </c>
      <c r="I270" s="100"/>
      <c r="J270" s="100" t="s">
        <v>57</v>
      </c>
      <c r="K270" s="96" t="s">
        <v>40</v>
      </c>
      <c r="L270" s="99">
        <f t="shared" si="6"/>
        <v>7600</v>
      </c>
      <c r="M270" s="98">
        <f t="shared" si="7"/>
        <v>1</v>
      </c>
      <c r="N270" s="96" t="s">
        <v>821</v>
      </c>
      <c r="O270" s="97" t="s">
        <v>472</v>
      </c>
      <c r="P270" s="96"/>
      <c r="Q270" s="96"/>
      <c r="R270" s="96">
        <v>1</v>
      </c>
      <c r="S270" s="96"/>
      <c r="T270" s="95">
        <v>7600</v>
      </c>
      <c r="U270" s="94" t="s">
        <v>820</v>
      </c>
      <c r="V270" s="125"/>
      <c r="W270" s="125"/>
      <c r="X270" s="125"/>
      <c r="Y270" s="125"/>
      <c r="Z270" s="125"/>
      <c r="AA270" s="125"/>
      <c r="AB270" s="125"/>
      <c r="AC270" s="125"/>
      <c r="AD270" s="125"/>
      <c r="AE270" s="125"/>
      <c r="AF270" s="125"/>
      <c r="AG270" s="125"/>
      <c r="AH270" s="125"/>
      <c r="AI270" s="125"/>
      <c r="AJ270" s="125"/>
      <c r="AK270" s="125"/>
      <c r="AL270" s="125"/>
      <c r="AM270" s="125"/>
      <c r="AN270" s="125"/>
      <c r="AO270" s="125"/>
      <c r="AP270" s="125"/>
      <c r="AQ270" s="125"/>
      <c r="AR270" s="125"/>
      <c r="AS270" s="125"/>
      <c r="AT270" s="125"/>
      <c r="AU270" s="125"/>
      <c r="AV270" s="125"/>
      <c r="AW270" s="125"/>
      <c r="AX270" s="125"/>
      <c r="AY270" s="125"/>
      <c r="AZ270" s="125"/>
      <c r="BA270" s="125"/>
      <c r="BB270" s="125"/>
      <c r="BC270" s="125"/>
      <c r="BD270" s="125"/>
      <c r="BE270" s="125"/>
      <c r="BF270" s="125"/>
      <c r="BG270" s="125"/>
      <c r="BH270" s="125"/>
    </row>
    <row r="271" spans="1:60" s="124" customFormat="1" ht="116.25">
      <c r="A271" s="127"/>
      <c r="B271" s="92" t="s">
        <v>447</v>
      </c>
      <c r="C271" s="100" t="s">
        <v>538</v>
      </c>
      <c r="D271" s="100"/>
      <c r="E271" s="100" t="s">
        <v>667</v>
      </c>
      <c r="F271" s="100" t="s">
        <v>666</v>
      </c>
      <c r="G271" s="100" t="s">
        <v>819</v>
      </c>
      <c r="H271" s="100" t="s">
        <v>450</v>
      </c>
      <c r="I271" s="100"/>
      <c r="J271" s="100" t="s">
        <v>445</v>
      </c>
      <c r="K271" s="96" t="s">
        <v>13</v>
      </c>
      <c r="L271" s="99">
        <f t="shared" si="6"/>
        <v>28000</v>
      </c>
      <c r="M271" s="98">
        <f t="shared" si="7"/>
        <v>1</v>
      </c>
      <c r="N271" s="96" t="s">
        <v>596</v>
      </c>
      <c r="O271" s="96"/>
      <c r="P271" s="97" t="s">
        <v>472</v>
      </c>
      <c r="Q271" s="96"/>
      <c r="R271" s="96">
        <v>1</v>
      </c>
      <c r="S271" s="96"/>
      <c r="T271" s="95">
        <v>28000</v>
      </c>
      <c r="U271" s="94" t="s">
        <v>818</v>
      </c>
      <c r="V271" s="125"/>
      <c r="W271" s="125"/>
      <c r="X271" s="125"/>
      <c r="Y271" s="125"/>
      <c r="Z271" s="125"/>
      <c r="AA271" s="125"/>
      <c r="AB271" s="125"/>
      <c r="AC271" s="125"/>
      <c r="AD271" s="125"/>
      <c r="AE271" s="125"/>
      <c r="AF271" s="125"/>
      <c r="AG271" s="125"/>
      <c r="AH271" s="125"/>
      <c r="AI271" s="125"/>
      <c r="AJ271" s="125"/>
      <c r="AK271" s="125"/>
      <c r="AL271" s="125"/>
      <c r="AM271" s="125"/>
      <c r="AN271" s="125"/>
      <c r="AO271" s="125"/>
      <c r="AP271" s="125"/>
      <c r="AQ271" s="125"/>
      <c r="AR271" s="125"/>
      <c r="AS271" s="125"/>
      <c r="AT271" s="125"/>
      <c r="AU271" s="125"/>
      <c r="AV271" s="125"/>
      <c r="AW271" s="125"/>
      <c r="AX271" s="125"/>
      <c r="AY271" s="125"/>
      <c r="AZ271" s="125"/>
      <c r="BA271" s="125"/>
      <c r="BB271" s="125"/>
      <c r="BC271" s="125"/>
      <c r="BD271" s="125"/>
      <c r="BE271" s="125"/>
      <c r="BF271" s="125"/>
      <c r="BG271" s="125"/>
      <c r="BH271" s="125"/>
    </row>
    <row r="272" spans="1:60" s="124" customFormat="1" ht="116.25">
      <c r="A272" s="127"/>
      <c r="B272" s="92" t="s">
        <v>447</v>
      </c>
      <c r="C272" s="100" t="s">
        <v>488</v>
      </c>
      <c r="D272" s="100"/>
      <c r="E272" s="100" t="s">
        <v>667</v>
      </c>
      <c r="F272" s="100" t="s">
        <v>666</v>
      </c>
      <c r="G272" s="100" t="s">
        <v>811</v>
      </c>
      <c r="H272" s="100" t="s">
        <v>62</v>
      </c>
      <c r="I272" s="100"/>
      <c r="J272" s="100" t="s">
        <v>60</v>
      </c>
      <c r="K272" s="96" t="s">
        <v>40</v>
      </c>
      <c r="L272" s="99">
        <f t="shared" si="6"/>
        <v>45800</v>
      </c>
      <c r="M272" s="98">
        <f t="shared" si="7"/>
        <v>1</v>
      </c>
      <c r="N272" s="96" t="s">
        <v>596</v>
      </c>
      <c r="O272" s="96"/>
      <c r="P272" s="97" t="s">
        <v>472</v>
      </c>
      <c r="Q272" s="96">
        <v>1</v>
      </c>
      <c r="R272" s="96"/>
      <c r="S272" s="96" t="s">
        <v>817</v>
      </c>
      <c r="T272" s="95">
        <v>45800</v>
      </c>
      <c r="U272" s="94" t="s">
        <v>815</v>
      </c>
      <c r="V272" s="125"/>
      <c r="W272" s="125"/>
      <c r="X272" s="125"/>
      <c r="Y272" s="125"/>
      <c r="Z272" s="125"/>
      <c r="AA272" s="125"/>
      <c r="AB272" s="125"/>
      <c r="AC272" s="125"/>
      <c r="AD272" s="125"/>
      <c r="AE272" s="125"/>
      <c r="AF272" s="125"/>
      <c r="AG272" s="125"/>
      <c r="AH272" s="125"/>
      <c r="AI272" s="125"/>
      <c r="AJ272" s="125"/>
      <c r="AK272" s="125"/>
      <c r="AL272" s="125"/>
      <c r="AM272" s="125"/>
      <c r="AN272" s="125"/>
      <c r="AO272" s="125"/>
      <c r="AP272" s="125"/>
      <c r="AQ272" s="125"/>
      <c r="AR272" s="125"/>
      <c r="AS272" s="125"/>
      <c r="AT272" s="125"/>
      <c r="AU272" s="125"/>
      <c r="AV272" s="125"/>
      <c r="AW272" s="125"/>
      <c r="AX272" s="125"/>
      <c r="AY272" s="125"/>
      <c r="AZ272" s="125"/>
      <c r="BA272" s="125"/>
      <c r="BB272" s="125"/>
      <c r="BC272" s="125"/>
      <c r="BD272" s="125"/>
      <c r="BE272" s="125"/>
      <c r="BF272" s="125"/>
      <c r="BG272" s="125"/>
      <c r="BH272" s="125"/>
    </row>
    <row r="273" spans="1:60" s="124" customFormat="1" ht="116.25">
      <c r="A273" s="127"/>
      <c r="B273" s="92" t="s">
        <v>447</v>
      </c>
      <c r="C273" s="100" t="s">
        <v>488</v>
      </c>
      <c r="D273" s="100"/>
      <c r="E273" s="100" t="s">
        <v>667</v>
      </c>
      <c r="F273" s="100" t="s">
        <v>666</v>
      </c>
      <c r="G273" s="100" t="s">
        <v>811</v>
      </c>
      <c r="H273" s="100" t="s">
        <v>216</v>
      </c>
      <c r="I273" s="100"/>
      <c r="J273" s="100" t="s">
        <v>214</v>
      </c>
      <c r="K273" s="96" t="s">
        <v>63</v>
      </c>
      <c r="L273" s="99">
        <f t="shared" si="6"/>
        <v>150900</v>
      </c>
      <c r="M273" s="98">
        <f t="shared" si="7"/>
        <v>1</v>
      </c>
      <c r="N273" s="96" t="s">
        <v>596</v>
      </c>
      <c r="O273" s="96"/>
      <c r="P273" s="97" t="s">
        <v>472</v>
      </c>
      <c r="Q273" s="98">
        <v>1</v>
      </c>
      <c r="R273" s="98"/>
      <c r="S273" s="96" t="s">
        <v>816</v>
      </c>
      <c r="T273" s="95">
        <v>150900</v>
      </c>
      <c r="U273" s="109" t="s">
        <v>815</v>
      </c>
      <c r="V273" s="125"/>
      <c r="W273" s="125"/>
      <c r="X273" s="125"/>
      <c r="Y273" s="125"/>
      <c r="Z273" s="125"/>
      <c r="AA273" s="125"/>
      <c r="AB273" s="125"/>
      <c r="AC273" s="125"/>
      <c r="AD273" s="125"/>
      <c r="AE273" s="125"/>
      <c r="AF273" s="125"/>
      <c r="AG273" s="125"/>
      <c r="AH273" s="125"/>
      <c r="AI273" s="125"/>
      <c r="AJ273" s="125"/>
      <c r="AK273" s="125"/>
      <c r="AL273" s="125"/>
      <c r="AM273" s="125"/>
      <c r="AN273" s="125"/>
      <c r="AO273" s="125"/>
      <c r="AP273" s="125"/>
      <c r="AQ273" s="125"/>
      <c r="AR273" s="125"/>
      <c r="AS273" s="125"/>
      <c r="AT273" s="125"/>
      <c r="AU273" s="125"/>
      <c r="AV273" s="125"/>
      <c r="AW273" s="125"/>
      <c r="AX273" s="125"/>
      <c r="AY273" s="125"/>
      <c r="AZ273" s="125"/>
      <c r="BA273" s="125"/>
      <c r="BB273" s="125"/>
      <c r="BC273" s="125"/>
      <c r="BD273" s="125"/>
      <c r="BE273" s="125"/>
      <c r="BF273" s="125"/>
      <c r="BG273" s="125"/>
      <c r="BH273" s="125"/>
    </row>
    <row r="274" spans="1:60" s="124" customFormat="1" ht="116.25">
      <c r="A274" s="127"/>
      <c r="B274" s="92" t="s">
        <v>447</v>
      </c>
      <c r="C274" s="100" t="s">
        <v>488</v>
      </c>
      <c r="D274" s="100"/>
      <c r="E274" s="100" t="s">
        <v>667</v>
      </c>
      <c r="F274" s="100" t="s">
        <v>666</v>
      </c>
      <c r="G274" s="100" t="s">
        <v>811</v>
      </c>
      <c r="H274" s="100" t="s">
        <v>243</v>
      </c>
      <c r="I274" s="100"/>
      <c r="J274" s="100" t="s">
        <v>241</v>
      </c>
      <c r="K274" s="96" t="s">
        <v>40</v>
      </c>
      <c r="L274" s="99">
        <f t="shared" si="6"/>
        <v>120000</v>
      </c>
      <c r="M274" s="98">
        <f t="shared" si="7"/>
        <v>1</v>
      </c>
      <c r="N274" s="98" t="s">
        <v>596</v>
      </c>
      <c r="O274" s="98"/>
      <c r="P274" s="97" t="s">
        <v>472</v>
      </c>
      <c r="Q274" s="98"/>
      <c r="R274" s="98">
        <v>1</v>
      </c>
      <c r="S274" s="96"/>
      <c r="T274" s="95">
        <v>120000</v>
      </c>
      <c r="U274" s="131" t="s">
        <v>814</v>
      </c>
      <c r="V274" s="125"/>
      <c r="W274" s="125"/>
      <c r="X274" s="125"/>
      <c r="Y274" s="125"/>
      <c r="Z274" s="125"/>
      <c r="AA274" s="125"/>
      <c r="AB274" s="125"/>
      <c r="AC274" s="125"/>
      <c r="AD274" s="125"/>
      <c r="AE274" s="125"/>
      <c r="AF274" s="125"/>
      <c r="AG274" s="125"/>
      <c r="AH274" s="125"/>
      <c r="AI274" s="125"/>
      <c r="AJ274" s="125"/>
      <c r="AK274" s="125"/>
      <c r="AL274" s="125"/>
      <c r="AM274" s="125"/>
      <c r="AN274" s="125"/>
      <c r="AO274" s="125"/>
      <c r="AP274" s="125"/>
      <c r="AQ274" s="125"/>
      <c r="AR274" s="125"/>
      <c r="AS274" s="125"/>
      <c r="AT274" s="125"/>
      <c r="AU274" s="125"/>
      <c r="AV274" s="125"/>
      <c r="AW274" s="125"/>
      <c r="AX274" s="125"/>
      <c r="AY274" s="125"/>
      <c r="AZ274" s="125"/>
      <c r="BA274" s="125"/>
      <c r="BB274" s="125"/>
      <c r="BC274" s="125"/>
      <c r="BD274" s="125"/>
      <c r="BE274" s="125"/>
      <c r="BF274" s="125"/>
      <c r="BG274" s="125"/>
      <c r="BH274" s="125"/>
    </row>
    <row r="275" spans="1:60" s="124" customFormat="1" ht="116.25">
      <c r="A275" s="127"/>
      <c r="B275" s="92" t="s">
        <v>447</v>
      </c>
      <c r="C275" s="100" t="s">
        <v>488</v>
      </c>
      <c r="D275" s="100"/>
      <c r="E275" s="100" t="s">
        <v>667</v>
      </c>
      <c r="F275" s="100" t="s">
        <v>666</v>
      </c>
      <c r="G275" s="100" t="s">
        <v>811</v>
      </c>
      <c r="H275" s="100" t="s">
        <v>45</v>
      </c>
      <c r="I275" s="100"/>
      <c r="J275" s="100" t="s">
        <v>41</v>
      </c>
      <c r="K275" s="96" t="s">
        <v>40</v>
      </c>
      <c r="L275" s="99">
        <f t="shared" si="6"/>
        <v>140000</v>
      </c>
      <c r="M275" s="98">
        <f t="shared" si="7"/>
        <v>1</v>
      </c>
      <c r="N275" s="96" t="s">
        <v>596</v>
      </c>
      <c r="O275" s="96"/>
      <c r="P275" s="97" t="s">
        <v>472</v>
      </c>
      <c r="Q275" s="96"/>
      <c r="R275" s="96">
        <v>1</v>
      </c>
      <c r="S275" s="96"/>
      <c r="T275" s="95">
        <v>140000</v>
      </c>
      <c r="U275" s="94" t="s">
        <v>808</v>
      </c>
      <c r="V275" s="125"/>
      <c r="W275" s="125"/>
      <c r="X275" s="125"/>
      <c r="Y275" s="125"/>
      <c r="Z275" s="125"/>
      <c r="AA275" s="125"/>
      <c r="AB275" s="125"/>
      <c r="AC275" s="125"/>
      <c r="AD275" s="125"/>
      <c r="AE275" s="125"/>
      <c r="AF275" s="125"/>
      <c r="AG275" s="125"/>
      <c r="AH275" s="125"/>
      <c r="AI275" s="125"/>
      <c r="AJ275" s="125"/>
      <c r="AK275" s="125"/>
      <c r="AL275" s="125"/>
      <c r="AM275" s="125"/>
      <c r="AN275" s="125"/>
      <c r="AO275" s="125"/>
      <c r="AP275" s="125"/>
      <c r="AQ275" s="125"/>
      <c r="AR275" s="125"/>
      <c r="AS275" s="125"/>
      <c r="AT275" s="125"/>
      <c r="AU275" s="125"/>
      <c r="AV275" s="125"/>
      <c r="AW275" s="125"/>
      <c r="AX275" s="125"/>
      <c r="AY275" s="125"/>
      <c r="AZ275" s="125"/>
      <c r="BA275" s="125"/>
      <c r="BB275" s="125"/>
      <c r="BC275" s="125"/>
      <c r="BD275" s="125"/>
      <c r="BE275" s="125"/>
      <c r="BF275" s="125"/>
      <c r="BG275" s="125"/>
      <c r="BH275" s="125"/>
    </row>
    <row r="276" spans="1:60" s="124" customFormat="1" ht="116.25">
      <c r="A276" s="127"/>
      <c r="B276" s="92" t="s">
        <v>447</v>
      </c>
      <c r="C276" s="100" t="s">
        <v>488</v>
      </c>
      <c r="D276" s="100"/>
      <c r="E276" s="100" t="s">
        <v>667</v>
      </c>
      <c r="F276" s="100" t="s">
        <v>666</v>
      </c>
      <c r="G276" s="100" t="s">
        <v>811</v>
      </c>
      <c r="H276" s="100" t="s">
        <v>385</v>
      </c>
      <c r="I276" s="100"/>
      <c r="J276" s="100" t="s">
        <v>383</v>
      </c>
      <c r="K276" s="96" t="s">
        <v>149</v>
      </c>
      <c r="L276" s="99">
        <f t="shared" si="6"/>
        <v>64100</v>
      </c>
      <c r="M276" s="98">
        <f t="shared" si="7"/>
        <v>1</v>
      </c>
      <c r="N276" s="96" t="s">
        <v>596</v>
      </c>
      <c r="O276" s="96"/>
      <c r="P276" s="97" t="s">
        <v>472</v>
      </c>
      <c r="Q276" s="96"/>
      <c r="R276" s="96">
        <v>1</v>
      </c>
      <c r="S276" s="96"/>
      <c r="T276" s="95">
        <v>64100</v>
      </c>
      <c r="U276" s="94" t="s">
        <v>813</v>
      </c>
      <c r="V276" s="125"/>
      <c r="W276" s="125"/>
      <c r="X276" s="125"/>
      <c r="Y276" s="125"/>
      <c r="Z276" s="125"/>
      <c r="AA276" s="125"/>
      <c r="AB276" s="125"/>
      <c r="AC276" s="125"/>
      <c r="AD276" s="125"/>
      <c r="AE276" s="125"/>
      <c r="AF276" s="125"/>
      <c r="AG276" s="125"/>
      <c r="AH276" s="125"/>
      <c r="AI276" s="125"/>
      <c r="AJ276" s="125"/>
      <c r="AK276" s="125"/>
      <c r="AL276" s="125"/>
      <c r="AM276" s="125"/>
      <c r="AN276" s="125"/>
      <c r="AO276" s="125"/>
      <c r="AP276" s="125"/>
      <c r="AQ276" s="125"/>
      <c r="AR276" s="125"/>
      <c r="AS276" s="125"/>
      <c r="AT276" s="125"/>
      <c r="AU276" s="125"/>
      <c r="AV276" s="125"/>
      <c r="AW276" s="125"/>
      <c r="AX276" s="125"/>
      <c r="AY276" s="125"/>
      <c r="AZ276" s="125"/>
      <c r="BA276" s="125"/>
      <c r="BB276" s="125"/>
      <c r="BC276" s="125"/>
      <c r="BD276" s="125"/>
      <c r="BE276" s="125"/>
      <c r="BF276" s="125"/>
      <c r="BG276" s="125"/>
      <c r="BH276" s="125"/>
    </row>
    <row r="277" spans="1:60" s="124" customFormat="1" ht="116.25">
      <c r="A277" s="127"/>
      <c r="B277" s="92" t="s">
        <v>447</v>
      </c>
      <c r="C277" s="100" t="s">
        <v>488</v>
      </c>
      <c r="D277" s="100"/>
      <c r="E277" s="100" t="s">
        <v>667</v>
      </c>
      <c r="F277" s="100" t="s">
        <v>666</v>
      </c>
      <c r="G277" s="100" t="s">
        <v>811</v>
      </c>
      <c r="H277" s="100" t="s">
        <v>195</v>
      </c>
      <c r="I277" s="100"/>
      <c r="J277" s="100" t="s">
        <v>193</v>
      </c>
      <c r="K277" s="96" t="s">
        <v>40</v>
      </c>
      <c r="L277" s="99">
        <f t="shared" si="6"/>
        <v>60500</v>
      </c>
      <c r="M277" s="98">
        <f t="shared" si="7"/>
        <v>1</v>
      </c>
      <c r="N277" s="96" t="s">
        <v>596</v>
      </c>
      <c r="O277" s="96"/>
      <c r="P277" s="97" t="s">
        <v>472</v>
      </c>
      <c r="Q277" s="96"/>
      <c r="R277" s="96">
        <v>1</v>
      </c>
      <c r="S277" s="96"/>
      <c r="T277" s="95">
        <v>60500</v>
      </c>
      <c r="U277" s="94" t="s">
        <v>812</v>
      </c>
      <c r="V277" s="125"/>
      <c r="W277" s="125"/>
      <c r="X277" s="125"/>
      <c r="Y277" s="125"/>
      <c r="Z277" s="125"/>
      <c r="AA277" s="125"/>
      <c r="AB277" s="125"/>
      <c r="AC277" s="125"/>
      <c r="AD277" s="125"/>
      <c r="AE277" s="125"/>
      <c r="AF277" s="125"/>
      <c r="AG277" s="125"/>
      <c r="AH277" s="125"/>
      <c r="AI277" s="125"/>
      <c r="AJ277" s="125"/>
      <c r="AK277" s="125"/>
      <c r="AL277" s="125"/>
      <c r="AM277" s="125"/>
      <c r="AN277" s="125"/>
      <c r="AO277" s="125"/>
      <c r="AP277" s="125"/>
      <c r="AQ277" s="125"/>
      <c r="AR277" s="125"/>
      <c r="AS277" s="125"/>
      <c r="AT277" s="125"/>
      <c r="AU277" s="125"/>
      <c r="AV277" s="125"/>
      <c r="AW277" s="125"/>
      <c r="AX277" s="125"/>
      <c r="AY277" s="125"/>
      <c r="AZ277" s="125"/>
      <c r="BA277" s="125"/>
      <c r="BB277" s="125"/>
      <c r="BC277" s="125"/>
      <c r="BD277" s="125"/>
      <c r="BE277" s="125"/>
      <c r="BF277" s="125"/>
      <c r="BG277" s="125"/>
      <c r="BH277" s="125"/>
    </row>
    <row r="278" spans="1:60" s="124" customFormat="1" ht="116.25">
      <c r="A278" s="127"/>
      <c r="B278" s="92" t="s">
        <v>447</v>
      </c>
      <c r="C278" s="100" t="s">
        <v>488</v>
      </c>
      <c r="D278" s="100"/>
      <c r="E278" s="100" t="s">
        <v>667</v>
      </c>
      <c r="F278" s="100" t="s">
        <v>666</v>
      </c>
      <c r="G278" s="100" t="s">
        <v>811</v>
      </c>
      <c r="H278" s="100" t="s">
        <v>450</v>
      </c>
      <c r="I278" s="100"/>
      <c r="J278" s="100" t="s">
        <v>445</v>
      </c>
      <c r="K278" s="96" t="s">
        <v>13</v>
      </c>
      <c r="L278" s="99">
        <f t="shared" si="6"/>
        <v>280650</v>
      </c>
      <c r="M278" s="98">
        <f t="shared" si="7"/>
        <v>1</v>
      </c>
      <c r="N278" s="96" t="s">
        <v>596</v>
      </c>
      <c r="O278" s="96"/>
      <c r="P278" s="97" t="s">
        <v>472</v>
      </c>
      <c r="Q278" s="96">
        <v>1</v>
      </c>
      <c r="R278" s="96"/>
      <c r="S278" s="96" t="s">
        <v>810</v>
      </c>
      <c r="T278" s="95">
        <v>280650</v>
      </c>
      <c r="U278" s="94" t="s">
        <v>809</v>
      </c>
      <c r="V278" s="125"/>
      <c r="W278" s="125"/>
      <c r="X278" s="125"/>
      <c r="Y278" s="125"/>
      <c r="Z278" s="125"/>
      <c r="AA278" s="125"/>
      <c r="AB278" s="125"/>
      <c r="AC278" s="125"/>
      <c r="AD278" s="125"/>
      <c r="AE278" s="125"/>
      <c r="AF278" s="125"/>
      <c r="AG278" s="125"/>
      <c r="AH278" s="125"/>
      <c r="AI278" s="125"/>
      <c r="AJ278" s="125"/>
      <c r="AK278" s="125"/>
      <c r="AL278" s="125"/>
      <c r="AM278" s="125"/>
      <c r="AN278" s="125"/>
      <c r="AO278" s="125"/>
      <c r="AP278" s="125"/>
      <c r="AQ278" s="125"/>
      <c r="AR278" s="125"/>
      <c r="AS278" s="125"/>
      <c r="AT278" s="125"/>
      <c r="AU278" s="125"/>
      <c r="AV278" s="125"/>
      <c r="AW278" s="125"/>
      <c r="AX278" s="125"/>
      <c r="AY278" s="125"/>
      <c r="AZ278" s="125"/>
      <c r="BA278" s="125"/>
      <c r="BB278" s="125"/>
      <c r="BC278" s="125"/>
      <c r="BD278" s="125"/>
      <c r="BE278" s="125"/>
      <c r="BF278" s="125"/>
      <c r="BG278" s="125"/>
      <c r="BH278" s="125"/>
    </row>
    <row r="279" spans="1:60" s="124" customFormat="1" ht="116.25">
      <c r="A279" s="127"/>
      <c r="B279" s="92" t="s">
        <v>447</v>
      </c>
      <c r="C279" s="100" t="s">
        <v>488</v>
      </c>
      <c r="D279" s="100"/>
      <c r="E279" s="100" t="s">
        <v>667</v>
      </c>
      <c r="F279" s="100" t="s">
        <v>666</v>
      </c>
      <c r="G279" s="100" t="s">
        <v>807</v>
      </c>
      <c r="H279" s="100" t="s">
        <v>461</v>
      </c>
      <c r="I279" s="100"/>
      <c r="J279" s="100" t="s">
        <v>439</v>
      </c>
      <c r="K279" s="96" t="s">
        <v>63</v>
      </c>
      <c r="L279" s="99">
        <f t="shared" si="6"/>
        <v>4990</v>
      </c>
      <c r="M279" s="98">
        <f t="shared" si="7"/>
        <v>1</v>
      </c>
      <c r="N279" s="96" t="s">
        <v>596</v>
      </c>
      <c r="O279" s="96"/>
      <c r="P279" s="97" t="s">
        <v>472</v>
      </c>
      <c r="Q279" s="96"/>
      <c r="R279" s="96">
        <v>1</v>
      </c>
      <c r="S279" s="96"/>
      <c r="T279" s="95">
        <v>4990</v>
      </c>
      <c r="U279" s="94" t="s">
        <v>804</v>
      </c>
      <c r="V279" s="125"/>
      <c r="W279" s="125"/>
      <c r="X279" s="125"/>
      <c r="Y279" s="125"/>
      <c r="Z279" s="125"/>
      <c r="AA279" s="125"/>
      <c r="AB279" s="125"/>
      <c r="AC279" s="125"/>
      <c r="AD279" s="125"/>
      <c r="AE279" s="125"/>
      <c r="AF279" s="125"/>
      <c r="AG279" s="125"/>
      <c r="AH279" s="125"/>
      <c r="AI279" s="125"/>
      <c r="AJ279" s="125"/>
      <c r="AK279" s="125"/>
      <c r="AL279" s="125"/>
      <c r="AM279" s="125"/>
      <c r="AN279" s="125"/>
      <c r="AO279" s="125"/>
      <c r="AP279" s="125"/>
      <c r="AQ279" s="125"/>
      <c r="AR279" s="125"/>
      <c r="AS279" s="125"/>
      <c r="AT279" s="125"/>
      <c r="AU279" s="125"/>
      <c r="AV279" s="125"/>
      <c r="AW279" s="125"/>
      <c r="AX279" s="125"/>
      <c r="AY279" s="125"/>
      <c r="AZ279" s="125"/>
      <c r="BA279" s="125"/>
      <c r="BB279" s="125"/>
      <c r="BC279" s="125"/>
      <c r="BD279" s="125"/>
      <c r="BE279" s="125"/>
      <c r="BF279" s="125"/>
      <c r="BG279" s="125"/>
      <c r="BH279" s="125"/>
    </row>
    <row r="280" spans="1:60" s="124" customFormat="1" ht="116.25">
      <c r="A280" s="127"/>
      <c r="B280" s="92" t="s">
        <v>447</v>
      </c>
      <c r="C280" s="100" t="s">
        <v>488</v>
      </c>
      <c r="D280" s="100"/>
      <c r="E280" s="100" t="s">
        <v>667</v>
      </c>
      <c r="F280" s="100" t="s">
        <v>666</v>
      </c>
      <c r="G280" s="100" t="s">
        <v>807</v>
      </c>
      <c r="H280" s="100" t="s">
        <v>45</v>
      </c>
      <c r="I280" s="100"/>
      <c r="J280" s="100" t="s">
        <v>41</v>
      </c>
      <c r="K280" s="96" t="s">
        <v>40</v>
      </c>
      <c r="L280" s="99">
        <f t="shared" si="6"/>
        <v>75000</v>
      </c>
      <c r="M280" s="98">
        <f t="shared" si="7"/>
        <v>1</v>
      </c>
      <c r="N280" s="96" t="s">
        <v>596</v>
      </c>
      <c r="O280" s="96"/>
      <c r="P280" s="97" t="s">
        <v>472</v>
      </c>
      <c r="Q280" s="96"/>
      <c r="R280" s="96">
        <v>1</v>
      </c>
      <c r="S280" s="96"/>
      <c r="T280" s="95">
        <v>75000</v>
      </c>
      <c r="U280" s="94" t="s">
        <v>804</v>
      </c>
      <c r="V280" s="125"/>
      <c r="W280" s="125"/>
      <c r="X280" s="125"/>
      <c r="Y280" s="125"/>
      <c r="Z280" s="125"/>
      <c r="AA280" s="125"/>
      <c r="AB280" s="125"/>
      <c r="AC280" s="125"/>
      <c r="AD280" s="125"/>
      <c r="AE280" s="125"/>
      <c r="AF280" s="125"/>
      <c r="AG280" s="125"/>
      <c r="AH280" s="125"/>
      <c r="AI280" s="125"/>
      <c r="AJ280" s="125"/>
      <c r="AK280" s="125"/>
      <c r="AL280" s="125"/>
      <c r="AM280" s="125"/>
      <c r="AN280" s="125"/>
      <c r="AO280" s="125"/>
      <c r="AP280" s="125"/>
      <c r="AQ280" s="125"/>
      <c r="AR280" s="125"/>
      <c r="AS280" s="125"/>
      <c r="AT280" s="125"/>
      <c r="AU280" s="125"/>
      <c r="AV280" s="125"/>
      <c r="AW280" s="125"/>
      <c r="AX280" s="125"/>
      <c r="AY280" s="125"/>
      <c r="AZ280" s="125"/>
      <c r="BA280" s="125"/>
      <c r="BB280" s="125"/>
      <c r="BC280" s="125"/>
      <c r="BD280" s="125"/>
      <c r="BE280" s="125"/>
      <c r="BF280" s="125"/>
      <c r="BG280" s="125"/>
      <c r="BH280" s="125"/>
    </row>
    <row r="281" spans="1:60" s="124" customFormat="1" ht="116.25">
      <c r="A281" s="127"/>
      <c r="B281" s="92" t="s">
        <v>447</v>
      </c>
      <c r="C281" s="100" t="s">
        <v>488</v>
      </c>
      <c r="D281" s="100"/>
      <c r="E281" s="100" t="s">
        <v>667</v>
      </c>
      <c r="F281" s="100" t="s">
        <v>666</v>
      </c>
      <c r="G281" s="100" t="s">
        <v>807</v>
      </c>
      <c r="H281" s="100" t="s">
        <v>426</v>
      </c>
      <c r="I281" s="100"/>
      <c r="J281" s="100" t="s">
        <v>424</v>
      </c>
      <c r="K281" s="96" t="s">
        <v>40</v>
      </c>
      <c r="L281" s="99">
        <f t="shared" si="6"/>
        <v>36300</v>
      </c>
      <c r="M281" s="98">
        <f t="shared" si="7"/>
        <v>1</v>
      </c>
      <c r="N281" s="96" t="s">
        <v>596</v>
      </c>
      <c r="O281" s="96"/>
      <c r="P281" s="97" t="s">
        <v>472</v>
      </c>
      <c r="Q281" s="96"/>
      <c r="R281" s="96">
        <v>1</v>
      </c>
      <c r="S281" s="96"/>
      <c r="T281" s="95">
        <v>36300</v>
      </c>
      <c r="U281" s="109" t="s">
        <v>808</v>
      </c>
      <c r="V281" s="125"/>
      <c r="W281" s="125"/>
      <c r="X281" s="125"/>
      <c r="Y281" s="125"/>
      <c r="Z281" s="125"/>
      <c r="AA281" s="125"/>
      <c r="AB281" s="125"/>
      <c r="AC281" s="125"/>
      <c r="AD281" s="125"/>
      <c r="AE281" s="125"/>
      <c r="AF281" s="125"/>
      <c r="AG281" s="125"/>
      <c r="AH281" s="125"/>
      <c r="AI281" s="125"/>
      <c r="AJ281" s="125"/>
      <c r="AK281" s="125"/>
      <c r="AL281" s="125"/>
      <c r="AM281" s="125"/>
      <c r="AN281" s="125"/>
      <c r="AO281" s="125"/>
      <c r="AP281" s="125"/>
      <c r="AQ281" s="125"/>
      <c r="AR281" s="125"/>
      <c r="AS281" s="125"/>
      <c r="AT281" s="125"/>
      <c r="AU281" s="125"/>
      <c r="AV281" s="125"/>
      <c r="AW281" s="125"/>
      <c r="AX281" s="125"/>
      <c r="AY281" s="125"/>
      <c r="AZ281" s="125"/>
      <c r="BA281" s="125"/>
      <c r="BB281" s="125"/>
      <c r="BC281" s="125"/>
      <c r="BD281" s="125"/>
      <c r="BE281" s="125"/>
      <c r="BF281" s="125"/>
      <c r="BG281" s="125"/>
      <c r="BH281" s="125"/>
    </row>
    <row r="282" spans="1:60" s="124" customFormat="1" ht="116.25">
      <c r="A282" s="127"/>
      <c r="B282" s="92" t="s">
        <v>447</v>
      </c>
      <c r="C282" s="100" t="s">
        <v>488</v>
      </c>
      <c r="D282" s="100"/>
      <c r="E282" s="100" t="s">
        <v>667</v>
      </c>
      <c r="F282" s="100" t="s">
        <v>666</v>
      </c>
      <c r="G282" s="100" t="s">
        <v>807</v>
      </c>
      <c r="H282" s="100" t="s">
        <v>463</v>
      </c>
      <c r="I282" s="100"/>
      <c r="J282" s="100" t="s">
        <v>438</v>
      </c>
      <c r="K282" s="96" t="s">
        <v>63</v>
      </c>
      <c r="L282" s="99">
        <f t="shared" si="6"/>
        <v>9900</v>
      </c>
      <c r="M282" s="98">
        <f t="shared" si="7"/>
        <v>1</v>
      </c>
      <c r="N282" s="96" t="s">
        <v>596</v>
      </c>
      <c r="O282" s="96"/>
      <c r="P282" s="97" t="s">
        <v>472</v>
      </c>
      <c r="Q282" s="96"/>
      <c r="R282" s="96">
        <v>1</v>
      </c>
      <c r="S282" s="96"/>
      <c r="T282" s="95">
        <v>9900</v>
      </c>
      <c r="U282" s="94" t="s">
        <v>804</v>
      </c>
      <c r="V282" s="125"/>
      <c r="W282" s="125"/>
      <c r="X282" s="125"/>
      <c r="Y282" s="125"/>
      <c r="Z282" s="125"/>
      <c r="AA282" s="125"/>
      <c r="AB282" s="125"/>
      <c r="AC282" s="125"/>
      <c r="AD282" s="125"/>
      <c r="AE282" s="125"/>
      <c r="AF282" s="125"/>
      <c r="AG282" s="125"/>
      <c r="AH282" s="125"/>
      <c r="AI282" s="125"/>
      <c r="AJ282" s="125"/>
      <c r="AK282" s="125"/>
      <c r="AL282" s="125"/>
      <c r="AM282" s="125"/>
      <c r="AN282" s="125"/>
      <c r="AO282" s="125"/>
      <c r="AP282" s="125"/>
      <c r="AQ282" s="125"/>
      <c r="AR282" s="125"/>
      <c r="AS282" s="125"/>
      <c r="AT282" s="125"/>
      <c r="AU282" s="125"/>
      <c r="AV282" s="125"/>
      <c r="AW282" s="125"/>
      <c r="AX282" s="125"/>
      <c r="AY282" s="125"/>
      <c r="AZ282" s="125"/>
      <c r="BA282" s="125"/>
      <c r="BB282" s="125"/>
      <c r="BC282" s="125"/>
      <c r="BD282" s="125"/>
      <c r="BE282" s="125"/>
      <c r="BF282" s="125"/>
      <c r="BG282" s="125"/>
      <c r="BH282" s="125"/>
    </row>
    <row r="283" spans="1:60" s="124" customFormat="1" ht="116.25">
      <c r="A283" s="127"/>
      <c r="B283" s="92" t="s">
        <v>447</v>
      </c>
      <c r="C283" s="100" t="s">
        <v>488</v>
      </c>
      <c r="D283" s="100"/>
      <c r="E283" s="100" t="s">
        <v>667</v>
      </c>
      <c r="F283" s="100" t="s">
        <v>666</v>
      </c>
      <c r="G283" s="100" t="s">
        <v>806</v>
      </c>
      <c r="H283" s="100" t="s">
        <v>135</v>
      </c>
      <c r="I283" s="100"/>
      <c r="J283" s="100" t="s">
        <v>133</v>
      </c>
      <c r="K283" s="96" t="s">
        <v>63</v>
      </c>
      <c r="L283" s="99">
        <f t="shared" si="6"/>
        <v>9133</v>
      </c>
      <c r="M283" s="98">
        <f t="shared" si="7"/>
        <v>1</v>
      </c>
      <c r="N283" s="96" t="s">
        <v>596</v>
      </c>
      <c r="O283" s="96"/>
      <c r="P283" s="97" t="s">
        <v>472</v>
      </c>
      <c r="Q283" s="96"/>
      <c r="R283" s="96">
        <v>1</v>
      </c>
      <c r="S283" s="96"/>
      <c r="T283" s="95">
        <v>9133</v>
      </c>
      <c r="U283" s="94" t="s">
        <v>804</v>
      </c>
      <c r="V283" s="125"/>
      <c r="W283" s="125"/>
      <c r="X283" s="125"/>
      <c r="Y283" s="125"/>
      <c r="Z283" s="125"/>
      <c r="AA283" s="125"/>
      <c r="AB283" s="125"/>
      <c r="AC283" s="125"/>
      <c r="AD283" s="125"/>
      <c r="AE283" s="125"/>
      <c r="AF283" s="125"/>
      <c r="AG283" s="125"/>
      <c r="AH283" s="125"/>
      <c r="AI283" s="125"/>
      <c r="AJ283" s="125"/>
      <c r="AK283" s="125"/>
      <c r="AL283" s="125"/>
      <c r="AM283" s="125"/>
      <c r="AN283" s="125"/>
      <c r="AO283" s="125"/>
      <c r="AP283" s="125"/>
      <c r="AQ283" s="125"/>
      <c r="AR283" s="125"/>
      <c r="AS283" s="125"/>
      <c r="AT283" s="125"/>
      <c r="AU283" s="125"/>
      <c r="AV283" s="125"/>
      <c r="AW283" s="125"/>
      <c r="AX283" s="125"/>
      <c r="AY283" s="125"/>
      <c r="AZ283" s="125"/>
      <c r="BA283" s="125"/>
      <c r="BB283" s="125"/>
      <c r="BC283" s="125"/>
      <c r="BD283" s="125"/>
      <c r="BE283" s="125"/>
      <c r="BF283" s="125"/>
      <c r="BG283" s="125"/>
      <c r="BH283" s="125"/>
    </row>
    <row r="284" spans="1:60" s="124" customFormat="1" ht="116.25">
      <c r="A284" s="127"/>
      <c r="B284" s="92" t="s">
        <v>447</v>
      </c>
      <c r="C284" s="100" t="s">
        <v>488</v>
      </c>
      <c r="D284" s="100"/>
      <c r="E284" s="100" t="s">
        <v>667</v>
      </c>
      <c r="F284" s="100" t="s">
        <v>666</v>
      </c>
      <c r="G284" s="100" t="s">
        <v>806</v>
      </c>
      <c r="H284" s="100" t="s">
        <v>24</v>
      </c>
      <c r="I284" s="100"/>
      <c r="J284" s="100" t="s">
        <v>22</v>
      </c>
      <c r="K284" s="96" t="s">
        <v>13</v>
      </c>
      <c r="L284" s="99">
        <f t="shared" si="6"/>
        <v>39000</v>
      </c>
      <c r="M284" s="98">
        <f t="shared" si="7"/>
        <v>1</v>
      </c>
      <c r="N284" s="96" t="s">
        <v>558</v>
      </c>
      <c r="O284" s="96"/>
      <c r="P284" s="97" t="s">
        <v>472</v>
      </c>
      <c r="Q284" s="96"/>
      <c r="R284" s="96">
        <v>1</v>
      </c>
      <c r="S284" s="96"/>
      <c r="T284" s="95">
        <v>39000</v>
      </c>
      <c r="U284" s="94"/>
      <c r="V284" s="125"/>
      <c r="W284" s="125"/>
      <c r="X284" s="125"/>
      <c r="Y284" s="125"/>
      <c r="Z284" s="125"/>
      <c r="AA284" s="125"/>
      <c r="AB284" s="125"/>
      <c r="AC284" s="125"/>
      <c r="AD284" s="125"/>
      <c r="AE284" s="125"/>
      <c r="AF284" s="125"/>
      <c r="AG284" s="125"/>
      <c r="AH284" s="125"/>
      <c r="AI284" s="125"/>
      <c r="AJ284" s="125"/>
      <c r="AK284" s="125"/>
      <c r="AL284" s="125"/>
      <c r="AM284" s="125"/>
      <c r="AN284" s="125"/>
      <c r="AO284" s="125"/>
      <c r="AP284" s="125"/>
      <c r="AQ284" s="125"/>
      <c r="AR284" s="125"/>
      <c r="AS284" s="125"/>
      <c r="AT284" s="125"/>
      <c r="AU284" s="125"/>
      <c r="AV284" s="125"/>
      <c r="AW284" s="125"/>
      <c r="AX284" s="125"/>
      <c r="AY284" s="125"/>
      <c r="AZ284" s="125"/>
      <c r="BA284" s="125"/>
      <c r="BB284" s="125"/>
      <c r="BC284" s="125"/>
      <c r="BD284" s="125"/>
      <c r="BE284" s="125"/>
      <c r="BF284" s="125"/>
      <c r="BG284" s="125"/>
      <c r="BH284" s="125"/>
    </row>
    <row r="285" spans="1:60" s="124" customFormat="1" ht="116.25">
      <c r="A285" s="127"/>
      <c r="B285" s="92" t="s">
        <v>447</v>
      </c>
      <c r="C285" s="100" t="s">
        <v>488</v>
      </c>
      <c r="D285" s="100"/>
      <c r="E285" s="100" t="s">
        <v>667</v>
      </c>
      <c r="F285" s="100" t="s">
        <v>666</v>
      </c>
      <c r="G285" s="100" t="s">
        <v>806</v>
      </c>
      <c r="H285" s="100" t="s">
        <v>29</v>
      </c>
      <c r="I285" s="100"/>
      <c r="J285" s="100" t="s">
        <v>27</v>
      </c>
      <c r="K285" s="96" t="s">
        <v>13</v>
      </c>
      <c r="L285" s="99">
        <f t="shared" si="6"/>
        <v>6900</v>
      </c>
      <c r="M285" s="98">
        <f t="shared" si="7"/>
        <v>1</v>
      </c>
      <c r="N285" s="96" t="s">
        <v>558</v>
      </c>
      <c r="O285" s="96"/>
      <c r="P285" s="97" t="s">
        <v>472</v>
      </c>
      <c r="Q285" s="96"/>
      <c r="R285" s="96">
        <v>1</v>
      </c>
      <c r="S285" s="96"/>
      <c r="T285" s="95">
        <v>6900</v>
      </c>
      <c r="U285" s="94"/>
      <c r="V285" s="125"/>
      <c r="W285" s="125"/>
      <c r="X285" s="125"/>
      <c r="Y285" s="125"/>
      <c r="Z285" s="125"/>
      <c r="AA285" s="125"/>
      <c r="AB285" s="125"/>
      <c r="AC285" s="125"/>
      <c r="AD285" s="125"/>
      <c r="AE285" s="125"/>
      <c r="AF285" s="125"/>
      <c r="AG285" s="125"/>
      <c r="AH285" s="125"/>
      <c r="AI285" s="125"/>
      <c r="AJ285" s="125"/>
      <c r="AK285" s="125"/>
      <c r="AL285" s="125"/>
      <c r="AM285" s="125"/>
      <c r="AN285" s="125"/>
      <c r="AO285" s="125"/>
      <c r="AP285" s="125"/>
      <c r="AQ285" s="125"/>
      <c r="AR285" s="125"/>
      <c r="AS285" s="125"/>
      <c r="AT285" s="125"/>
      <c r="AU285" s="125"/>
      <c r="AV285" s="125"/>
      <c r="AW285" s="125"/>
      <c r="AX285" s="125"/>
      <c r="AY285" s="125"/>
      <c r="AZ285" s="125"/>
      <c r="BA285" s="125"/>
      <c r="BB285" s="125"/>
      <c r="BC285" s="125"/>
      <c r="BD285" s="125"/>
      <c r="BE285" s="125"/>
      <c r="BF285" s="125"/>
      <c r="BG285" s="125"/>
      <c r="BH285" s="125"/>
    </row>
    <row r="286" spans="1:60" s="124" customFormat="1" ht="116.25">
      <c r="A286" s="127"/>
      <c r="B286" s="92" t="s">
        <v>447</v>
      </c>
      <c r="C286" s="100" t="s">
        <v>488</v>
      </c>
      <c r="D286" s="100"/>
      <c r="E286" s="100" t="s">
        <v>667</v>
      </c>
      <c r="F286" s="100" t="s">
        <v>666</v>
      </c>
      <c r="G286" s="100" t="s">
        <v>805</v>
      </c>
      <c r="H286" s="100" t="s">
        <v>135</v>
      </c>
      <c r="I286" s="100"/>
      <c r="J286" s="100" t="s">
        <v>133</v>
      </c>
      <c r="K286" s="96" t="s">
        <v>63</v>
      </c>
      <c r="L286" s="99">
        <v>4133</v>
      </c>
      <c r="M286" s="98">
        <f t="shared" si="7"/>
        <v>1</v>
      </c>
      <c r="N286" s="96" t="s">
        <v>596</v>
      </c>
      <c r="O286" s="96"/>
      <c r="P286" s="97" t="s">
        <v>472</v>
      </c>
      <c r="Q286" s="96"/>
      <c r="R286" s="96">
        <v>1</v>
      </c>
      <c r="S286" s="96"/>
      <c r="T286" s="95">
        <v>4133</v>
      </c>
      <c r="U286" s="94" t="s">
        <v>804</v>
      </c>
      <c r="V286" s="125"/>
      <c r="W286" s="125"/>
      <c r="X286" s="125"/>
      <c r="Y286" s="125"/>
      <c r="Z286" s="125"/>
      <c r="AA286" s="125"/>
      <c r="AB286" s="125"/>
      <c r="AC286" s="125"/>
      <c r="AD286" s="125"/>
      <c r="AE286" s="125"/>
      <c r="AF286" s="125"/>
      <c r="AG286" s="125"/>
      <c r="AH286" s="125"/>
      <c r="AI286" s="125"/>
      <c r="AJ286" s="125"/>
      <c r="AK286" s="125"/>
      <c r="AL286" s="125"/>
      <c r="AM286" s="125"/>
      <c r="AN286" s="125"/>
      <c r="AO286" s="125"/>
      <c r="AP286" s="125"/>
      <c r="AQ286" s="125"/>
      <c r="AR286" s="125"/>
      <c r="AS286" s="125"/>
      <c r="AT286" s="125"/>
      <c r="AU286" s="125"/>
      <c r="AV286" s="125"/>
      <c r="AW286" s="125"/>
      <c r="AX286" s="125"/>
      <c r="AY286" s="125"/>
      <c r="AZ286" s="125"/>
      <c r="BA286" s="125"/>
      <c r="BB286" s="125"/>
      <c r="BC286" s="125"/>
      <c r="BD286" s="125"/>
      <c r="BE286" s="125"/>
      <c r="BF286" s="125"/>
      <c r="BG286" s="125"/>
      <c r="BH286" s="125"/>
    </row>
    <row r="287" spans="1:60" s="124" customFormat="1" ht="116.25">
      <c r="A287" s="127"/>
      <c r="B287" s="92" t="s">
        <v>447</v>
      </c>
      <c r="C287" s="100" t="s">
        <v>488</v>
      </c>
      <c r="D287" s="100"/>
      <c r="E287" s="100" t="s">
        <v>667</v>
      </c>
      <c r="F287" s="100" t="s">
        <v>666</v>
      </c>
      <c r="G287" s="100" t="s">
        <v>801</v>
      </c>
      <c r="H287" s="100" t="s">
        <v>232</v>
      </c>
      <c r="I287" s="100"/>
      <c r="J287" s="100" t="s">
        <v>230</v>
      </c>
      <c r="K287" s="96" t="s">
        <v>13</v>
      </c>
      <c r="L287" s="99">
        <f t="shared" ref="L287:L318" si="8">M287*T287</f>
        <v>29000</v>
      </c>
      <c r="M287" s="98">
        <f t="shared" si="7"/>
        <v>1</v>
      </c>
      <c r="N287" s="96" t="s">
        <v>596</v>
      </c>
      <c r="O287" s="108" t="s">
        <v>472</v>
      </c>
      <c r="P287" s="96"/>
      <c r="Q287" s="96"/>
      <c r="R287" s="96">
        <v>1</v>
      </c>
      <c r="S287" s="96"/>
      <c r="T287" s="95">
        <v>29000</v>
      </c>
      <c r="U287" s="94" t="s">
        <v>802</v>
      </c>
      <c r="V287" s="125"/>
      <c r="W287" s="125"/>
      <c r="X287" s="125"/>
      <c r="Y287" s="125"/>
      <c r="Z287" s="125"/>
      <c r="AA287" s="125"/>
      <c r="AB287" s="125"/>
      <c r="AC287" s="125"/>
      <c r="AD287" s="125"/>
      <c r="AE287" s="125"/>
      <c r="AF287" s="125"/>
      <c r="AG287" s="125"/>
      <c r="AH287" s="125"/>
      <c r="AI287" s="125"/>
      <c r="AJ287" s="125"/>
      <c r="AK287" s="125"/>
      <c r="AL287" s="125"/>
      <c r="AM287" s="125"/>
      <c r="AN287" s="125"/>
      <c r="AO287" s="125"/>
      <c r="AP287" s="125"/>
      <c r="AQ287" s="125"/>
      <c r="AR287" s="125"/>
      <c r="AS287" s="125"/>
      <c r="AT287" s="125"/>
      <c r="AU287" s="125"/>
      <c r="AV287" s="125"/>
      <c r="AW287" s="125"/>
      <c r="AX287" s="125"/>
      <c r="AY287" s="125"/>
      <c r="AZ287" s="125"/>
      <c r="BA287" s="125"/>
      <c r="BB287" s="125"/>
      <c r="BC287" s="125"/>
      <c r="BD287" s="125"/>
      <c r="BE287" s="125"/>
      <c r="BF287" s="125"/>
      <c r="BG287" s="125"/>
      <c r="BH287" s="125"/>
    </row>
    <row r="288" spans="1:60" s="124" customFormat="1" ht="116.25">
      <c r="A288" s="127"/>
      <c r="B288" s="92" t="s">
        <v>447</v>
      </c>
      <c r="C288" s="100" t="s">
        <v>488</v>
      </c>
      <c r="D288" s="100"/>
      <c r="E288" s="100" t="s">
        <v>667</v>
      </c>
      <c r="F288" s="100" t="s">
        <v>666</v>
      </c>
      <c r="G288" s="100" t="s">
        <v>801</v>
      </c>
      <c r="H288" s="100" t="s">
        <v>456</v>
      </c>
      <c r="I288" s="100"/>
      <c r="J288" s="100" t="s">
        <v>442</v>
      </c>
      <c r="K288" s="96" t="s">
        <v>40</v>
      </c>
      <c r="L288" s="99">
        <f t="shared" si="8"/>
        <v>42500</v>
      </c>
      <c r="M288" s="98">
        <f t="shared" si="7"/>
        <v>10</v>
      </c>
      <c r="N288" s="96" t="s">
        <v>596</v>
      </c>
      <c r="O288" s="108" t="s">
        <v>472</v>
      </c>
      <c r="P288" s="96"/>
      <c r="Q288" s="96"/>
      <c r="R288" s="96">
        <v>10</v>
      </c>
      <c r="S288" s="96"/>
      <c r="T288" s="95">
        <v>4250</v>
      </c>
      <c r="U288" s="94" t="s">
        <v>802</v>
      </c>
      <c r="V288" s="125"/>
      <c r="W288" s="125"/>
      <c r="X288" s="125"/>
      <c r="Y288" s="125"/>
      <c r="Z288" s="125"/>
      <c r="AA288" s="125"/>
      <c r="AB288" s="125"/>
      <c r="AC288" s="125"/>
      <c r="AD288" s="125"/>
      <c r="AE288" s="125"/>
      <c r="AF288" s="125"/>
      <c r="AG288" s="125"/>
      <c r="AH288" s="125"/>
      <c r="AI288" s="125"/>
      <c r="AJ288" s="125"/>
      <c r="AK288" s="125"/>
      <c r="AL288" s="125"/>
      <c r="AM288" s="125"/>
      <c r="AN288" s="125"/>
      <c r="AO288" s="125"/>
      <c r="AP288" s="125"/>
      <c r="AQ288" s="125"/>
      <c r="AR288" s="125"/>
      <c r="AS288" s="125"/>
      <c r="AT288" s="125"/>
      <c r="AU288" s="125"/>
      <c r="AV288" s="125"/>
      <c r="AW288" s="125"/>
      <c r="AX288" s="125"/>
      <c r="AY288" s="125"/>
      <c r="AZ288" s="125"/>
      <c r="BA288" s="125"/>
      <c r="BB288" s="125"/>
      <c r="BC288" s="125"/>
      <c r="BD288" s="125"/>
      <c r="BE288" s="125"/>
      <c r="BF288" s="125"/>
      <c r="BG288" s="125"/>
      <c r="BH288" s="125"/>
    </row>
    <row r="289" spans="1:60" s="124" customFormat="1" ht="116.25">
      <c r="A289" s="127"/>
      <c r="B289" s="92" t="s">
        <v>447</v>
      </c>
      <c r="C289" s="100" t="s">
        <v>488</v>
      </c>
      <c r="D289" s="100"/>
      <c r="E289" s="100" t="s">
        <v>667</v>
      </c>
      <c r="F289" s="100" t="s">
        <v>666</v>
      </c>
      <c r="G289" s="100" t="s">
        <v>801</v>
      </c>
      <c r="H289" s="100" t="s">
        <v>135</v>
      </c>
      <c r="I289" s="100"/>
      <c r="J289" s="100" t="s">
        <v>133</v>
      </c>
      <c r="K289" s="96" t="s">
        <v>63</v>
      </c>
      <c r="L289" s="99">
        <f t="shared" si="8"/>
        <v>76000</v>
      </c>
      <c r="M289" s="98">
        <f t="shared" si="7"/>
        <v>1</v>
      </c>
      <c r="N289" s="96" t="s">
        <v>596</v>
      </c>
      <c r="O289" s="96"/>
      <c r="P289" s="97" t="s">
        <v>472</v>
      </c>
      <c r="Q289" s="96">
        <v>1</v>
      </c>
      <c r="R289" s="96"/>
      <c r="S289" s="134"/>
      <c r="T289" s="95">
        <v>76000</v>
      </c>
      <c r="U289" s="109" t="s">
        <v>803</v>
      </c>
      <c r="V289" s="125"/>
      <c r="W289" s="125"/>
      <c r="X289" s="125"/>
      <c r="Y289" s="125"/>
      <c r="Z289" s="125"/>
      <c r="AA289" s="125"/>
      <c r="AB289" s="125"/>
      <c r="AC289" s="125"/>
      <c r="AD289" s="125"/>
      <c r="AE289" s="125"/>
      <c r="AF289" s="125"/>
      <c r="AG289" s="125"/>
      <c r="AH289" s="125"/>
      <c r="AI289" s="125"/>
      <c r="AJ289" s="125"/>
      <c r="AK289" s="125"/>
      <c r="AL289" s="125"/>
      <c r="AM289" s="125"/>
      <c r="AN289" s="125"/>
      <c r="AO289" s="125"/>
      <c r="AP289" s="125"/>
      <c r="AQ289" s="125"/>
      <c r="AR289" s="125"/>
      <c r="AS289" s="125"/>
      <c r="AT289" s="125"/>
      <c r="AU289" s="125"/>
      <c r="AV289" s="125"/>
      <c r="AW289" s="125"/>
      <c r="AX289" s="125"/>
      <c r="AY289" s="125"/>
      <c r="AZ289" s="125"/>
      <c r="BA289" s="125"/>
      <c r="BB289" s="125"/>
      <c r="BC289" s="125"/>
      <c r="BD289" s="125"/>
      <c r="BE289" s="125"/>
      <c r="BF289" s="125"/>
      <c r="BG289" s="125"/>
      <c r="BH289" s="125"/>
    </row>
    <row r="290" spans="1:60" s="124" customFormat="1" ht="116.25">
      <c r="A290" s="127"/>
      <c r="B290" s="92" t="s">
        <v>447</v>
      </c>
      <c r="C290" s="100" t="s">
        <v>488</v>
      </c>
      <c r="D290" s="100"/>
      <c r="E290" s="100" t="s">
        <v>667</v>
      </c>
      <c r="F290" s="100" t="s">
        <v>666</v>
      </c>
      <c r="G290" s="100" t="s">
        <v>801</v>
      </c>
      <c r="H290" s="100" t="s">
        <v>426</v>
      </c>
      <c r="I290" s="100"/>
      <c r="J290" s="100" t="s">
        <v>424</v>
      </c>
      <c r="K290" s="96" t="s">
        <v>40</v>
      </c>
      <c r="L290" s="99">
        <f t="shared" si="8"/>
        <v>76000</v>
      </c>
      <c r="M290" s="98">
        <f t="shared" si="7"/>
        <v>20</v>
      </c>
      <c r="N290" s="96" t="s">
        <v>596</v>
      </c>
      <c r="O290" s="108" t="s">
        <v>472</v>
      </c>
      <c r="P290" s="96"/>
      <c r="Q290" s="96"/>
      <c r="R290" s="96">
        <v>20</v>
      </c>
      <c r="S290" s="96"/>
      <c r="T290" s="95">
        <v>3800</v>
      </c>
      <c r="U290" s="94" t="s">
        <v>802</v>
      </c>
      <c r="V290" s="125"/>
      <c r="W290" s="125"/>
      <c r="X290" s="125"/>
      <c r="Y290" s="125"/>
      <c r="Z290" s="125"/>
      <c r="AA290" s="125"/>
      <c r="AB290" s="125"/>
      <c r="AC290" s="125"/>
      <c r="AD290" s="125"/>
      <c r="AE290" s="125"/>
      <c r="AF290" s="125"/>
      <c r="AG290" s="125"/>
      <c r="AH290" s="125"/>
      <c r="AI290" s="125"/>
      <c r="AJ290" s="125"/>
      <c r="AK290" s="125"/>
      <c r="AL290" s="125"/>
      <c r="AM290" s="125"/>
      <c r="AN290" s="125"/>
      <c r="AO290" s="125"/>
      <c r="AP290" s="125"/>
      <c r="AQ290" s="125"/>
      <c r="AR290" s="125"/>
      <c r="AS290" s="125"/>
      <c r="AT290" s="125"/>
      <c r="AU290" s="125"/>
      <c r="AV290" s="125"/>
      <c r="AW290" s="125"/>
      <c r="AX290" s="125"/>
      <c r="AY290" s="125"/>
      <c r="AZ290" s="125"/>
      <c r="BA290" s="125"/>
      <c r="BB290" s="125"/>
      <c r="BC290" s="125"/>
      <c r="BD290" s="125"/>
      <c r="BE290" s="125"/>
      <c r="BF290" s="125"/>
      <c r="BG290" s="125"/>
      <c r="BH290" s="125"/>
    </row>
    <row r="291" spans="1:60" s="124" customFormat="1" ht="116.25">
      <c r="A291" s="127"/>
      <c r="B291" s="92" t="s">
        <v>447</v>
      </c>
      <c r="C291" s="100" t="s">
        <v>488</v>
      </c>
      <c r="D291" s="100"/>
      <c r="E291" s="100" t="s">
        <v>667</v>
      </c>
      <c r="F291" s="100" t="s">
        <v>666</v>
      </c>
      <c r="G291" s="100" t="s">
        <v>801</v>
      </c>
      <c r="H291" s="100" t="s">
        <v>156</v>
      </c>
      <c r="I291" s="100"/>
      <c r="J291" s="96" t="s">
        <v>154</v>
      </c>
      <c r="K291" s="96" t="s">
        <v>149</v>
      </c>
      <c r="L291" s="99">
        <f t="shared" si="8"/>
        <v>90980</v>
      </c>
      <c r="M291" s="98">
        <f t="shared" si="7"/>
        <v>1</v>
      </c>
      <c r="N291" s="96" t="s">
        <v>596</v>
      </c>
      <c r="O291" s="108" t="s">
        <v>472</v>
      </c>
      <c r="P291" s="96"/>
      <c r="Q291" s="96"/>
      <c r="R291" s="96">
        <v>1</v>
      </c>
      <c r="S291" s="96"/>
      <c r="T291" s="95">
        <v>90980</v>
      </c>
      <c r="U291" s="94" t="s">
        <v>802</v>
      </c>
      <c r="V291" s="125"/>
      <c r="W291" s="125"/>
      <c r="X291" s="125"/>
      <c r="Y291" s="125"/>
      <c r="Z291" s="125"/>
      <c r="AA291" s="125"/>
      <c r="AB291" s="125"/>
      <c r="AC291" s="125"/>
      <c r="AD291" s="125"/>
      <c r="AE291" s="125"/>
      <c r="AF291" s="125"/>
      <c r="AG291" s="125"/>
      <c r="AH291" s="125"/>
      <c r="AI291" s="125"/>
      <c r="AJ291" s="125"/>
      <c r="AK291" s="125"/>
      <c r="AL291" s="125"/>
      <c r="AM291" s="125"/>
      <c r="AN291" s="125"/>
      <c r="AO291" s="125"/>
      <c r="AP291" s="125"/>
      <c r="AQ291" s="125"/>
      <c r="AR291" s="125"/>
      <c r="AS291" s="125"/>
      <c r="AT291" s="125"/>
      <c r="AU291" s="125"/>
      <c r="AV291" s="125"/>
      <c r="AW291" s="125"/>
      <c r="AX291" s="125"/>
      <c r="AY291" s="125"/>
      <c r="AZ291" s="125"/>
      <c r="BA291" s="125"/>
      <c r="BB291" s="125"/>
      <c r="BC291" s="125"/>
      <c r="BD291" s="125"/>
      <c r="BE291" s="125"/>
      <c r="BF291" s="125"/>
      <c r="BG291" s="125"/>
      <c r="BH291" s="125"/>
    </row>
    <row r="292" spans="1:60" s="124" customFormat="1" ht="116.25">
      <c r="A292" s="127"/>
      <c r="B292" s="92" t="s">
        <v>447</v>
      </c>
      <c r="C292" s="100" t="s">
        <v>488</v>
      </c>
      <c r="D292" s="100"/>
      <c r="E292" s="100" t="s">
        <v>667</v>
      </c>
      <c r="F292" s="100" t="s">
        <v>666</v>
      </c>
      <c r="G292" s="100" t="s">
        <v>801</v>
      </c>
      <c r="H292" s="100" t="s">
        <v>45</v>
      </c>
      <c r="I292" s="100"/>
      <c r="J292" s="100" t="s">
        <v>41</v>
      </c>
      <c r="K292" s="96" t="s">
        <v>40</v>
      </c>
      <c r="L292" s="99">
        <f t="shared" si="8"/>
        <v>140000</v>
      </c>
      <c r="M292" s="98">
        <f t="shared" si="7"/>
        <v>1</v>
      </c>
      <c r="N292" s="96" t="s">
        <v>558</v>
      </c>
      <c r="O292" s="96"/>
      <c r="P292" s="97" t="s">
        <v>472</v>
      </c>
      <c r="Q292" s="96">
        <v>1</v>
      </c>
      <c r="R292" s="96"/>
      <c r="S292" s="96" t="s">
        <v>800</v>
      </c>
      <c r="T292" s="95">
        <v>140000</v>
      </c>
      <c r="U292" s="94" t="s">
        <v>799</v>
      </c>
      <c r="V292" s="125"/>
      <c r="W292" s="125"/>
      <c r="X292" s="125"/>
      <c r="Y292" s="125"/>
      <c r="Z292" s="125"/>
      <c r="AA292" s="125"/>
      <c r="AB292" s="125"/>
      <c r="AC292" s="125"/>
      <c r="AD292" s="125"/>
      <c r="AE292" s="125"/>
      <c r="AF292" s="125"/>
      <c r="AG292" s="125"/>
      <c r="AH292" s="125"/>
      <c r="AI292" s="125"/>
      <c r="AJ292" s="125"/>
      <c r="AK292" s="125"/>
      <c r="AL292" s="125"/>
      <c r="AM292" s="125"/>
      <c r="AN292" s="125"/>
      <c r="AO292" s="125"/>
      <c r="AP292" s="125"/>
      <c r="AQ292" s="125"/>
      <c r="AR292" s="125"/>
      <c r="AS292" s="125"/>
      <c r="AT292" s="125"/>
      <c r="AU292" s="125"/>
      <c r="AV292" s="125"/>
      <c r="AW292" s="125"/>
      <c r="AX292" s="125"/>
      <c r="AY292" s="125"/>
      <c r="AZ292" s="125"/>
      <c r="BA292" s="125"/>
      <c r="BB292" s="125"/>
      <c r="BC292" s="125"/>
      <c r="BD292" s="125"/>
      <c r="BE292" s="125"/>
      <c r="BF292" s="125"/>
      <c r="BG292" s="125"/>
      <c r="BH292" s="125"/>
    </row>
    <row r="293" spans="1:60" s="124" customFormat="1" ht="116.25">
      <c r="A293" s="127"/>
      <c r="B293" s="92" t="s">
        <v>447</v>
      </c>
      <c r="C293" s="100" t="s">
        <v>488</v>
      </c>
      <c r="D293" s="100"/>
      <c r="E293" s="100" t="s">
        <v>667</v>
      </c>
      <c r="F293" s="100" t="s">
        <v>666</v>
      </c>
      <c r="G293" s="100" t="s">
        <v>798</v>
      </c>
      <c r="H293" s="100" t="s">
        <v>124</v>
      </c>
      <c r="I293" s="100"/>
      <c r="J293" s="100" t="s">
        <v>122</v>
      </c>
      <c r="K293" s="96" t="s">
        <v>63</v>
      </c>
      <c r="L293" s="99">
        <f t="shared" si="8"/>
        <v>72000</v>
      </c>
      <c r="M293" s="98">
        <f t="shared" si="7"/>
        <v>6</v>
      </c>
      <c r="N293" s="96" t="s">
        <v>558</v>
      </c>
      <c r="O293" s="143" t="s">
        <v>472</v>
      </c>
      <c r="P293" s="98"/>
      <c r="Q293" s="98"/>
      <c r="R293" s="98">
        <v>6</v>
      </c>
      <c r="S293" s="98"/>
      <c r="T293" s="95">
        <v>12000</v>
      </c>
      <c r="U293" s="131" t="s">
        <v>797</v>
      </c>
      <c r="V293" s="125"/>
      <c r="W293" s="125"/>
      <c r="X293" s="125"/>
      <c r="Y293" s="125"/>
      <c r="Z293" s="125"/>
      <c r="AA293" s="125"/>
      <c r="AB293" s="125"/>
      <c r="AC293" s="125"/>
      <c r="AD293" s="125"/>
      <c r="AE293" s="125"/>
      <c r="AF293" s="125"/>
      <c r="AG293" s="125"/>
      <c r="AH293" s="125"/>
      <c r="AI293" s="125"/>
      <c r="AJ293" s="125"/>
      <c r="AK293" s="125"/>
      <c r="AL293" s="125"/>
      <c r="AM293" s="125"/>
      <c r="AN293" s="125"/>
      <c r="AO293" s="125"/>
      <c r="AP293" s="125"/>
      <c r="AQ293" s="125"/>
      <c r="AR293" s="125"/>
      <c r="AS293" s="125"/>
      <c r="AT293" s="125"/>
      <c r="AU293" s="125"/>
      <c r="AV293" s="125"/>
      <c r="AW293" s="125"/>
      <c r="AX293" s="125"/>
      <c r="AY293" s="125"/>
      <c r="AZ293" s="125"/>
      <c r="BA293" s="125"/>
      <c r="BB293" s="125"/>
      <c r="BC293" s="125"/>
      <c r="BD293" s="125"/>
      <c r="BE293" s="125"/>
      <c r="BF293" s="125"/>
      <c r="BG293" s="125"/>
      <c r="BH293" s="125"/>
    </row>
    <row r="294" spans="1:60" s="136" customFormat="1" ht="126">
      <c r="A294" s="127"/>
      <c r="B294" s="110" t="s">
        <v>447</v>
      </c>
      <c r="C294" s="118" t="s">
        <v>527</v>
      </c>
      <c r="D294" s="118"/>
      <c r="E294" s="118" t="s">
        <v>667</v>
      </c>
      <c r="F294" s="118" t="s">
        <v>666</v>
      </c>
      <c r="G294" s="118" t="s">
        <v>764</v>
      </c>
      <c r="H294" s="118" t="s">
        <v>201</v>
      </c>
      <c r="I294" s="118"/>
      <c r="J294" s="118" t="s">
        <v>199</v>
      </c>
      <c r="K294" s="113" t="s">
        <v>63</v>
      </c>
      <c r="L294" s="121">
        <f t="shared" si="8"/>
        <v>1498000</v>
      </c>
      <c r="M294" s="116">
        <f t="shared" si="7"/>
        <v>1</v>
      </c>
      <c r="N294" s="113" t="s">
        <v>533</v>
      </c>
      <c r="O294" s="113"/>
      <c r="P294" s="138" t="s">
        <v>472</v>
      </c>
      <c r="Q294" s="113">
        <v>1</v>
      </c>
      <c r="R294" s="113"/>
      <c r="S294" s="113" t="s">
        <v>796</v>
      </c>
      <c r="T294" s="120">
        <v>1498000</v>
      </c>
      <c r="U294" s="111" t="s">
        <v>795</v>
      </c>
      <c r="V294" s="137"/>
      <c r="W294" s="137"/>
      <c r="X294" s="137"/>
      <c r="Y294" s="137"/>
      <c r="Z294" s="137"/>
      <c r="AA294" s="137"/>
      <c r="AB294" s="137"/>
      <c r="AC294" s="137"/>
      <c r="AD294" s="137"/>
      <c r="AE294" s="137"/>
      <c r="AF294" s="137"/>
      <c r="AG294" s="137"/>
      <c r="AH294" s="137"/>
      <c r="AI294" s="137"/>
      <c r="AJ294" s="137"/>
      <c r="AK294" s="137"/>
      <c r="AL294" s="137"/>
      <c r="AM294" s="137"/>
      <c r="AN294" s="137"/>
      <c r="AO294" s="137"/>
      <c r="AP294" s="137"/>
      <c r="AQ294" s="137"/>
      <c r="AR294" s="137"/>
      <c r="AS294" s="137"/>
      <c r="AT294" s="137"/>
      <c r="AU294" s="137"/>
      <c r="AV294" s="137"/>
      <c r="AW294" s="137"/>
      <c r="AX294" s="137"/>
      <c r="AY294" s="137"/>
      <c r="AZ294" s="137"/>
      <c r="BA294" s="137"/>
      <c r="BB294" s="137"/>
      <c r="BC294" s="137"/>
      <c r="BD294" s="137"/>
      <c r="BE294" s="137"/>
      <c r="BF294" s="137"/>
      <c r="BG294" s="137"/>
      <c r="BH294" s="137"/>
    </row>
    <row r="295" spans="1:60" s="136" customFormat="1" ht="126">
      <c r="A295" s="127"/>
      <c r="B295" s="110" t="s">
        <v>447</v>
      </c>
      <c r="C295" s="118" t="s">
        <v>527</v>
      </c>
      <c r="D295" s="118"/>
      <c r="E295" s="118" t="s">
        <v>667</v>
      </c>
      <c r="F295" s="118" t="s">
        <v>666</v>
      </c>
      <c r="G295" s="118" t="s">
        <v>761</v>
      </c>
      <c r="H295" s="118" t="s">
        <v>354</v>
      </c>
      <c r="I295" s="118"/>
      <c r="J295" s="118" t="s">
        <v>352</v>
      </c>
      <c r="K295" s="113" t="s">
        <v>63</v>
      </c>
      <c r="L295" s="121">
        <f t="shared" si="8"/>
        <v>1498000</v>
      </c>
      <c r="M295" s="116">
        <f t="shared" si="7"/>
        <v>1</v>
      </c>
      <c r="N295" s="113" t="s">
        <v>533</v>
      </c>
      <c r="O295" s="113"/>
      <c r="P295" s="138" t="s">
        <v>472</v>
      </c>
      <c r="Q295" s="113">
        <v>1</v>
      </c>
      <c r="R295" s="113"/>
      <c r="S295" s="113" t="s">
        <v>794</v>
      </c>
      <c r="T295" s="120">
        <v>1498000</v>
      </c>
      <c r="U295" s="111" t="s">
        <v>793</v>
      </c>
      <c r="V295" s="137"/>
      <c r="W295" s="137"/>
      <c r="X295" s="137"/>
      <c r="Y295" s="137"/>
      <c r="Z295" s="137"/>
      <c r="AA295" s="137"/>
      <c r="AB295" s="137"/>
      <c r="AC295" s="137"/>
      <c r="AD295" s="137"/>
      <c r="AE295" s="137"/>
      <c r="AF295" s="137"/>
      <c r="AG295" s="137"/>
      <c r="AH295" s="137"/>
      <c r="AI295" s="137"/>
      <c r="AJ295" s="137"/>
      <c r="AK295" s="137"/>
      <c r="AL295" s="137"/>
      <c r="AM295" s="137"/>
      <c r="AN295" s="137"/>
      <c r="AO295" s="137"/>
      <c r="AP295" s="137"/>
      <c r="AQ295" s="137"/>
      <c r="AR295" s="137"/>
      <c r="AS295" s="137"/>
      <c r="AT295" s="137"/>
      <c r="AU295" s="137"/>
      <c r="AV295" s="137"/>
      <c r="AW295" s="137"/>
      <c r="AX295" s="137"/>
      <c r="AY295" s="137"/>
      <c r="AZ295" s="137"/>
      <c r="BA295" s="137"/>
      <c r="BB295" s="137"/>
      <c r="BC295" s="137"/>
      <c r="BD295" s="137"/>
      <c r="BE295" s="137"/>
      <c r="BF295" s="137"/>
      <c r="BG295" s="137"/>
      <c r="BH295" s="137"/>
    </row>
    <row r="296" spans="1:60" s="136" customFormat="1" ht="126">
      <c r="A296" s="127"/>
      <c r="B296" s="110" t="s">
        <v>447</v>
      </c>
      <c r="C296" s="118" t="s">
        <v>527</v>
      </c>
      <c r="D296" s="118"/>
      <c r="E296" s="118" t="s">
        <v>667</v>
      </c>
      <c r="F296" s="118" t="s">
        <v>666</v>
      </c>
      <c r="G296" s="118" t="s">
        <v>761</v>
      </c>
      <c r="H296" s="118" t="s">
        <v>156</v>
      </c>
      <c r="I296" s="118"/>
      <c r="J296" s="113" t="s">
        <v>154</v>
      </c>
      <c r="K296" s="113" t="s">
        <v>149</v>
      </c>
      <c r="L296" s="121">
        <f t="shared" si="8"/>
        <v>1498000</v>
      </c>
      <c r="M296" s="116">
        <f t="shared" si="7"/>
        <v>1</v>
      </c>
      <c r="N296" s="113" t="s">
        <v>533</v>
      </c>
      <c r="O296" s="113"/>
      <c r="P296" s="138" t="s">
        <v>472</v>
      </c>
      <c r="Q296" s="113">
        <v>1</v>
      </c>
      <c r="R296" s="113"/>
      <c r="S296" s="113" t="s">
        <v>792</v>
      </c>
      <c r="T296" s="120">
        <v>1498000</v>
      </c>
      <c r="U296" s="111" t="s">
        <v>791</v>
      </c>
      <c r="V296" s="137"/>
      <c r="W296" s="137"/>
      <c r="X296" s="137"/>
      <c r="Y296" s="137"/>
      <c r="Z296" s="137"/>
      <c r="AA296" s="137"/>
      <c r="AB296" s="137"/>
      <c r="AC296" s="137"/>
      <c r="AD296" s="137"/>
      <c r="AE296" s="137"/>
      <c r="AF296" s="137"/>
      <c r="AG296" s="137"/>
      <c r="AH296" s="137"/>
      <c r="AI296" s="137"/>
      <c r="AJ296" s="137"/>
      <c r="AK296" s="137"/>
      <c r="AL296" s="137"/>
      <c r="AM296" s="137"/>
      <c r="AN296" s="137"/>
      <c r="AO296" s="137"/>
      <c r="AP296" s="137"/>
      <c r="AQ296" s="137"/>
      <c r="AR296" s="137"/>
      <c r="AS296" s="137"/>
      <c r="AT296" s="137"/>
      <c r="AU296" s="137"/>
      <c r="AV296" s="137"/>
      <c r="AW296" s="137"/>
      <c r="AX296" s="137"/>
      <c r="AY296" s="137"/>
      <c r="AZ296" s="137"/>
      <c r="BA296" s="137"/>
      <c r="BB296" s="137"/>
      <c r="BC296" s="137"/>
      <c r="BD296" s="137"/>
      <c r="BE296" s="137"/>
      <c r="BF296" s="137"/>
      <c r="BG296" s="137"/>
      <c r="BH296" s="137"/>
    </row>
    <row r="297" spans="1:60" s="136" customFormat="1" ht="126">
      <c r="A297" s="127"/>
      <c r="B297" s="110" t="s">
        <v>447</v>
      </c>
      <c r="C297" s="118" t="s">
        <v>527</v>
      </c>
      <c r="D297" s="118"/>
      <c r="E297" s="118" t="s">
        <v>667</v>
      </c>
      <c r="F297" s="118" t="s">
        <v>666</v>
      </c>
      <c r="G297" s="118" t="s">
        <v>790</v>
      </c>
      <c r="H297" s="118" t="s">
        <v>392</v>
      </c>
      <c r="I297" s="118"/>
      <c r="J297" s="118" t="s">
        <v>390</v>
      </c>
      <c r="K297" s="113" t="s">
        <v>149</v>
      </c>
      <c r="L297" s="121">
        <f t="shared" si="8"/>
        <v>1498000</v>
      </c>
      <c r="M297" s="116">
        <f t="shared" si="7"/>
        <v>1</v>
      </c>
      <c r="N297" s="113" t="s">
        <v>533</v>
      </c>
      <c r="O297" s="113"/>
      <c r="P297" s="138" t="s">
        <v>472</v>
      </c>
      <c r="Q297" s="113">
        <v>1</v>
      </c>
      <c r="R297" s="113"/>
      <c r="S297" s="113" t="s">
        <v>789</v>
      </c>
      <c r="T297" s="120">
        <v>1498000</v>
      </c>
      <c r="U297" s="111" t="s">
        <v>788</v>
      </c>
      <c r="V297" s="137"/>
      <c r="W297" s="137"/>
      <c r="X297" s="137"/>
      <c r="Y297" s="137"/>
      <c r="Z297" s="137"/>
      <c r="AA297" s="137"/>
      <c r="AB297" s="137"/>
      <c r="AC297" s="137"/>
      <c r="AD297" s="137"/>
      <c r="AE297" s="137"/>
      <c r="AF297" s="137"/>
      <c r="AG297" s="137"/>
      <c r="AH297" s="137"/>
      <c r="AI297" s="137"/>
      <c r="AJ297" s="137"/>
      <c r="AK297" s="137"/>
      <c r="AL297" s="137"/>
      <c r="AM297" s="137"/>
      <c r="AN297" s="137"/>
      <c r="AO297" s="137"/>
      <c r="AP297" s="137"/>
      <c r="AQ297" s="137"/>
      <c r="AR297" s="137"/>
      <c r="AS297" s="137"/>
      <c r="AT297" s="137"/>
      <c r="AU297" s="137"/>
      <c r="AV297" s="137"/>
      <c r="AW297" s="137"/>
      <c r="AX297" s="137"/>
      <c r="AY297" s="137"/>
      <c r="AZ297" s="137"/>
      <c r="BA297" s="137"/>
      <c r="BB297" s="137"/>
      <c r="BC297" s="137"/>
      <c r="BD297" s="137"/>
      <c r="BE297" s="137"/>
      <c r="BF297" s="137"/>
      <c r="BG297" s="137"/>
      <c r="BH297" s="137"/>
    </row>
    <row r="298" spans="1:60" s="136" customFormat="1" ht="126">
      <c r="A298" s="127"/>
      <c r="B298" s="110" t="s">
        <v>447</v>
      </c>
      <c r="C298" s="118" t="s">
        <v>527</v>
      </c>
      <c r="D298" s="118"/>
      <c r="E298" s="118" t="s">
        <v>667</v>
      </c>
      <c r="F298" s="118" t="s">
        <v>666</v>
      </c>
      <c r="G298" s="118" t="s">
        <v>761</v>
      </c>
      <c r="H298" s="118" t="s">
        <v>399</v>
      </c>
      <c r="I298" s="118"/>
      <c r="J298" s="118" t="s">
        <v>397</v>
      </c>
      <c r="K298" s="113" t="s">
        <v>149</v>
      </c>
      <c r="L298" s="121">
        <f t="shared" si="8"/>
        <v>1498000</v>
      </c>
      <c r="M298" s="116">
        <f t="shared" si="7"/>
        <v>1</v>
      </c>
      <c r="N298" s="113" t="s">
        <v>533</v>
      </c>
      <c r="O298" s="113"/>
      <c r="P298" s="138" t="s">
        <v>472</v>
      </c>
      <c r="Q298" s="116">
        <v>1</v>
      </c>
      <c r="R298" s="116"/>
      <c r="S298" s="116" t="s">
        <v>787</v>
      </c>
      <c r="T298" s="120">
        <v>1498000</v>
      </c>
      <c r="U298" s="141" t="s">
        <v>786</v>
      </c>
      <c r="V298" s="137"/>
      <c r="W298" s="137"/>
      <c r="X298" s="137"/>
      <c r="Y298" s="137"/>
      <c r="Z298" s="137"/>
      <c r="AA298" s="137"/>
      <c r="AB298" s="137"/>
      <c r="AC298" s="137"/>
      <c r="AD298" s="137"/>
      <c r="AE298" s="137"/>
      <c r="AF298" s="137"/>
      <c r="AG298" s="137"/>
      <c r="AH298" s="137"/>
      <c r="AI298" s="137"/>
      <c r="AJ298" s="137"/>
      <c r="AK298" s="137"/>
      <c r="AL298" s="137"/>
      <c r="AM298" s="137"/>
      <c r="AN298" s="137"/>
      <c r="AO298" s="137"/>
      <c r="AP298" s="137"/>
      <c r="AQ298" s="137"/>
      <c r="AR298" s="137"/>
      <c r="AS298" s="137"/>
      <c r="AT298" s="137"/>
      <c r="AU298" s="137"/>
      <c r="AV298" s="137"/>
      <c r="AW298" s="137"/>
      <c r="AX298" s="137"/>
      <c r="AY298" s="137"/>
      <c r="AZ298" s="137"/>
      <c r="BA298" s="137"/>
      <c r="BB298" s="137"/>
      <c r="BC298" s="137"/>
      <c r="BD298" s="137"/>
      <c r="BE298" s="137"/>
      <c r="BF298" s="137"/>
      <c r="BG298" s="137"/>
      <c r="BH298" s="137"/>
    </row>
    <row r="299" spans="1:60" s="136" customFormat="1" ht="126">
      <c r="A299" s="127"/>
      <c r="B299" s="110" t="s">
        <v>447</v>
      </c>
      <c r="C299" s="118" t="s">
        <v>527</v>
      </c>
      <c r="D299" s="118"/>
      <c r="E299" s="118" t="s">
        <v>667</v>
      </c>
      <c r="F299" s="118" t="s">
        <v>666</v>
      </c>
      <c r="G299" s="118" t="s">
        <v>761</v>
      </c>
      <c r="H299" s="118" t="s">
        <v>145</v>
      </c>
      <c r="I299" s="118"/>
      <c r="J299" s="118" t="s">
        <v>143</v>
      </c>
      <c r="K299" s="113" t="s">
        <v>63</v>
      </c>
      <c r="L299" s="121">
        <f t="shared" si="8"/>
        <v>1498000</v>
      </c>
      <c r="M299" s="116">
        <f t="shared" si="7"/>
        <v>1</v>
      </c>
      <c r="N299" s="113" t="s">
        <v>533</v>
      </c>
      <c r="O299" s="113"/>
      <c r="P299" s="138" t="s">
        <v>472</v>
      </c>
      <c r="Q299" s="113">
        <v>1</v>
      </c>
      <c r="R299" s="113"/>
      <c r="S299" s="113" t="s">
        <v>785</v>
      </c>
      <c r="T299" s="120">
        <v>1498000</v>
      </c>
      <c r="U299" s="111" t="s">
        <v>784</v>
      </c>
      <c r="V299" s="137"/>
      <c r="W299" s="137"/>
      <c r="X299" s="137"/>
      <c r="Y299" s="137"/>
      <c r="Z299" s="137"/>
      <c r="AA299" s="137"/>
      <c r="AB299" s="137"/>
      <c r="AC299" s="137"/>
      <c r="AD299" s="137"/>
      <c r="AE299" s="137"/>
      <c r="AF299" s="137"/>
      <c r="AG299" s="137"/>
      <c r="AH299" s="137"/>
      <c r="AI299" s="137"/>
      <c r="AJ299" s="137"/>
      <c r="AK299" s="137"/>
      <c r="AL299" s="137"/>
      <c r="AM299" s="137"/>
      <c r="AN299" s="137"/>
      <c r="AO299" s="137"/>
      <c r="AP299" s="137"/>
      <c r="AQ299" s="137"/>
      <c r="AR299" s="137"/>
      <c r="AS299" s="137"/>
      <c r="AT299" s="137"/>
      <c r="AU299" s="137"/>
      <c r="AV299" s="137"/>
      <c r="AW299" s="137"/>
      <c r="AX299" s="137"/>
      <c r="AY299" s="137"/>
      <c r="AZ299" s="137"/>
      <c r="BA299" s="137"/>
      <c r="BB299" s="137"/>
      <c r="BC299" s="137"/>
      <c r="BD299" s="137"/>
      <c r="BE299" s="137"/>
      <c r="BF299" s="137"/>
      <c r="BG299" s="137"/>
      <c r="BH299" s="137"/>
    </row>
    <row r="300" spans="1:60" s="136" customFormat="1" ht="126">
      <c r="A300" s="127"/>
      <c r="B300" s="110" t="s">
        <v>447</v>
      </c>
      <c r="C300" s="118" t="s">
        <v>527</v>
      </c>
      <c r="D300" s="118"/>
      <c r="E300" s="118" t="s">
        <v>667</v>
      </c>
      <c r="F300" s="118" t="s">
        <v>666</v>
      </c>
      <c r="G300" s="118" t="s">
        <v>761</v>
      </c>
      <c r="H300" s="118" t="s">
        <v>262</v>
      </c>
      <c r="I300" s="118"/>
      <c r="J300" s="118" t="s">
        <v>260</v>
      </c>
      <c r="K300" s="113" t="s">
        <v>63</v>
      </c>
      <c r="L300" s="121">
        <f t="shared" si="8"/>
        <v>1498000</v>
      </c>
      <c r="M300" s="116">
        <f t="shared" si="7"/>
        <v>1</v>
      </c>
      <c r="N300" s="113" t="s">
        <v>533</v>
      </c>
      <c r="O300" s="113"/>
      <c r="P300" s="138" t="s">
        <v>472</v>
      </c>
      <c r="Q300" s="113">
        <v>1</v>
      </c>
      <c r="R300" s="113"/>
      <c r="S300" s="113" t="s">
        <v>783</v>
      </c>
      <c r="T300" s="120">
        <v>1498000</v>
      </c>
      <c r="U300" s="111" t="s">
        <v>782</v>
      </c>
      <c r="V300" s="137"/>
      <c r="W300" s="137"/>
      <c r="X300" s="137"/>
      <c r="Y300" s="137"/>
      <c r="Z300" s="137"/>
      <c r="AA300" s="137"/>
      <c r="AB300" s="137"/>
      <c r="AC300" s="137"/>
      <c r="AD300" s="137"/>
      <c r="AE300" s="137"/>
      <c r="AF300" s="137"/>
      <c r="AG300" s="137"/>
      <c r="AH300" s="137"/>
      <c r="AI300" s="137"/>
      <c r="AJ300" s="137"/>
      <c r="AK300" s="137"/>
      <c r="AL300" s="137"/>
      <c r="AM300" s="137"/>
      <c r="AN300" s="137"/>
      <c r="AO300" s="137"/>
      <c r="AP300" s="137"/>
      <c r="AQ300" s="137"/>
      <c r="AR300" s="137"/>
      <c r="AS300" s="137"/>
      <c r="AT300" s="137"/>
      <c r="AU300" s="137"/>
      <c r="AV300" s="137"/>
      <c r="AW300" s="137"/>
      <c r="AX300" s="137"/>
      <c r="AY300" s="137"/>
      <c r="AZ300" s="137"/>
      <c r="BA300" s="137"/>
      <c r="BB300" s="137"/>
      <c r="BC300" s="137"/>
      <c r="BD300" s="137"/>
      <c r="BE300" s="137"/>
      <c r="BF300" s="137"/>
      <c r="BG300" s="137"/>
      <c r="BH300" s="137"/>
    </row>
    <row r="301" spans="1:60" s="136" customFormat="1" ht="126">
      <c r="A301" s="127"/>
      <c r="B301" s="110" t="s">
        <v>447</v>
      </c>
      <c r="C301" s="118" t="s">
        <v>527</v>
      </c>
      <c r="D301" s="118"/>
      <c r="E301" s="118" t="s">
        <v>667</v>
      </c>
      <c r="F301" s="118" t="s">
        <v>666</v>
      </c>
      <c r="G301" s="118" t="s">
        <v>761</v>
      </c>
      <c r="H301" s="118" t="s">
        <v>457</v>
      </c>
      <c r="I301" s="118"/>
      <c r="J301" s="118" t="s">
        <v>441</v>
      </c>
      <c r="K301" s="113" t="s">
        <v>40</v>
      </c>
      <c r="L301" s="121">
        <f t="shared" si="8"/>
        <v>1498000</v>
      </c>
      <c r="M301" s="116">
        <f t="shared" si="7"/>
        <v>1</v>
      </c>
      <c r="N301" s="113" t="s">
        <v>533</v>
      </c>
      <c r="O301" s="116"/>
      <c r="P301" s="138" t="s">
        <v>472</v>
      </c>
      <c r="Q301" s="116">
        <v>1</v>
      </c>
      <c r="R301" s="116"/>
      <c r="S301" s="116" t="s">
        <v>781</v>
      </c>
      <c r="T301" s="120">
        <v>1498000</v>
      </c>
      <c r="U301" s="141" t="s">
        <v>780</v>
      </c>
      <c r="V301" s="137"/>
      <c r="W301" s="137"/>
      <c r="X301" s="137"/>
      <c r="Y301" s="137"/>
      <c r="Z301" s="137"/>
      <c r="AA301" s="137"/>
      <c r="AB301" s="137"/>
      <c r="AC301" s="137"/>
      <c r="AD301" s="137"/>
      <c r="AE301" s="137"/>
      <c r="AF301" s="137"/>
      <c r="AG301" s="137"/>
      <c r="AH301" s="137"/>
      <c r="AI301" s="137"/>
      <c r="AJ301" s="137"/>
      <c r="AK301" s="137"/>
      <c r="AL301" s="137"/>
      <c r="AM301" s="137"/>
      <c r="AN301" s="137"/>
      <c r="AO301" s="137"/>
      <c r="AP301" s="137"/>
      <c r="AQ301" s="137"/>
      <c r="AR301" s="137"/>
      <c r="AS301" s="137"/>
      <c r="AT301" s="137"/>
      <c r="AU301" s="137"/>
      <c r="AV301" s="137"/>
      <c r="AW301" s="137"/>
      <c r="AX301" s="137"/>
      <c r="AY301" s="137"/>
      <c r="AZ301" s="137"/>
      <c r="BA301" s="137"/>
      <c r="BB301" s="137"/>
      <c r="BC301" s="137"/>
      <c r="BD301" s="137"/>
      <c r="BE301" s="137"/>
      <c r="BF301" s="137"/>
      <c r="BG301" s="137"/>
      <c r="BH301" s="137"/>
    </row>
    <row r="302" spans="1:60" s="136" customFormat="1" ht="126">
      <c r="A302" s="127"/>
      <c r="B302" s="110" t="s">
        <v>447</v>
      </c>
      <c r="C302" s="118" t="s">
        <v>527</v>
      </c>
      <c r="D302" s="118"/>
      <c r="E302" s="118" t="s">
        <v>667</v>
      </c>
      <c r="F302" s="118" t="s">
        <v>666</v>
      </c>
      <c r="G302" s="118" t="s">
        <v>761</v>
      </c>
      <c r="H302" s="118" t="s">
        <v>39</v>
      </c>
      <c r="I302" s="118"/>
      <c r="J302" s="118" t="s">
        <v>34</v>
      </c>
      <c r="K302" s="113" t="s">
        <v>13</v>
      </c>
      <c r="L302" s="121">
        <f t="shared" si="8"/>
        <v>1498000</v>
      </c>
      <c r="M302" s="116">
        <f t="shared" si="7"/>
        <v>1</v>
      </c>
      <c r="N302" s="113" t="s">
        <v>533</v>
      </c>
      <c r="O302" s="113"/>
      <c r="P302" s="138" t="s">
        <v>472</v>
      </c>
      <c r="Q302" s="113">
        <v>1</v>
      </c>
      <c r="R302" s="113"/>
      <c r="S302" s="113" t="s">
        <v>779</v>
      </c>
      <c r="T302" s="120">
        <v>1498000</v>
      </c>
      <c r="U302" s="111" t="s">
        <v>778</v>
      </c>
      <c r="V302" s="137"/>
      <c r="W302" s="137"/>
      <c r="X302" s="137"/>
      <c r="Y302" s="137"/>
      <c r="Z302" s="137"/>
      <c r="AA302" s="137"/>
      <c r="AB302" s="137"/>
      <c r="AC302" s="137"/>
      <c r="AD302" s="137"/>
      <c r="AE302" s="137"/>
      <c r="AF302" s="137"/>
      <c r="AG302" s="137"/>
      <c r="AH302" s="137"/>
      <c r="AI302" s="137"/>
      <c r="AJ302" s="137"/>
      <c r="AK302" s="137"/>
      <c r="AL302" s="137"/>
      <c r="AM302" s="137"/>
      <c r="AN302" s="137"/>
      <c r="AO302" s="137"/>
      <c r="AP302" s="137"/>
      <c r="AQ302" s="137"/>
      <c r="AR302" s="137"/>
      <c r="AS302" s="137"/>
      <c r="AT302" s="137"/>
      <c r="AU302" s="137"/>
      <c r="AV302" s="137"/>
      <c r="AW302" s="137"/>
      <c r="AX302" s="137"/>
      <c r="AY302" s="137"/>
      <c r="AZ302" s="137"/>
      <c r="BA302" s="137"/>
      <c r="BB302" s="137"/>
      <c r="BC302" s="137"/>
      <c r="BD302" s="137"/>
      <c r="BE302" s="137"/>
      <c r="BF302" s="137"/>
      <c r="BG302" s="137"/>
      <c r="BH302" s="137"/>
    </row>
    <row r="303" spans="1:60" s="136" customFormat="1" ht="126">
      <c r="A303" s="127"/>
      <c r="B303" s="110" t="s">
        <v>447</v>
      </c>
      <c r="C303" s="118" t="s">
        <v>527</v>
      </c>
      <c r="D303" s="118"/>
      <c r="E303" s="118" t="s">
        <v>667</v>
      </c>
      <c r="F303" s="118" t="s">
        <v>666</v>
      </c>
      <c r="G303" s="118" t="s">
        <v>761</v>
      </c>
      <c r="H303" s="118" t="s">
        <v>121</v>
      </c>
      <c r="I303" s="118"/>
      <c r="J303" s="118" t="s">
        <v>119</v>
      </c>
      <c r="K303" s="113" t="s">
        <v>63</v>
      </c>
      <c r="L303" s="121">
        <f t="shared" si="8"/>
        <v>1498000</v>
      </c>
      <c r="M303" s="116">
        <f t="shared" si="7"/>
        <v>1</v>
      </c>
      <c r="N303" s="113" t="s">
        <v>533</v>
      </c>
      <c r="O303" s="113"/>
      <c r="P303" s="138" t="s">
        <v>472</v>
      </c>
      <c r="Q303" s="113">
        <v>1</v>
      </c>
      <c r="R303" s="113"/>
      <c r="S303" s="113" t="s">
        <v>777</v>
      </c>
      <c r="T303" s="120">
        <v>1498000</v>
      </c>
      <c r="U303" s="111" t="s">
        <v>776</v>
      </c>
      <c r="V303" s="137"/>
      <c r="W303" s="137"/>
      <c r="X303" s="137"/>
      <c r="Y303" s="137"/>
      <c r="Z303" s="137"/>
      <c r="AA303" s="137"/>
      <c r="AB303" s="137"/>
      <c r="AC303" s="137"/>
      <c r="AD303" s="137"/>
      <c r="AE303" s="137"/>
      <c r="AF303" s="137"/>
      <c r="AG303" s="137"/>
      <c r="AH303" s="137"/>
      <c r="AI303" s="137"/>
      <c r="AJ303" s="137"/>
      <c r="AK303" s="137"/>
      <c r="AL303" s="137"/>
      <c r="AM303" s="137"/>
      <c r="AN303" s="137"/>
      <c r="AO303" s="137"/>
      <c r="AP303" s="137"/>
      <c r="AQ303" s="137"/>
      <c r="AR303" s="137"/>
      <c r="AS303" s="137"/>
      <c r="AT303" s="137"/>
      <c r="AU303" s="137"/>
      <c r="AV303" s="137"/>
      <c r="AW303" s="137"/>
      <c r="AX303" s="137"/>
      <c r="AY303" s="137"/>
      <c r="AZ303" s="137"/>
      <c r="BA303" s="137"/>
      <c r="BB303" s="137"/>
      <c r="BC303" s="137"/>
      <c r="BD303" s="137"/>
      <c r="BE303" s="137"/>
      <c r="BF303" s="137"/>
      <c r="BG303" s="137"/>
      <c r="BH303" s="137"/>
    </row>
    <row r="304" spans="1:60" s="136" customFormat="1" ht="126">
      <c r="A304" s="127"/>
      <c r="B304" s="110" t="s">
        <v>447</v>
      </c>
      <c r="C304" s="118" t="s">
        <v>527</v>
      </c>
      <c r="D304" s="118"/>
      <c r="E304" s="118" t="s">
        <v>667</v>
      </c>
      <c r="F304" s="118" t="s">
        <v>666</v>
      </c>
      <c r="G304" s="118" t="s">
        <v>761</v>
      </c>
      <c r="H304" s="118" t="s">
        <v>259</v>
      </c>
      <c r="I304" s="118"/>
      <c r="J304" s="118" t="s">
        <v>257</v>
      </c>
      <c r="K304" s="113" t="s">
        <v>63</v>
      </c>
      <c r="L304" s="121">
        <f t="shared" si="8"/>
        <v>1498000</v>
      </c>
      <c r="M304" s="116">
        <f t="shared" si="7"/>
        <v>1</v>
      </c>
      <c r="N304" s="113" t="s">
        <v>533</v>
      </c>
      <c r="O304" s="113"/>
      <c r="P304" s="138" t="s">
        <v>472</v>
      </c>
      <c r="Q304" s="113">
        <v>1</v>
      </c>
      <c r="R304" s="113"/>
      <c r="S304" s="113" t="s">
        <v>775</v>
      </c>
      <c r="T304" s="120">
        <v>1498000</v>
      </c>
      <c r="U304" s="111" t="s">
        <v>774</v>
      </c>
      <c r="V304" s="137"/>
      <c r="W304" s="137"/>
      <c r="X304" s="137"/>
      <c r="Y304" s="137"/>
      <c r="Z304" s="137"/>
      <c r="AA304" s="137"/>
      <c r="AB304" s="137"/>
      <c r="AC304" s="137"/>
      <c r="AD304" s="137"/>
      <c r="AE304" s="137"/>
      <c r="AF304" s="137"/>
      <c r="AG304" s="137"/>
      <c r="AH304" s="137"/>
      <c r="AI304" s="137"/>
      <c r="AJ304" s="137"/>
      <c r="AK304" s="137"/>
      <c r="AL304" s="137"/>
      <c r="AM304" s="137"/>
      <c r="AN304" s="137"/>
      <c r="AO304" s="137"/>
      <c r="AP304" s="137"/>
      <c r="AQ304" s="137"/>
      <c r="AR304" s="137"/>
      <c r="AS304" s="137"/>
      <c r="AT304" s="137"/>
      <c r="AU304" s="137"/>
      <c r="AV304" s="137"/>
      <c r="AW304" s="137"/>
      <c r="AX304" s="137"/>
      <c r="AY304" s="137"/>
      <c r="AZ304" s="137"/>
      <c r="BA304" s="137"/>
      <c r="BB304" s="137"/>
      <c r="BC304" s="137"/>
      <c r="BD304" s="137"/>
      <c r="BE304" s="137"/>
      <c r="BF304" s="137"/>
      <c r="BG304" s="137"/>
      <c r="BH304" s="137"/>
    </row>
    <row r="305" spans="1:60" s="136" customFormat="1" ht="126">
      <c r="A305" s="127"/>
      <c r="B305" s="110" t="s">
        <v>447</v>
      </c>
      <c r="C305" s="118" t="s">
        <v>527</v>
      </c>
      <c r="D305" s="118"/>
      <c r="E305" s="118" t="s">
        <v>667</v>
      </c>
      <c r="F305" s="118" t="s">
        <v>666</v>
      </c>
      <c r="G305" s="118" t="s">
        <v>761</v>
      </c>
      <c r="H305" s="118" t="s">
        <v>451</v>
      </c>
      <c r="I305" s="118"/>
      <c r="J305" s="118" t="s">
        <v>444</v>
      </c>
      <c r="K305" s="113" t="s">
        <v>13</v>
      </c>
      <c r="L305" s="121">
        <f t="shared" si="8"/>
        <v>1498000</v>
      </c>
      <c r="M305" s="116">
        <f t="shared" ref="M305:M368" si="9">Q305+R305</f>
        <v>1</v>
      </c>
      <c r="N305" s="113" t="s">
        <v>533</v>
      </c>
      <c r="O305" s="116"/>
      <c r="P305" s="138" t="s">
        <v>472</v>
      </c>
      <c r="Q305" s="116">
        <v>1</v>
      </c>
      <c r="R305" s="116"/>
      <c r="S305" s="116" t="s">
        <v>773</v>
      </c>
      <c r="T305" s="120">
        <v>1498000</v>
      </c>
      <c r="U305" s="140" t="s">
        <v>772</v>
      </c>
      <c r="V305" s="137"/>
      <c r="W305" s="137"/>
      <c r="X305" s="137"/>
      <c r="Y305" s="137"/>
      <c r="Z305" s="137"/>
      <c r="AA305" s="137"/>
      <c r="AB305" s="137"/>
      <c r="AC305" s="137"/>
      <c r="AD305" s="137"/>
      <c r="AE305" s="137"/>
      <c r="AF305" s="137"/>
      <c r="AG305" s="137"/>
      <c r="AH305" s="137"/>
      <c r="AI305" s="137"/>
      <c r="AJ305" s="137"/>
      <c r="AK305" s="137"/>
      <c r="AL305" s="137"/>
      <c r="AM305" s="137"/>
      <c r="AN305" s="137"/>
      <c r="AO305" s="137"/>
      <c r="AP305" s="137"/>
      <c r="AQ305" s="137"/>
      <c r="AR305" s="137"/>
      <c r="AS305" s="137"/>
      <c r="AT305" s="137"/>
      <c r="AU305" s="137"/>
      <c r="AV305" s="137"/>
      <c r="AW305" s="137"/>
      <c r="AX305" s="137"/>
      <c r="AY305" s="137"/>
      <c r="AZ305" s="137"/>
      <c r="BA305" s="137"/>
      <c r="BB305" s="137"/>
      <c r="BC305" s="137"/>
      <c r="BD305" s="137"/>
      <c r="BE305" s="137"/>
      <c r="BF305" s="137"/>
      <c r="BG305" s="137"/>
      <c r="BH305" s="137"/>
    </row>
    <row r="306" spans="1:60" s="136" customFormat="1" ht="126">
      <c r="A306" s="127"/>
      <c r="B306" s="110" t="s">
        <v>447</v>
      </c>
      <c r="C306" s="118" t="s">
        <v>527</v>
      </c>
      <c r="D306" s="118"/>
      <c r="E306" s="118" t="s">
        <v>667</v>
      </c>
      <c r="F306" s="118" t="s">
        <v>666</v>
      </c>
      <c r="G306" s="118" t="s">
        <v>761</v>
      </c>
      <c r="H306" s="118" t="s">
        <v>243</v>
      </c>
      <c r="I306" s="118"/>
      <c r="J306" s="118" t="s">
        <v>241</v>
      </c>
      <c r="K306" s="113" t="s">
        <v>40</v>
      </c>
      <c r="L306" s="121">
        <f t="shared" si="8"/>
        <v>1498000</v>
      </c>
      <c r="M306" s="116">
        <f t="shared" si="9"/>
        <v>1</v>
      </c>
      <c r="N306" s="113" t="s">
        <v>533</v>
      </c>
      <c r="O306" s="113"/>
      <c r="P306" s="138" t="s">
        <v>472</v>
      </c>
      <c r="Q306" s="113">
        <v>1</v>
      </c>
      <c r="R306" s="116"/>
      <c r="S306" s="116" t="s">
        <v>771</v>
      </c>
      <c r="T306" s="120">
        <v>1498000</v>
      </c>
      <c r="U306" s="111" t="s">
        <v>770</v>
      </c>
      <c r="V306" s="137"/>
      <c r="W306" s="137"/>
      <c r="X306" s="137"/>
      <c r="Y306" s="137"/>
      <c r="Z306" s="137"/>
      <c r="AA306" s="137"/>
      <c r="AB306" s="137"/>
      <c r="AC306" s="137"/>
      <c r="AD306" s="137"/>
      <c r="AE306" s="137"/>
      <c r="AF306" s="137"/>
      <c r="AG306" s="137"/>
      <c r="AH306" s="137"/>
      <c r="AI306" s="137"/>
      <c r="AJ306" s="137"/>
      <c r="AK306" s="137"/>
      <c r="AL306" s="137"/>
      <c r="AM306" s="137"/>
      <c r="AN306" s="137"/>
      <c r="AO306" s="137"/>
      <c r="AP306" s="137"/>
      <c r="AQ306" s="137"/>
      <c r="AR306" s="137"/>
      <c r="AS306" s="137"/>
      <c r="AT306" s="137"/>
      <c r="AU306" s="137"/>
      <c r="AV306" s="137"/>
      <c r="AW306" s="137"/>
      <c r="AX306" s="137"/>
      <c r="AY306" s="137"/>
      <c r="AZ306" s="137"/>
      <c r="BA306" s="137"/>
      <c r="BB306" s="137"/>
      <c r="BC306" s="137"/>
      <c r="BD306" s="137"/>
      <c r="BE306" s="137"/>
      <c r="BF306" s="137"/>
      <c r="BG306" s="137"/>
      <c r="BH306" s="137"/>
    </row>
    <row r="307" spans="1:60" s="136" customFormat="1" ht="126">
      <c r="A307" s="127"/>
      <c r="B307" s="110" t="s">
        <v>447</v>
      </c>
      <c r="C307" s="118" t="s">
        <v>527</v>
      </c>
      <c r="D307" s="118"/>
      <c r="E307" s="118" t="s">
        <v>667</v>
      </c>
      <c r="F307" s="118" t="s">
        <v>666</v>
      </c>
      <c r="G307" s="118" t="s">
        <v>761</v>
      </c>
      <c r="H307" s="118" t="s">
        <v>223</v>
      </c>
      <c r="I307" s="118"/>
      <c r="J307" s="118" t="s">
        <v>221</v>
      </c>
      <c r="K307" s="113" t="s">
        <v>149</v>
      </c>
      <c r="L307" s="121">
        <f t="shared" si="8"/>
        <v>1498000</v>
      </c>
      <c r="M307" s="116">
        <f t="shared" si="9"/>
        <v>1</v>
      </c>
      <c r="N307" s="113" t="s">
        <v>533</v>
      </c>
      <c r="O307" s="113"/>
      <c r="P307" s="138" t="s">
        <v>472</v>
      </c>
      <c r="Q307" s="113">
        <v>1</v>
      </c>
      <c r="R307" s="113"/>
      <c r="S307" s="113" t="s">
        <v>769</v>
      </c>
      <c r="T307" s="120">
        <v>1498000</v>
      </c>
      <c r="U307" s="111" t="s">
        <v>768</v>
      </c>
      <c r="V307" s="137"/>
      <c r="W307" s="137"/>
      <c r="X307" s="137"/>
      <c r="Y307" s="137"/>
      <c r="Z307" s="137"/>
      <c r="AA307" s="137"/>
      <c r="AB307" s="137"/>
      <c r="AC307" s="137"/>
      <c r="AD307" s="137"/>
      <c r="AE307" s="137"/>
      <c r="AF307" s="137"/>
      <c r="AG307" s="137"/>
      <c r="AH307" s="137"/>
      <c r="AI307" s="137"/>
      <c r="AJ307" s="137"/>
      <c r="AK307" s="137"/>
      <c r="AL307" s="137"/>
      <c r="AM307" s="137"/>
      <c r="AN307" s="137"/>
      <c r="AO307" s="137"/>
      <c r="AP307" s="137"/>
      <c r="AQ307" s="137"/>
      <c r="AR307" s="137"/>
      <c r="AS307" s="137"/>
      <c r="AT307" s="137"/>
      <c r="AU307" s="137"/>
      <c r="AV307" s="137"/>
      <c r="AW307" s="137"/>
      <c r="AX307" s="137"/>
      <c r="AY307" s="137"/>
      <c r="AZ307" s="137"/>
      <c r="BA307" s="137"/>
      <c r="BB307" s="137"/>
      <c r="BC307" s="137"/>
      <c r="BD307" s="137"/>
      <c r="BE307" s="137"/>
      <c r="BF307" s="137"/>
      <c r="BG307" s="137"/>
      <c r="BH307" s="137"/>
    </row>
    <row r="308" spans="1:60" s="136" customFormat="1" ht="126">
      <c r="A308" s="127"/>
      <c r="B308" s="110" t="s">
        <v>447</v>
      </c>
      <c r="C308" s="118" t="s">
        <v>527</v>
      </c>
      <c r="D308" s="118"/>
      <c r="E308" s="118" t="s">
        <v>667</v>
      </c>
      <c r="F308" s="118" t="s">
        <v>666</v>
      </c>
      <c r="G308" s="118" t="s">
        <v>767</v>
      </c>
      <c r="H308" s="118" t="s">
        <v>45</v>
      </c>
      <c r="I308" s="118"/>
      <c r="J308" s="118" t="s">
        <v>41</v>
      </c>
      <c r="K308" s="113" t="s">
        <v>40</v>
      </c>
      <c r="L308" s="121">
        <f t="shared" si="8"/>
        <v>1498000</v>
      </c>
      <c r="M308" s="116">
        <f t="shared" si="9"/>
        <v>1</v>
      </c>
      <c r="N308" s="113" t="s">
        <v>533</v>
      </c>
      <c r="O308" s="113"/>
      <c r="P308" s="138" t="s">
        <v>472</v>
      </c>
      <c r="Q308" s="113">
        <v>1</v>
      </c>
      <c r="R308" s="113"/>
      <c r="S308" s="113" t="s">
        <v>766</v>
      </c>
      <c r="T308" s="120">
        <v>1498000</v>
      </c>
      <c r="U308" s="111" t="s">
        <v>765</v>
      </c>
      <c r="V308" s="137"/>
      <c r="W308" s="137"/>
      <c r="X308" s="137"/>
      <c r="Y308" s="137"/>
      <c r="Z308" s="137"/>
      <c r="AA308" s="137"/>
      <c r="AB308" s="137"/>
      <c r="AC308" s="137"/>
      <c r="AD308" s="137"/>
      <c r="AE308" s="137"/>
      <c r="AF308" s="137"/>
      <c r="AG308" s="137"/>
      <c r="AH308" s="137"/>
      <c r="AI308" s="137"/>
      <c r="AJ308" s="137"/>
      <c r="AK308" s="137"/>
      <c r="AL308" s="137"/>
      <c r="AM308" s="137"/>
      <c r="AN308" s="137"/>
      <c r="AO308" s="137"/>
      <c r="AP308" s="137"/>
      <c r="AQ308" s="137"/>
      <c r="AR308" s="137"/>
      <c r="AS308" s="137"/>
      <c r="AT308" s="137"/>
      <c r="AU308" s="137"/>
      <c r="AV308" s="137"/>
      <c r="AW308" s="137"/>
      <c r="AX308" s="137"/>
      <c r="AY308" s="137"/>
      <c r="AZ308" s="137"/>
      <c r="BA308" s="137"/>
      <c r="BB308" s="137"/>
      <c r="BC308" s="137"/>
      <c r="BD308" s="137"/>
      <c r="BE308" s="137"/>
      <c r="BF308" s="137"/>
      <c r="BG308" s="137"/>
      <c r="BH308" s="137"/>
    </row>
    <row r="309" spans="1:60" s="136" customFormat="1" ht="126">
      <c r="A309" s="127"/>
      <c r="B309" s="110" t="s">
        <v>447</v>
      </c>
      <c r="C309" s="118" t="s">
        <v>527</v>
      </c>
      <c r="D309" s="118"/>
      <c r="E309" s="118" t="s">
        <v>667</v>
      </c>
      <c r="F309" s="118" t="s">
        <v>666</v>
      </c>
      <c r="G309" s="118" t="s">
        <v>764</v>
      </c>
      <c r="H309" s="118" t="s">
        <v>50</v>
      </c>
      <c r="I309" s="118"/>
      <c r="J309" s="118" t="s">
        <v>679</v>
      </c>
      <c r="K309" s="113" t="s">
        <v>40</v>
      </c>
      <c r="L309" s="121">
        <f t="shared" si="8"/>
        <v>1498000</v>
      </c>
      <c r="M309" s="116">
        <f t="shared" si="9"/>
        <v>1</v>
      </c>
      <c r="N309" s="113" t="s">
        <v>533</v>
      </c>
      <c r="O309" s="113"/>
      <c r="P309" s="138" t="s">
        <v>472</v>
      </c>
      <c r="Q309" s="113">
        <v>1</v>
      </c>
      <c r="R309" s="113"/>
      <c r="S309" s="113" t="s">
        <v>763</v>
      </c>
      <c r="T309" s="120">
        <v>1498000</v>
      </c>
      <c r="U309" s="111" t="s">
        <v>762</v>
      </c>
      <c r="V309" s="137"/>
      <c r="W309" s="137"/>
      <c r="X309" s="137"/>
      <c r="Y309" s="137"/>
      <c r="Z309" s="137"/>
      <c r="AA309" s="137"/>
      <c r="AB309" s="137"/>
      <c r="AC309" s="137"/>
      <c r="AD309" s="137"/>
      <c r="AE309" s="137"/>
      <c r="AF309" s="137"/>
      <c r="AG309" s="137"/>
      <c r="AH309" s="137"/>
      <c r="AI309" s="137"/>
      <c r="AJ309" s="137"/>
      <c r="AK309" s="137"/>
      <c r="AL309" s="137"/>
      <c r="AM309" s="137"/>
      <c r="AN309" s="137"/>
      <c r="AO309" s="137"/>
      <c r="AP309" s="137"/>
      <c r="AQ309" s="137"/>
      <c r="AR309" s="137"/>
      <c r="AS309" s="137"/>
      <c r="AT309" s="137"/>
      <c r="AU309" s="137"/>
      <c r="AV309" s="137"/>
      <c r="AW309" s="137"/>
      <c r="AX309" s="137"/>
      <c r="AY309" s="137"/>
      <c r="AZ309" s="137"/>
      <c r="BA309" s="137"/>
      <c r="BB309" s="137"/>
      <c r="BC309" s="137"/>
      <c r="BD309" s="137"/>
      <c r="BE309" s="137"/>
      <c r="BF309" s="137"/>
      <c r="BG309" s="137"/>
      <c r="BH309" s="137"/>
    </row>
    <row r="310" spans="1:60" s="136" customFormat="1" ht="126">
      <c r="A310" s="127"/>
      <c r="B310" s="110" t="s">
        <v>447</v>
      </c>
      <c r="C310" s="118" t="s">
        <v>527</v>
      </c>
      <c r="D310" s="118"/>
      <c r="E310" s="118" t="s">
        <v>667</v>
      </c>
      <c r="F310" s="118" t="s">
        <v>666</v>
      </c>
      <c r="G310" s="118" t="s">
        <v>761</v>
      </c>
      <c r="H310" s="118" t="s">
        <v>62</v>
      </c>
      <c r="I310" s="118"/>
      <c r="J310" s="118" t="s">
        <v>760</v>
      </c>
      <c r="K310" s="113" t="s">
        <v>40</v>
      </c>
      <c r="L310" s="121">
        <f t="shared" si="8"/>
        <v>1498000</v>
      </c>
      <c r="M310" s="116">
        <f t="shared" si="9"/>
        <v>1</v>
      </c>
      <c r="N310" s="113" t="s">
        <v>533</v>
      </c>
      <c r="O310" s="113"/>
      <c r="P310" s="138" t="s">
        <v>472</v>
      </c>
      <c r="Q310" s="113">
        <v>1</v>
      </c>
      <c r="R310" s="113"/>
      <c r="S310" s="113" t="s">
        <v>759</v>
      </c>
      <c r="T310" s="120">
        <v>1498000</v>
      </c>
      <c r="U310" s="111" t="s">
        <v>758</v>
      </c>
      <c r="V310" s="137"/>
      <c r="W310" s="137"/>
      <c r="X310" s="137"/>
      <c r="Y310" s="137"/>
      <c r="Z310" s="137"/>
      <c r="AA310" s="137"/>
      <c r="AB310" s="137"/>
      <c r="AC310" s="137"/>
      <c r="AD310" s="137"/>
      <c r="AE310" s="137"/>
      <c r="AF310" s="137"/>
      <c r="AG310" s="137"/>
      <c r="AH310" s="137"/>
      <c r="AI310" s="137"/>
      <c r="AJ310" s="137"/>
      <c r="AK310" s="137"/>
      <c r="AL310" s="137"/>
      <c r="AM310" s="137"/>
      <c r="AN310" s="137"/>
      <c r="AO310" s="137"/>
      <c r="AP310" s="137"/>
      <c r="AQ310" s="137"/>
      <c r="AR310" s="137"/>
      <c r="AS310" s="137"/>
      <c r="AT310" s="137"/>
      <c r="AU310" s="137"/>
      <c r="AV310" s="137"/>
      <c r="AW310" s="137"/>
      <c r="AX310" s="137"/>
      <c r="AY310" s="137"/>
      <c r="AZ310" s="137"/>
      <c r="BA310" s="137"/>
      <c r="BB310" s="137"/>
      <c r="BC310" s="137"/>
      <c r="BD310" s="137"/>
      <c r="BE310" s="137"/>
      <c r="BF310" s="137"/>
      <c r="BG310" s="137"/>
      <c r="BH310" s="137"/>
    </row>
    <row r="311" spans="1:60" s="136" customFormat="1" ht="126">
      <c r="A311" s="127"/>
      <c r="B311" s="110" t="s">
        <v>447</v>
      </c>
      <c r="C311" s="118" t="s">
        <v>527</v>
      </c>
      <c r="D311" s="118"/>
      <c r="E311" s="118" t="s">
        <v>667</v>
      </c>
      <c r="F311" s="118" t="s">
        <v>666</v>
      </c>
      <c r="G311" s="118" t="s">
        <v>731</v>
      </c>
      <c r="H311" s="118" t="s">
        <v>156</v>
      </c>
      <c r="I311" s="118"/>
      <c r="J311" s="113" t="s">
        <v>154</v>
      </c>
      <c r="K311" s="113" t="s">
        <v>149</v>
      </c>
      <c r="L311" s="121">
        <f t="shared" si="8"/>
        <v>970900</v>
      </c>
      <c r="M311" s="116">
        <f t="shared" si="9"/>
        <v>1</v>
      </c>
      <c r="N311" s="113" t="s">
        <v>533</v>
      </c>
      <c r="O311" s="138" t="s">
        <v>472</v>
      </c>
      <c r="P311" s="113"/>
      <c r="Q311" s="113">
        <v>1</v>
      </c>
      <c r="R311" s="113"/>
      <c r="S311" s="113" t="s">
        <v>757</v>
      </c>
      <c r="T311" s="120">
        <v>970900</v>
      </c>
      <c r="U311" s="111" t="s">
        <v>756</v>
      </c>
      <c r="V311" s="137"/>
      <c r="W311" s="137"/>
      <c r="X311" s="137"/>
      <c r="Y311" s="137"/>
      <c r="Z311" s="137"/>
      <c r="AA311" s="137"/>
      <c r="AB311" s="137"/>
      <c r="AC311" s="137"/>
      <c r="AD311" s="137"/>
      <c r="AE311" s="137"/>
      <c r="AF311" s="137"/>
      <c r="AG311" s="137"/>
      <c r="AH311" s="137"/>
      <c r="AI311" s="137"/>
      <c r="AJ311" s="137"/>
      <c r="AK311" s="137"/>
      <c r="AL311" s="137"/>
      <c r="AM311" s="137"/>
      <c r="AN311" s="137"/>
      <c r="AO311" s="137"/>
      <c r="AP311" s="137"/>
      <c r="AQ311" s="137"/>
      <c r="AR311" s="137"/>
      <c r="AS311" s="137"/>
      <c r="AT311" s="137"/>
      <c r="AU311" s="137"/>
      <c r="AV311" s="137"/>
      <c r="AW311" s="137"/>
      <c r="AX311" s="137"/>
      <c r="AY311" s="137"/>
      <c r="AZ311" s="137"/>
      <c r="BA311" s="137"/>
      <c r="BB311" s="137"/>
      <c r="BC311" s="137"/>
      <c r="BD311" s="137"/>
      <c r="BE311" s="137"/>
      <c r="BF311" s="137"/>
      <c r="BG311" s="137"/>
      <c r="BH311" s="137"/>
    </row>
    <row r="312" spans="1:60" s="136" customFormat="1" ht="126">
      <c r="A312" s="127"/>
      <c r="B312" s="110" t="s">
        <v>447</v>
      </c>
      <c r="C312" s="118" t="s">
        <v>527</v>
      </c>
      <c r="D312" s="118"/>
      <c r="E312" s="118" t="s">
        <v>667</v>
      </c>
      <c r="F312" s="118" t="s">
        <v>666</v>
      </c>
      <c r="G312" s="118" t="s">
        <v>731</v>
      </c>
      <c r="H312" s="118" t="s">
        <v>232</v>
      </c>
      <c r="I312" s="118"/>
      <c r="J312" s="118" t="s">
        <v>230</v>
      </c>
      <c r="K312" s="113" t="s">
        <v>13</v>
      </c>
      <c r="L312" s="121">
        <f t="shared" si="8"/>
        <v>970900</v>
      </c>
      <c r="M312" s="116">
        <f t="shared" si="9"/>
        <v>1</v>
      </c>
      <c r="N312" s="113" t="s">
        <v>533</v>
      </c>
      <c r="O312" s="138" t="s">
        <v>472</v>
      </c>
      <c r="P312" s="113"/>
      <c r="Q312" s="113">
        <v>1</v>
      </c>
      <c r="R312" s="113"/>
      <c r="S312" s="113" t="s">
        <v>755</v>
      </c>
      <c r="T312" s="120">
        <v>970900</v>
      </c>
      <c r="U312" s="141" t="s">
        <v>754</v>
      </c>
      <c r="V312" s="137"/>
      <c r="W312" s="137"/>
      <c r="X312" s="137"/>
      <c r="Y312" s="137"/>
      <c r="Z312" s="137"/>
      <c r="AA312" s="137"/>
      <c r="AB312" s="137"/>
      <c r="AC312" s="137"/>
      <c r="AD312" s="137"/>
      <c r="AE312" s="137"/>
      <c r="AF312" s="137"/>
      <c r="AG312" s="137"/>
      <c r="AH312" s="137"/>
      <c r="AI312" s="137"/>
      <c r="AJ312" s="137"/>
      <c r="AK312" s="137"/>
      <c r="AL312" s="137"/>
      <c r="AM312" s="137"/>
      <c r="AN312" s="137"/>
      <c r="AO312" s="137"/>
      <c r="AP312" s="137"/>
      <c r="AQ312" s="137"/>
      <c r="AR312" s="137"/>
      <c r="AS312" s="137"/>
      <c r="AT312" s="137"/>
      <c r="AU312" s="137"/>
      <c r="AV312" s="137"/>
      <c r="AW312" s="137"/>
      <c r="AX312" s="137"/>
      <c r="AY312" s="137"/>
      <c r="AZ312" s="137"/>
      <c r="BA312" s="137"/>
      <c r="BB312" s="137"/>
      <c r="BC312" s="137"/>
      <c r="BD312" s="137"/>
      <c r="BE312" s="137"/>
      <c r="BF312" s="137"/>
      <c r="BG312" s="137"/>
      <c r="BH312" s="137"/>
    </row>
    <row r="313" spans="1:60" s="136" customFormat="1" ht="126">
      <c r="A313" s="127"/>
      <c r="B313" s="110" t="s">
        <v>447</v>
      </c>
      <c r="C313" s="118" t="s">
        <v>527</v>
      </c>
      <c r="D313" s="118"/>
      <c r="E313" s="118" t="s">
        <v>667</v>
      </c>
      <c r="F313" s="118" t="s">
        <v>666</v>
      </c>
      <c r="G313" s="118" t="s">
        <v>731</v>
      </c>
      <c r="H313" s="118" t="s">
        <v>300</v>
      </c>
      <c r="I313" s="118"/>
      <c r="J313" s="118" t="s">
        <v>298</v>
      </c>
      <c r="K313" s="113" t="s">
        <v>149</v>
      </c>
      <c r="L313" s="121">
        <f t="shared" si="8"/>
        <v>970900</v>
      </c>
      <c r="M313" s="116">
        <f t="shared" si="9"/>
        <v>1</v>
      </c>
      <c r="N313" s="113" t="s">
        <v>533</v>
      </c>
      <c r="O313" s="138" t="s">
        <v>472</v>
      </c>
      <c r="P313" s="113"/>
      <c r="Q313" s="113">
        <v>1</v>
      </c>
      <c r="R313" s="113"/>
      <c r="S313" s="113" t="s">
        <v>753</v>
      </c>
      <c r="T313" s="120">
        <v>970900</v>
      </c>
      <c r="U313" s="111" t="s">
        <v>752</v>
      </c>
      <c r="V313" s="137"/>
      <c r="W313" s="137"/>
      <c r="X313" s="137"/>
      <c r="Y313" s="137"/>
      <c r="Z313" s="137"/>
      <c r="AA313" s="137"/>
      <c r="AB313" s="137"/>
      <c r="AC313" s="137"/>
      <c r="AD313" s="137"/>
      <c r="AE313" s="137"/>
      <c r="AF313" s="137"/>
      <c r="AG313" s="137"/>
      <c r="AH313" s="137"/>
      <c r="AI313" s="137"/>
      <c r="AJ313" s="137"/>
      <c r="AK313" s="137"/>
      <c r="AL313" s="137"/>
      <c r="AM313" s="137"/>
      <c r="AN313" s="137"/>
      <c r="AO313" s="137"/>
      <c r="AP313" s="137"/>
      <c r="AQ313" s="137"/>
      <c r="AR313" s="137"/>
      <c r="AS313" s="137"/>
      <c r="AT313" s="137"/>
      <c r="AU313" s="137"/>
      <c r="AV313" s="137"/>
      <c r="AW313" s="137"/>
      <c r="AX313" s="137"/>
      <c r="AY313" s="137"/>
      <c r="AZ313" s="137"/>
      <c r="BA313" s="137"/>
      <c r="BB313" s="137"/>
      <c r="BC313" s="137"/>
      <c r="BD313" s="137"/>
      <c r="BE313" s="137"/>
      <c r="BF313" s="137"/>
      <c r="BG313" s="137"/>
      <c r="BH313" s="137"/>
    </row>
    <row r="314" spans="1:60" s="136" customFormat="1" ht="126">
      <c r="A314" s="127"/>
      <c r="B314" s="110" t="s">
        <v>447</v>
      </c>
      <c r="C314" s="118" t="s">
        <v>527</v>
      </c>
      <c r="D314" s="118"/>
      <c r="E314" s="118" t="s">
        <v>667</v>
      </c>
      <c r="F314" s="118" t="s">
        <v>666</v>
      </c>
      <c r="G314" s="118" t="s">
        <v>731</v>
      </c>
      <c r="H314" s="118" t="s">
        <v>458</v>
      </c>
      <c r="I314" s="118"/>
      <c r="J314" s="118" t="s">
        <v>440</v>
      </c>
      <c r="K314" s="113" t="s">
        <v>40</v>
      </c>
      <c r="L314" s="121">
        <f t="shared" si="8"/>
        <v>970900</v>
      </c>
      <c r="M314" s="116">
        <f t="shared" si="9"/>
        <v>1</v>
      </c>
      <c r="N314" s="113" t="s">
        <v>533</v>
      </c>
      <c r="O314" s="138" t="s">
        <v>472</v>
      </c>
      <c r="P314" s="116"/>
      <c r="Q314" s="116">
        <v>1</v>
      </c>
      <c r="R314" s="116"/>
      <c r="S314" s="116" t="s">
        <v>751</v>
      </c>
      <c r="T314" s="120">
        <v>970900</v>
      </c>
      <c r="U314" s="142" t="s">
        <v>750</v>
      </c>
      <c r="V314" s="137"/>
      <c r="W314" s="137"/>
      <c r="X314" s="137"/>
      <c r="Y314" s="137"/>
      <c r="Z314" s="137"/>
      <c r="AA314" s="137"/>
      <c r="AB314" s="137"/>
      <c r="AC314" s="137"/>
      <c r="AD314" s="137"/>
      <c r="AE314" s="137"/>
      <c r="AF314" s="137"/>
      <c r="AG314" s="137"/>
      <c r="AH314" s="137"/>
      <c r="AI314" s="137"/>
      <c r="AJ314" s="137"/>
      <c r="AK314" s="137"/>
      <c r="AL314" s="137"/>
      <c r="AM314" s="137"/>
      <c r="AN314" s="137"/>
      <c r="AO314" s="137"/>
      <c r="AP314" s="137"/>
      <c r="AQ314" s="137"/>
      <c r="AR314" s="137"/>
      <c r="AS314" s="137"/>
      <c r="AT314" s="137"/>
      <c r="AU314" s="137"/>
      <c r="AV314" s="137"/>
      <c r="AW314" s="137"/>
      <c r="AX314" s="137"/>
      <c r="AY314" s="137"/>
      <c r="AZ314" s="137"/>
      <c r="BA314" s="137"/>
      <c r="BB314" s="137"/>
      <c r="BC314" s="137"/>
      <c r="BD314" s="137"/>
      <c r="BE314" s="137"/>
      <c r="BF314" s="137"/>
      <c r="BG314" s="137"/>
      <c r="BH314" s="137"/>
    </row>
    <row r="315" spans="1:60" s="136" customFormat="1" ht="126">
      <c r="A315" s="127"/>
      <c r="B315" s="110" t="s">
        <v>447</v>
      </c>
      <c r="C315" s="118" t="s">
        <v>527</v>
      </c>
      <c r="D315" s="118"/>
      <c r="E315" s="118" t="s">
        <v>667</v>
      </c>
      <c r="F315" s="118" t="s">
        <v>666</v>
      </c>
      <c r="G315" s="118" t="s">
        <v>731</v>
      </c>
      <c r="H315" s="118" t="s">
        <v>433</v>
      </c>
      <c r="I315" s="118"/>
      <c r="J315" s="118" t="s">
        <v>428</v>
      </c>
      <c r="K315" s="113" t="s">
        <v>63</v>
      </c>
      <c r="L315" s="121">
        <f t="shared" si="8"/>
        <v>970900</v>
      </c>
      <c r="M315" s="116">
        <f t="shared" si="9"/>
        <v>1</v>
      </c>
      <c r="N315" s="113" t="s">
        <v>533</v>
      </c>
      <c r="O315" s="138" t="s">
        <v>472</v>
      </c>
      <c r="P315" s="113"/>
      <c r="Q315" s="113">
        <v>1</v>
      </c>
      <c r="R315" s="113"/>
      <c r="S315" s="113" t="s">
        <v>749</v>
      </c>
      <c r="T315" s="120">
        <v>970900</v>
      </c>
      <c r="U315" s="111" t="s">
        <v>748</v>
      </c>
      <c r="V315" s="137"/>
      <c r="W315" s="137"/>
      <c r="X315" s="137"/>
      <c r="Y315" s="137"/>
      <c r="Z315" s="137"/>
      <c r="AA315" s="137"/>
      <c r="AB315" s="137"/>
      <c r="AC315" s="137"/>
      <c r="AD315" s="137"/>
      <c r="AE315" s="137"/>
      <c r="AF315" s="137"/>
      <c r="AG315" s="137"/>
      <c r="AH315" s="137"/>
      <c r="AI315" s="137"/>
      <c r="AJ315" s="137"/>
      <c r="AK315" s="137"/>
      <c r="AL315" s="137"/>
      <c r="AM315" s="137"/>
      <c r="AN315" s="137"/>
      <c r="AO315" s="137"/>
      <c r="AP315" s="137"/>
      <c r="AQ315" s="137"/>
      <c r="AR315" s="137"/>
      <c r="AS315" s="137"/>
      <c r="AT315" s="137"/>
      <c r="AU315" s="137"/>
      <c r="AV315" s="137"/>
      <c r="AW315" s="137"/>
      <c r="AX315" s="137"/>
      <c r="AY315" s="137"/>
      <c r="AZ315" s="137"/>
      <c r="BA315" s="137"/>
      <c r="BB315" s="137"/>
      <c r="BC315" s="137"/>
      <c r="BD315" s="137"/>
      <c r="BE315" s="137"/>
      <c r="BF315" s="137"/>
      <c r="BG315" s="137"/>
      <c r="BH315" s="137"/>
    </row>
    <row r="316" spans="1:60" s="136" customFormat="1" ht="126">
      <c r="A316" s="127"/>
      <c r="B316" s="110" t="s">
        <v>447</v>
      </c>
      <c r="C316" s="118" t="s">
        <v>527</v>
      </c>
      <c r="D316" s="118"/>
      <c r="E316" s="118" t="s">
        <v>667</v>
      </c>
      <c r="F316" s="118" t="s">
        <v>666</v>
      </c>
      <c r="G316" s="118" t="s">
        <v>731</v>
      </c>
      <c r="H316" s="118" t="s">
        <v>464</v>
      </c>
      <c r="I316" s="118"/>
      <c r="J316" s="118" t="s">
        <v>437</v>
      </c>
      <c r="K316" s="113" t="s">
        <v>63</v>
      </c>
      <c r="L316" s="121">
        <f t="shared" si="8"/>
        <v>970900</v>
      </c>
      <c r="M316" s="116">
        <f t="shared" si="9"/>
        <v>1</v>
      </c>
      <c r="N316" s="113" t="s">
        <v>533</v>
      </c>
      <c r="O316" s="138" t="s">
        <v>472</v>
      </c>
      <c r="P316" s="113"/>
      <c r="Q316" s="113">
        <v>1</v>
      </c>
      <c r="R316" s="113"/>
      <c r="S316" s="113" t="s">
        <v>747</v>
      </c>
      <c r="T316" s="120">
        <v>970900</v>
      </c>
      <c r="U316" s="111" t="s">
        <v>746</v>
      </c>
      <c r="V316" s="137"/>
      <c r="W316" s="137"/>
      <c r="X316" s="137"/>
      <c r="Y316" s="137"/>
      <c r="Z316" s="137"/>
      <c r="AA316" s="137"/>
      <c r="AB316" s="137"/>
      <c r="AC316" s="137"/>
      <c r="AD316" s="137"/>
      <c r="AE316" s="137"/>
      <c r="AF316" s="137"/>
      <c r="AG316" s="137"/>
      <c r="AH316" s="137"/>
      <c r="AI316" s="137"/>
      <c r="AJ316" s="137"/>
      <c r="AK316" s="137"/>
      <c r="AL316" s="137"/>
      <c r="AM316" s="137"/>
      <c r="AN316" s="137"/>
      <c r="AO316" s="137"/>
      <c r="AP316" s="137"/>
      <c r="AQ316" s="137"/>
      <c r="AR316" s="137"/>
      <c r="AS316" s="137"/>
      <c r="AT316" s="137"/>
      <c r="AU316" s="137"/>
      <c r="AV316" s="137"/>
      <c r="AW316" s="137"/>
      <c r="AX316" s="137"/>
      <c r="AY316" s="137"/>
      <c r="AZ316" s="137"/>
      <c r="BA316" s="137"/>
      <c r="BB316" s="137"/>
      <c r="BC316" s="137"/>
      <c r="BD316" s="137"/>
      <c r="BE316" s="137"/>
      <c r="BF316" s="137"/>
      <c r="BG316" s="137"/>
      <c r="BH316" s="137"/>
    </row>
    <row r="317" spans="1:60" s="136" customFormat="1" ht="126">
      <c r="A317" s="127"/>
      <c r="B317" s="110" t="s">
        <v>447</v>
      </c>
      <c r="C317" s="118" t="s">
        <v>527</v>
      </c>
      <c r="D317" s="118"/>
      <c r="E317" s="118" t="s">
        <v>667</v>
      </c>
      <c r="F317" s="118" t="s">
        <v>666</v>
      </c>
      <c r="G317" s="118" t="s">
        <v>731</v>
      </c>
      <c r="H317" s="118" t="s">
        <v>350</v>
      </c>
      <c r="I317" s="118"/>
      <c r="J317" s="118" t="s">
        <v>103</v>
      </c>
      <c r="K317" s="113" t="s">
        <v>63</v>
      </c>
      <c r="L317" s="121">
        <f t="shared" si="8"/>
        <v>970900</v>
      </c>
      <c r="M317" s="116">
        <f t="shared" si="9"/>
        <v>1</v>
      </c>
      <c r="N317" s="113" t="s">
        <v>533</v>
      </c>
      <c r="O317" s="138" t="s">
        <v>472</v>
      </c>
      <c r="P317" s="113"/>
      <c r="Q317" s="116">
        <v>1</v>
      </c>
      <c r="R317" s="116"/>
      <c r="S317" s="116" t="s">
        <v>745</v>
      </c>
      <c r="T317" s="120">
        <v>970900</v>
      </c>
      <c r="U317" s="141" t="s">
        <v>744</v>
      </c>
      <c r="V317" s="137"/>
      <c r="W317" s="137"/>
      <c r="X317" s="137"/>
      <c r="Y317" s="137"/>
      <c r="Z317" s="137"/>
      <c r="AA317" s="137"/>
      <c r="AB317" s="137"/>
      <c r="AC317" s="137"/>
      <c r="AD317" s="137"/>
      <c r="AE317" s="137"/>
      <c r="AF317" s="137"/>
      <c r="AG317" s="137"/>
      <c r="AH317" s="137"/>
      <c r="AI317" s="137"/>
      <c r="AJ317" s="137"/>
      <c r="AK317" s="137"/>
      <c r="AL317" s="137"/>
      <c r="AM317" s="137"/>
      <c r="AN317" s="137"/>
      <c r="AO317" s="137"/>
      <c r="AP317" s="137"/>
      <c r="AQ317" s="137"/>
      <c r="AR317" s="137"/>
      <c r="AS317" s="137"/>
      <c r="AT317" s="137"/>
      <c r="AU317" s="137"/>
      <c r="AV317" s="137"/>
      <c r="AW317" s="137"/>
      <c r="AX317" s="137"/>
      <c r="AY317" s="137"/>
      <c r="AZ317" s="137"/>
      <c r="BA317" s="137"/>
      <c r="BB317" s="137"/>
      <c r="BC317" s="137"/>
      <c r="BD317" s="137"/>
      <c r="BE317" s="137"/>
      <c r="BF317" s="137"/>
      <c r="BG317" s="137"/>
      <c r="BH317" s="137"/>
    </row>
    <row r="318" spans="1:60" s="136" customFormat="1" ht="126">
      <c r="A318" s="127"/>
      <c r="B318" s="110" t="s">
        <v>447</v>
      </c>
      <c r="C318" s="118" t="s">
        <v>527</v>
      </c>
      <c r="D318" s="118"/>
      <c r="E318" s="118" t="s">
        <v>667</v>
      </c>
      <c r="F318" s="118" t="s">
        <v>666</v>
      </c>
      <c r="G318" s="118" t="s">
        <v>731</v>
      </c>
      <c r="H318" s="118" t="s">
        <v>171</v>
      </c>
      <c r="I318" s="118"/>
      <c r="J318" s="118" t="s">
        <v>169</v>
      </c>
      <c r="K318" s="113" t="s">
        <v>149</v>
      </c>
      <c r="L318" s="121">
        <f t="shared" si="8"/>
        <v>970900</v>
      </c>
      <c r="M318" s="116">
        <f t="shared" si="9"/>
        <v>1</v>
      </c>
      <c r="N318" s="113" t="s">
        <v>533</v>
      </c>
      <c r="O318" s="138" t="s">
        <v>472</v>
      </c>
      <c r="P318" s="116"/>
      <c r="Q318" s="116">
        <v>1</v>
      </c>
      <c r="R318" s="116"/>
      <c r="S318" s="116" t="s">
        <v>737</v>
      </c>
      <c r="T318" s="120">
        <v>970900</v>
      </c>
      <c r="U318" s="140" t="s">
        <v>736</v>
      </c>
      <c r="V318" s="137"/>
      <c r="W318" s="137"/>
      <c r="X318" s="137"/>
      <c r="Y318" s="137"/>
      <c r="Z318" s="137"/>
      <c r="AA318" s="137"/>
      <c r="AB318" s="137"/>
      <c r="AC318" s="137"/>
      <c r="AD318" s="137"/>
      <c r="AE318" s="137"/>
      <c r="AF318" s="137"/>
      <c r="AG318" s="137"/>
      <c r="AH318" s="137"/>
      <c r="AI318" s="137"/>
      <c r="AJ318" s="137"/>
      <c r="AK318" s="137"/>
      <c r="AL318" s="137"/>
      <c r="AM318" s="137"/>
      <c r="AN318" s="137"/>
      <c r="AO318" s="137"/>
      <c r="AP318" s="137"/>
      <c r="AQ318" s="137"/>
      <c r="AR318" s="137"/>
      <c r="AS318" s="137"/>
      <c r="AT318" s="137"/>
      <c r="AU318" s="137"/>
      <c r="AV318" s="137"/>
      <c r="AW318" s="137"/>
      <c r="AX318" s="137"/>
      <c r="AY318" s="137"/>
      <c r="AZ318" s="137"/>
      <c r="BA318" s="137"/>
      <c r="BB318" s="137"/>
      <c r="BC318" s="137"/>
      <c r="BD318" s="137"/>
      <c r="BE318" s="137"/>
      <c r="BF318" s="137"/>
      <c r="BG318" s="137"/>
      <c r="BH318" s="137"/>
    </row>
    <row r="319" spans="1:60" s="136" customFormat="1" ht="126">
      <c r="A319" s="127"/>
      <c r="B319" s="110" t="s">
        <v>447</v>
      </c>
      <c r="C319" s="118" t="s">
        <v>527</v>
      </c>
      <c r="D319" s="118"/>
      <c r="E319" s="118" t="s">
        <v>667</v>
      </c>
      <c r="F319" s="118" t="s">
        <v>666</v>
      </c>
      <c r="G319" s="118" t="s">
        <v>731</v>
      </c>
      <c r="H319" s="118" t="s">
        <v>171</v>
      </c>
      <c r="I319" s="118"/>
      <c r="J319" s="118" t="s">
        <v>169</v>
      </c>
      <c r="K319" s="113" t="s">
        <v>149</v>
      </c>
      <c r="L319" s="121">
        <f t="shared" ref="L319:L350" si="10">M319*T319</f>
        <v>970900</v>
      </c>
      <c r="M319" s="116">
        <f t="shared" si="9"/>
        <v>1</v>
      </c>
      <c r="N319" s="113" t="s">
        <v>533</v>
      </c>
      <c r="O319" s="138" t="s">
        <v>472</v>
      </c>
      <c r="P319" s="113"/>
      <c r="Q319" s="113">
        <v>1</v>
      </c>
      <c r="R319" s="113"/>
      <c r="S319" s="113" t="s">
        <v>743</v>
      </c>
      <c r="T319" s="120">
        <v>970900</v>
      </c>
      <c r="U319" s="111" t="s">
        <v>742</v>
      </c>
      <c r="V319" s="137"/>
      <c r="W319" s="137"/>
      <c r="X319" s="137"/>
      <c r="Y319" s="137"/>
      <c r="Z319" s="137"/>
      <c r="AA319" s="137"/>
      <c r="AB319" s="137"/>
      <c r="AC319" s="137"/>
      <c r="AD319" s="137"/>
      <c r="AE319" s="137"/>
      <c r="AF319" s="137"/>
      <c r="AG319" s="137"/>
      <c r="AH319" s="137"/>
      <c r="AI319" s="137"/>
      <c r="AJ319" s="137"/>
      <c r="AK319" s="137"/>
      <c r="AL319" s="137"/>
      <c r="AM319" s="137"/>
      <c r="AN319" s="137"/>
      <c r="AO319" s="137"/>
      <c r="AP319" s="137"/>
      <c r="AQ319" s="137"/>
      <c r="AR319" s="137"/>
      <c r="AS319" s="137"/>
      <c r="AT319" s="137"/>
      <c r="AU319" s="137"/>
      <c r="AV319" s="137"/>
      <c r="AW319" s="137"/>
      <c r="AX319" s="137"/>
      <c r="AY319" s="137"/>
      <c r="AZ319" s="137"/>
      <c r="BA319" s="137"/>
      <c r="BB319" s="137"/>
      <c r="BC319" s="137"/>
      <c r="BD319" s="137"/>
      <c r="BE319" s="137"/>
      <c r="BF319" s="137"/>
      <c r="BG319" s="137"/>
      <c r="BH319" s="137"/>
    </row>
    <row r="320" spans="1:60" s="136" customFormat="1" ht="126">
      <c r="A320" s="127"/>
      <c r="B320" s="110" t="s">
        <v>447</v>
      </c>
      <c r="C320" s="118" t="s">
        <v>527</v>
      </c>
      <c r="D320" s="118"/>
      <c r="E320" s="118" t="s">
        <v>667</v>
      </c>
      <c r="F320" s="118" t="s">
        <v>666</v>
      </c>
      <c r="G320" s="118" t="s">
        <v>731</v>
      </c>
      <c r="H320" s="118" t="s">
        <v>171</v>
      </c>
      <c r="I320" s="118"/>
      <c r="J320" s="118" t="s">
        <v>169</v>
      </c>
      <c r="K320" s="113" t="s">
        <v>149</v>
      </c>
      <c r="L320" s="121">
        <f t="shared" si="10"/>
        <v>970900</v>
      </c>
      <c r="M320" s="116">
        <f t="shared" si="9"/>
        <v>1</v>
      </c>
      <c r="N320" s="113" t="s">
        <v>533</v>
      </c>
      <c r="O320" s="138" t="s">
        <v>472</v>
      </c>
      <c r="P320" s="113"/>
      <c r="Q320" s="113">
        <v>1</v>
      </c>
      <c r="R320" s="113"/>
      <c r="S320" s="113" t="s">
        <v>741</v>
      </c>
      <c r="T320" s="120">
        <v>970900</v>
      </c>
      <c r="U320" s="111" t="s">
        <v>740</v>
      </c>
      <c r="V320" s="137"/>
      <c r="W320" s="137"/>
      <c r="X320" s="137"/>
      <c r="Y320" s="137"/>
      <c r="Z320" s="137"/>
      <c r="AA320" s="137"/>
      <c r="AB320" s="137"/>
      <c r="AC320" s="137"/>
      <c r="AD320" s="137"/>
      <c r="AE320" s="137"/>
      <c r="AF320" s="137"/>
      <c r="AG320" s="137"/>
      <c r="AH320" s="137"/>
      <c r="AI320" s="137"/>
      <c r="AJ320" s="137"/>
      <c r="AK320" s="137"/>
      <c r="AL320" s="137"/>
      <c r="AM320" s="137"/>
      <c r="AN320" s="137"/>
      <c r="AO320" s="137"/>
      <c r="AP320" s="137"/>
      <c r="AQ320" s="137"/>
      <c r="AR320" s="137"/>
      <c r="AS320" s="137"/>
      <c r="AT320" s="137"/>
      <c r="AU320" s="137"/>
      <c r="AV320" s="137"/>
      <c r="AW320" s="137"/>
      <c r="AX320" s="137"/>
      <c r="AY320" s="137"/>
      <c r="AZ320" s="137"/>
      <c r="BA320" s="137"/>
      <c r="BB320" s="137"/>
      <c r="BC320" s="137"/>
      <c r="BD320" s="137"/>
      <c r="BE320" s="137"/>
      <c r="BF320" s="137"/>
      <c r="BG320" s="137"/>
      <c r="BH320" s="137"/>
    </row>
    <row r="321" spans="1:60" s="136" customFormat="1" ht="126">
      <c r="A321" s="127"/>
      <c r="B321" s="110" t="s">
        <v>447</v>
      </c>
      <c r="C321" s="118" t="s">
        <v>527</v>
      </c>
      <c r="D321" s="118"/>
      <c r="E321" s="118" t="s">
        <v>667</v>
      </c>
      <c r="F321" s="118" t="s">
        <v>666</v>
      </c>
      <c r="G321" s="118" t="s">
        <v>731</v>
      </c>
      <c r="H321" s="118" t="s">
        <v>171</v>
      </c>
      <c r="I321" s="118"/>
      <c r="J321" s="118" t="s">
        <v>169</v>
      </c>
      <c r="K321" s="113" t="s">
        <v>149</v>
      </c>
      <c r="L321" s="121">
        <f t="shared" si="10"/>
        <v>970900</v>
      </c>
      <c r="M321" s="116">
        <f t="shared" si="9"/>
        <v>1</v>
      </c>
      <c r="N321" s="113" t="s">
        <v>533</v>
      </c>
      <c r="O321" s="138" t="s">
        <v>472</v>
      </c>
      <c r="P321" s="113"/>
      <c r="Q321" s="113">
        <v>1</v>
      </c>
      <c r="R321" s="113"/>
      <c r="S321" s="113" t="s">
        <v>739</v>
      </c>
      <c r="T321" s="120">
        <v>970900</v>
      </c>
      <c r="U321" s="111" t="s">
        <v>738</v>
      </c>
      <c r="V321" s="137"/>
      <c r="W321" s="137"/>
      <c r="X321" s="137"/>
      <c r="Y321" s="137"/>
      <c r="Z321" s="137"/>
      <c r="AA321" s="137"/>
      <c r="AB321" s="137"/>
      <c r="AC321" s="137"/>
      <c r="AD321" s="137"/>
      <c r="AE321" s="137"/>
      <c r="AF321" s="137"/>
      <c r="AG321" s="137"/>
      <c r="AH321" s="137"/>
      <c r="AI321" s="137"/>
      <c r="AJ321" s="137"/>
      <c r="AK321" s="137"/>
      <c r="AL321" s="137"/>
      <c r="AM321" s="137"/>
      <c r="AN321" s="137"/>
      <c r="AO321" s="137"/>
      <c r="AP321" s="137"/>
      <c r="AQ321" s="137"/>
      <c r="AR321" s="137"/>
      <c r="AS321" s="137"/>
      <c r="AT321" s="137"/>
      <c r="AU321" s="137"/>
      <c r="AV321" s="137"/>
      <c r="AW321" s="137"/>
      <c r="AX321" s="137"/>
      <c r="AY321" s="137"/>
      <c r="AZ321" s="137"/>
      <c r="BA321" s="137"/>
      <c r="BB321" s="137"/>
      <c r="BC321" s="137"/>
      <c r="BD321" s="137"/>
      <c r="BE321" s="137"/>
      <c r="BF321" s="137"/>
      <c r="BG321" s="137"/>
      <c r="BH321" s="137"/>
    </row>
    <row r="322" spans="1:60" s="136" customFormat="1" ht="126">
      <c r="A322" s="127"/>
      <c r="B322" s="110" t="s">
        <v>447</v>
      </c>
      <c r="C322" s="118" t="s">
        <v>527</v>
      </c>
      <c r="D322" s="118"/>
      <c r="E322" s="118" t="s">
        <v>667</v>
      </c>
      <c r="F322" s="118" t="s">
        <v>666</v>
      </c>
      <c r="G322" s="118" t="s">
        <v>731</v>
      </c>
      <c r="H322" s="118" t="s">
        <v>171</v>
      </c>
      <c r="I322" s="118"/>
      <c r="J322" s="118" t="s">
        <v>169</v>
      </c>
      <c r="K322" s="113" t="s">
        <v>149</v>
      </c>
      <c r="L322" s="121">
        <f t="shared" si="10"/>
        <v>970900</v>
      </c>
      <c r="M322" s="116">
        <f t="shared" si="9"/>
        <v>1</v>
      </c>
      <c r="N322" s="113" t="s">
        <v>533</v>
      </c>
      <c r="O322" s="138" t="s">
        <v>472</v>
      </c>
      <c r="P322" s="113"/>
      <c r="Q322" s="113">
        <v>1</v>
      </c>
      <c r="R322" s="113"/>
      <c r="S322" s="113" t="s">
        <v>737</v>
      </c>
      <c r="T322" s="120">
        <v>970900</v>
      </c>
      <c r="U322" s="111" t="s">
        <v>736</v>
      </c>
      <c r="V322" s="137"/>
      <c r="W322" s="137"/>
      <c r="X322" s="137"/>
      <c r="Y322" s="137"/>
      <c r="Z322" s="137"/>
      <c r="AA322" s="137"/>
      <c r="AB322" s="137"/>
      <c r="AC322" s="137"/>
      <c r="AD322" s="137"/>
      <c r="AE322" s="137"/>
      <c r="AF322" s="137"/>
      <c r="AG322" s="137"/>
      <c r="AH322" s="137"/>
      <c r="AI322" s="137"/>
      <c r="AJ322" s="137"/>
      <c r="AK322" s="137"/>
      <c r="AL322" s="137"/>
      <c r="AM322" s="137"/>
      <c r="AN322" s="137"/>
      <c r="AO322" s="137"/>
      <c r="AP322" s="137"/>
      <c r="AQ322" s="137"/>
      <c r="AR322" s="137"/>
      <c r="AS322" s="137"/>
      <c r="AT322" s="137"/>
      <c r="AU322" s="137"/>
      <c r="AV322" s="137"/>
      <c r="AW322" s="137"/>
      <c r="AX322" s="137"/>
      <c r="AY322" s="137"/>
      <c r="AZ322" s="137"/>
      <c r="BA322" s="137"/>
      <c r="BB322" s="137"/>
      <c r="BC322" s="137"/>
      <c r="BD322" s="137"/>
      <c r="BE322" s="137"/>
      <c r="BF322" s="137"/>
      <c r="BG322" s="137"/>
      <c r="BH322" s="137"/>
    </row>
    <row r="323" spans="1:60" s="136" customFormat="1" ht="126">
      <c r="A323" s="127"/>
      <c r="B323" s="110" t="s">
        <v>447</v>
      </c>
      <c r="C323" s="118" t="s">
        <v>527</v>
      </c>
      <c r="D323" s="118"/>
      <c r="E323" s="118" t="s">
        <v>667</v>
      </c>
      <c r="F323" s="118" t="s">
        <v>666</v>
      </c>
      <c r="G323" s="118" t="s">
        <v>731</v>
      </c>
      <c r="H323" s="118" t="s">
        <v>365</v>
      </c>
      <c r="I323" s="118"/>
      <c r="J323" s="118" t="s">
        <v>110</v>
      </c>
      <c r="K323" s="113" t="s">
        <v>63</v>
      </c>
      <c r="L323" s="121">
        <f t="shared" si="10"/>
        <v>970900</v>
      </c>
      <c r="M323" s="116">
        <f t="shared" si="9"/>
        <v>1</v>
      </c>
      <c r="N323" s="113" t="s">
        <v>533</v>
      </c>
      <c r="O323" s="138" t="s">
        <v>472</v>
      </c>
      <c r="P323" s="113"/>
      <c r="Q323" s="113">
        <v>1</v>
      </c>
      <c r="R323" s="113"/>
      <c r="S323" s="113" t="s">
        <v>735</v>
      </c>
      <c r="T323" s="120">
        <v>970900</v>
      </c>
      <c r="U323" s="111" t="s">
        <v>734</v>
      </c>
      <c r="V323" s="137"/>
      <c r="W323" s="137"/>
      <c r="X323" s="137"/>
      <c r="Y323" s="137"/>
      <c r="Z323" s="137"/>
      <c r="AA323" s="137"/>
      <c r="AB323" s="137"/>
      <c r="AC323" s="137"/>
      <c r="AD323" s="137"/>
      <c r="AE323" s="137"/>
      <c r="AF323" s="137"/>
      <c r="AG323" s="137"/>
      <c r="AH323" s="137"/>
      <c r="AI323" s="137"/>
      <c r="AJ323" s="137"/>
      <c r="AK323" s="137"/>
      <c r="AL323" s="137"/>
      <c r="AM323" s="137"/>
      <c r="AN323" s="137"/>
      <c r="AO323" s="137"/>
      <c r="AP323" s="137"/>
      <c r="AQ323" s="137"/>
      <c r="AR323" s="137"/>
      <c r="AS323" s="137"/>
      <c r="AT323" s="137"/>
      <c r="AU323" s="137"/>
      <c r="AV323" s="137"/>
      <c r="AW323" s="137"/>
      <c r="AX323" s="137"/>
      <c r="AY323" s="137"/>
      <c r="AZ323" s="137"/>
      <c r="BA323" s="137"/>
      <c r="BB323" s="137"/>
      <c r="BC323" s="137"/>
      <c r="BD323" s="137"/>
      <c r="BE323" s="137"/>
      <c r="BF323" s="137"/>
      <c r="BG323" s="137"/>
      <c r="BH323" s="137"/>
    </row>
    <row r="324" spans="1:60" s="136" customFormat="1" ht="126">
      <c r="A324" s="127"/>
      <c r="B324" s="110" t="s">
        <v>447</v>
      </c>
      <c r="C324" s="118" t="s">
        <v>527</v>
      </c>
      <c r="D324" s="118"/>
      <c r="E324" s="118" t="s">
        <v>667</v>
      </c>
      <c r="F324" s="118" t="s">
        <v>666</v>
      </c>
      <c r="G324" s="118" t="s">
        <v>731</v>
      </c>
      <c r="H324" s="118" t="s">
        <v>141</v>
      </c>
      <c r="I324" s="118"/>
      <c r="J324" s="118" t="s">
        <v>139</v>
      </c>
      <c r="K324" s="113" t="s">
        <v>63</v>
      </c>
      <c r="L324" s="121">
        <f t="shared" si="10"/>
        <v>970900</v>
      </c>
      <c r="M324" s="116">
        <f t="shared" si="9"/>
        <v>1</v>
      </c>
      <c r="N324" s="113" t="s">
        <v>533</v>
      </c>
      <c r="O324" s="138" t="s">
        <v>472</v>
      </c>
      <c r="P324" s="113"/>
      <c r="Q324" s="113">
        <v>1</v>
      </c>
      <c r="R324" s="113"/>
      <c r="S324" s="113" t="s">
        <v>733</v>
      </c>
      <c r="T324" s="120">
        <v>970900</v>
      </c>
      <c r="U324" s="111" t="s">
        <v>732</v>
      </c>
      <c r="V324" s="137"/>
      <c r="W324" s="137"/>
      <c r="X324" s="137"/>
      <c r="Y324" s="137"/>
      <c r="Z324" s="137"/>
      <c r="AA324" s="137"/>
      <c r="AB324" s="137"/>
      <c r="AC324" s="137"/>
      <c r="AD324" s="137"/>
      <c r="AE324" s="137"/>
      <c r="AF324" s="137"/>
      <c r="AG324" s="137"/>
      <c r="AH324" s="137"/>
      <c r="AI324" s="137"/>
      <c r="AJ324" s="137"/>
      <c r="AK324" s="137"/>
      <c r="AL324" s="137"/>
      <c r="AM324" s="137"/>
      <c r="AN324" s="137"/>
      <c r="AO324" s="137"/>
      <c r="AP324" s="137"/>
      <c r="AQ324" s="137"/>
      <c r="AR324" s="137"/>
      <c r="AS324" s="137"/>
      <c r="AT324" s="137"/>
      <c r="AU324" s="137"/>
      <c r="AV324" s="137"/>
      <c r="AW324" s="137"/>
      <c r="AX324" s="137"/>
      <c r="AY324" s="137"/>
      <c r="AZ324" s="137"/>
      <c r="BA324" s="137"/>
      <c r="BB324" s="137"/>
      <c r="BC324" s="137"/>
      <c r="BD324" s="137"/>
      <c r="BE324" s="137"/>
      <c r="BF324" s="137"/>
      <c r="BG324" s="137"/>
      <c r="BH324" s="137"/>
    </row>
    <row r="325" spans="1:60" s="136" customFormat="1" ht="126">
      <c r="A325" s="127"/>
      <c r="B325" s="110" t="s">
        <v>447</v>
      </c>
      <c r="C325" s="118" t="s">
        <v>527</v>
      </c>
      <c r="D325" s="118"/>
      <c r="E325" s="118" t="s">
        <v>667</v>
      </c>
      <c r="F325" s="118" t="s">
        <v>666</v>
      </c>
      <c r="G325" s="118" t="s">
        <v>731</v>
      </c>
      <c r="H325" s="118" t="s">
        <v>259</v>
      </c>
      <c r="I325" s="118"/>
      <c r="J325" s="118" t="s">
        <v>257</v>
      </c>
      <c r="K325" s="113" t="s">
        <v>63</v>
      </c>
      <c r="L325" s="121">
        <f t="shared" si="10"/>
        <v>970900</v>
      </c>
      <c r="M325" s="116">
        <f t="shared" si="9"/>
        <v>1</v>
      </c>
      <c r="N325" s="113" t="s">
        <v>533</v>
      </c>
      <c r="O325" s="138" t="s">
        <v>472</v>
      </c>
      <c r="P325" s="113"/>
      <c r="Q325" s="113">
        <v>1</v>
      </c>
      <c r="R325" s="113"/>
      <c r="S325" s="113" t="s">
        <v>730</v>
      </c>
      <c r="T325" s="120">
        <v>970900</v>
      </c>
      <c r="U325" s="111" t="s">
        <v>729</v>
      </c>
      <c r="V325" s="137"/>
      <c r="W325" s="137"/>
      <c r="X325" s="137"/>
      <c r="Y325" s="137"/>
      <c r="Z325" s="137"/>
      <c r="AA325" s="137"/>
      <c r="AB325" s="137"/>
      <c r="AC325" s="137"/>
      <c r="AD325" s="137"/>
      <c r="AE325" s="137"/>
      <c r="AF325" s="137"/>
      <c r="AG325" s="137"/>
      <c r="AH325" s="137"/>
      <c r="AI325" s="137"/>
      <c r="AJ325" s="137"/>
      <c r="AK325" s="137"/>
      <c r="AL325" s="137"/>
      <c r="AM325" s="137"/>
      <c r="AN325" s="137"/>
      <c r="AO325" s="137"/>
      <c r="AP325" s="137"/>
      <c r="AQ325" s="137"/>
      <c r="AR325" s="137"/>
      <c r="AS325" s="137"/>
      <c r="AT325" s="137"/>
      <c r="AU325" s="137"/>
      <c r="AV325" s="137"/>
      <c r="AW325" s="137"/>
      <c r="AX325" s="137"/>
      <c r="AY325" s="137"/>
      <c r="AZ325" s="137"/>
      <c r="BA325" s="137"/>
      <c r="BB325" s="137"/>
      <c r="BC325" s="137"/>
      <c r="BD325" s="137"/>
      <c r="BE325" s="137"/>
      <c r="BF325" s="137"/>
      <c r="BG325" s="137"/>
      <c r="BH325" s="137"/>
    </row>
    <row r="326" spans="1:60" s="136" customFormat="1" ht="126">
      <c r="A326" s="127"/>
      <c r="B326" s="110" t="s">
        <v>447</v>
      </c>
      <c r="C326" s="118" t="s">
        <v>527</v>
      </c>
      <c r="D326" s="118"/>
      <c r="E326" s="118" t="s">
        <v>667</v>
      </c>
      <c r="F326" s="118" t="s">
        <v>666</v>
      </c>
      <c r="G326" s="118" t="s">
        <v>683</v>
      </c>
      <c r="H326" s="118" t="s">
        <v>39</v>
      </c>
      <c r="I326" s="118"/>
      <c r="J326" s="118" t="s">
        <v>34</v>
      </c>
      <c r="K326" s="113" t="s">
        <v>13</v>
      </c>
      <c r="L326" s="121">
        <f t="shared" si="10"/>
        <v>1207900</v>
      </c>
      <c r="M326" s="116">
        <f t="shared" si="9"/>
        <v>1</v>
      </c>
      <c r="N326" s="113" t="s">
        <v>533</v>
      </c>
      <c r="O326" s="138" t="s">
        <v>472</v>
      </c>
      <c r="P326" s="113"/>
      <c r="Q326" s="113">
        <v>1</v>
      </c>
      <c r="R326" s="113"/>
      <c r="S326" s="113" t="s">
        <v>728</v>
      </c>
      <c r="T326" s="120">
        <v>1207900</v>
      </c>
      <c r="U326" s="111" t="s">
        <v>727</v>
      </c>
      <c r="V326" s="137"/>
      <c r="W326" s="137"/>
      <c r="X326" s="137"/>
      <c r="Y326" s="137"/>
      <c r="Z326" s="137"/>
      <c r="AA326" s="137"/>
      <c r="AB326" s="137"/>
      <c r="AC326" s="137"/>
      <c r="AD326" s="137"/>
      <c r="AE326" s="137"/>
      <c r="AF326" s="137"/>
      <c r="AG326" s="137"/>
      <c r="AH326" s="137"/>
      <c r="AI326" s="137"/>
      <c r="AJ326" s="137"/>
      <c r="AK326" s="137"/>
      <c r="AL326" s="137"/>
      <c r="AM326" s="137"/>
      <c r="AN326" s="137"/>
      <c r="AO326" s="137"/>
      <c r="AP326" s="137"/>
      <c r="AQ326" s="137"/>
      <c r="AR326" s="137"/>
      <c r="AS326" s="137"/>
      <c r="AT326" s="137"/>
      <c r="AU326" s="137"/>
      <c r="AV326" s="137"/>
      <c r="AW326" s="137"/>
      <c r="AX326" s="137"/>
      <c r="AY326" s="137"/>
      <c r="AZ326" s="137"/>
      <c r="BA326" s="137"/>
      <c r="BB326" s="137"/>
      <c r="BC326" s="137"/>
      <c r="BD326" s="137"/>
      <c r="BE326" s="137"/>
      <c r="BF326" s="137"/>
      <c r="BG326" s="137"/>
      <c r="BH326" s="137"/>
    </row>
    <row r="327" spans="1:60" s="136" customFormat="1" ht="126">
      <c r="A327" s="127"/>
      <c r="B327" s="110" t="s">
        <v>447</v>
      </c>
      <c r="C327" s="118" t="s">
        <v>527</v>
      </c>
      <c r="D327" s="118"/>
      <c r="E327" s="118" t="s">
        <v>667</v>
      </c>
      <c r="F327" s="118" t="s">
        <v>666</v>
      </c>
      <c r="G327" s="118" t="s">
        <v>683</v>
      </c>
      <c r="H327" s="118" t="s">
        <v>396</v>
      </c>
      <c r="I327" s="118"/>
      <c r="J327" s="118" t="s">
        <v>726</v>
      </c>
      <c r="K327" s="113" t="s">
        <v>149</v>
      </c>
      <c r="L327" s="121">
        <f t="shared" si="10"/>
        <v>1207900</v>
      </c>
      <c r="M327" s="116">
        <f t="shared" si="9"/>
        <v>1</v>
      </c>
      <c r="N327" s="113" t="s">
        <v>533</v>
      </c>
      <c r="O327" s="138" t="s">
        <v>472</v>
      </c>
      <c r="P327" s="113"/>
      <c r="Q327" s="113">
        <v>1</v>
      </c>
      <c r="R327" s="113"/>
      <c r="S327" s="113" t="s">
        <v>725</v>
      </c>
      <c r="T327" s="120">
        <v>1207900</v>
      </c>
      <c r="U327" s="111" t="s">
        <v>724</v>
      </c>
      <c r="V327" s="137"/>
      <c r="W327" s="137"/>
      <c r="X327" s="137"/>
      <c r="Y327" s="137"/>
      <c r="Z327" s="137"/>
      <c r="AA327" s="137"/>
      <c r="AB327" s="137"/>
      <c r="AC327" s="137"/>
      <c r="AD327" s="137"/>
      <c r="AE327" s="137"/>
      <c r="AF327" s="137"/>
      <c r="AG327" s="137"/>
      <c r="AH327" s="137"/>
      <c r="AI327" s="137"/>
      <c r="AJ327" s="137"/>
      <c r="AK327" s="137"/>
      <c r="AL327" s="137"/>
      <c r="AM327" s="137"/>
      <c r="AN327" s="137"/>
      <c r="AO327" s="137"/>
      <c r="AP327" s="137"/>
      <c r="AQ327" s="137"/>
      <c r="AR327" s="137"/>
      <c r="AS327" s="137"/>
      <c r="AT327" s="137"/>
      <c r="AU327" s="137"/>
      <c r="AV327" s="137"/>
      <c r="AW327" s="137"/>
      <c r="AX327" s="137"/>
      <c r="AY327" s="137"/>
      <c r="AZ327" s="137"/>
      <c r="BA327" s="137"/>
      <c r="BB327" s="137"/>
      <c r="BC327" s="137"/>
      <c r="BD327" s="137"/>
      <c r="BE327" s="137"/>
      <c r="BF327" s="137"/>
      <c r="BG327" s="137"/>
      <c r="BH327" s="137"/>
    </row>
    <row r="328" spans="1:60" s="136" customFormat="1" ht="126">
      <c r="A328" s="127"/>
      <c r="B328" s="110" t="s">
        <v>447</v>
      </c>
      <c r="C328" s="118" t="s">
        <v>527</v>
      </c>
      <c r="D328" s="118"/>
      <c r="E328" s="118" t="s">
        <v>667</v>
      </c>
      <c r="F328" s="118" t="s">
        <v>666</v>
      </c>
      <c r="G328" s="118" t="s">
        <v>683</v>
      </c>
      <c r="H328" s="118" t="s">
        <v>322</v>
      </c>
      <c r="I328" s="118"/>
      <c r="J328" s="118" t="s">
        <v>320</v>
      </c>
      <c r="K328" s="113" t="s">
        <v>40</v>
      </c>
      <c r="L328" s="121">
        <f t="shared" si="10"/>
        <v>1207900</v>
      </c>
      <c r="M328" s="116">
        <f t="shared" si="9"/>
        <v>1</v>
      </c>
      <c r="N328" s="113" t="s">
        <v>533</v>
      </c>
      <c r="O328" s="138" t="s">
        <v>472</v>
      </c>
      <c r="P328" s="113"/>
      <c r="Q328" s="113">
        <v>1</v>
      </c>
      <c r="R328" s="113"/>
      <c r="S328" s="113" t="s">
        <v>723</v>
      </c>
      <c r="T328" s="120">
        <v>1207900</v>
      </c>
      <c r="U328" s="111" t="s">
        <v>722</v>
      </c>
      <c r="V328" s="137"/>
      <c r="W328" s="137"/>
      <c r="X328" s="137"/>
      <c r="Y328" s="137"/>
      <c r="Z328" s="137"/>
      <c r="AA328" s="137"/>
      <c r="AB328" s="137"/>
      <c r="AC328" s="137"/>
      <c r="AD328" s="137"/>
      <c r="AE328" s="137"/>
      <c r="AF328" s="137"/>
      <c r="AG328" s="137"/>
      <c r="AH328" s="137"/>
      <c r="AI328" s="137"/>
      <c r="AJ328" s="137"/>
      <c r="AK328" s="137"/>
      <c r="AL328" s="137"/>
      <c r="AM328" s="137"/>
      <c r="AN328" s="137"/>
      <c r="AO328" s="137"/>
      <c r="AP328" s="137"/>
      <c r="AQ328" s="137"/>
      <c r="AR328" s="137"/>
      <c r="AS328" s="137"/>
      <c r="AT328" s="137"/>
      <c r="AU328" s="137"/>
      <c r="AV328" s="137"/>
      <c r="AW328" s="137"/>
      <c r="AX328" s="137"/>
      <c r="AY328" s="137"/>
      <c r="AZ328" s="137"/>
      <c r="BA328" s="137"/>
      <c r="BB328" s="137"/>
      <c r="BC328" s="137"/>
      <c r="BD328" s="137"/>
      <c r="BE328" s="137"/>
      <c r="BF328" s="137"/>
      <c r="BG328" s="137"/>
      <c r="BH328" s="137"/>
    </row>
    <row r="329" spans="1:60" s="136" customFormat="1" ht="126">
      <c r="A329" s="127"/>
      <c r="B329" s="110" t="s">
        <v>447</v>
      </c>
      <c r="C329" s="118" t="s">
        <v>527</v>
      </c>
      <c r="D329" s="118"/>
      <c r="E329" s="118" t="s">
        <v>667</v>
      </c>
      <c r="F329" s="118" t="s">
        <v>666</v>
      </c>
      <c r="G329" s="118" t="s">
        <v>683</v>
      </c>
      <c r="H329" s="118" t="s">
        <v>24</v>
      </c>
      <c r="I329" s="118"/>
      <c r="J329" s="118" t="s">
        <v>22</v>
      </c>
      <c r="K329" s="113" t="s">
        <v>13</v>
      </c>
      <c r="L329" s="121">
        <f t="shared" si="10"/>
        <v>1207900</v>
      </c>
      <c r="M329" s="116">
        <f t="shared" si="9"/>
        <v>1</v>
      </c>
      <c r="N329" s="113" t="s">
        <v>533</v>
      </c>
      <c r="O329" s="138" t="s">
        <v>472</v>
      </c>
      <c r="P329" s="113"/>
      <c r="Q329" s="113">
        <v>1</v>
      </c>
      <c r="R329" s="113"/>
      <c r="S329" s="113" t="s">
        <v>721</v>
      </c>
      <c r="T329" s="120">
        <v>1207900</v>
      </c>
      <c r="U329" s="111" t="s">
        <v>720</v>
      </c>
      <c r="V329" s="137"/>
      <c r="W329" s="137"/>
      <c r="X329" s="137"/>
      <c r="Y329" s="137"/>
      <c r="Z329" s="137"/>
      <c r="AA329" s="137"/>
      <c r="AB329" s="137"/>
      <c r="AC329" s="137"/>
      <c r="AD329" s="137"/>
      <c r="AE329" s="137"/>
      <c r="AF329" s="137"/>
      <c r="AG329" s="137"/>
      <c r="AH329" s="137"/>
      <c r="AI329" s="137"/>
      <c r="AJ329" s="137"/>
      <c r="AK329" s="137"/>
      <c r="AL329" s="137"/>
      <c r="AM329" s="137"/>
      <c r="AN329" s="137"/>
      <c r="AO329" s="137"/>
      <c r="AP329" s="137"/>
      <c r="AQ329" s="137"/>
      <c r="AR329" s="137"/>
      <c r="AS329" s="137"/>
      <c r="AT329" s="137"/>
      <c r="AU329" s="137"/>
      <c r="AV329" s="137"/>
      <c r="AW329" s="137"/>
      <c r="AX329" s="137"/>
      <c r="AY329" s="137"/>
      <c r="AZ329" s="137"/>
      <c r="BA329" s="137"/>
      <c r="BB329" s="137"/>
      <c r="BC329" s="137"/>
      <c r="BD329" s="137"/>
      <c r="BE329" s="137"/>
      <c r="BF329" s="137"/>
      <c r="BG329" s="137"/>
      <c r="BH329" s="137"/>
    </row>
    <row r="330" spans="1:60" s="136" customFormat="1" ht="126">
      <c r="A330" s="127"/>
      <c r="B330" s="110" t="s">
        <v>447</v>
      </c>
      <c r="C330" s="118" t="s">
        <v>527</v>
      </c>
      <c r="D330" s="118"/>
      <c r="E330" s="118" t="s">
        <v>667</v>
      </c>
      <c r="F330" s="118" t="s">
        <v>666</v>
      </c>
      <c r="G330" s="118" t="s">
        <v>683</v>
      </c>
      <c r="H330" s="118" t="s">
        <v>145</v>
      </c>
      <c r="I330" s="118"/>
      <c r="J330" s="118" t="s">
        <v>143</v>
      </c>
      <c r="K330" s="113" t="s">
        <v>63</v>
      </c>
      <c r="L330" s="121">
        <f t="shared" si="10"/>
        <v>1207900</v>
      </c>
      <c r="M330" s="116">
        <f t="shared" si="9"/>
        <v>1</v>
      </c>
      <c r="N330" s="113" t="s">
        <v>533</v>
      </c>
      <c r="O330" s="138" t="s">
        <v>472</v>
      </c>
      <c r="P330" s="113"/>
      <c r="Q330" s="113">
        <v>1</v>
      </c>
      <c r="R330" s="113"/>
      <c r="S330" s="113" t="s">
        <v>719</v>
      </c>
      <c r="T330" s="120">
        <v>1207900</v>
      </c>
      <c r="U330" s="111" t="s">
        <v>718</v>
      </c>
      <c r="V330" s="137"/>
      <c r="W330" s="137"/>
      <c r="X330" s="137"/>
      <c r="Y330" s="137"/>
      <c r="Z330" s="137"/>
      <c r="AA330" s="137"/>
      <c r="AB330" s="137"/>
      <c r="AC330" s="137"/>
      <c r="AD330" s="137"/>
      <c r="AE330" s="137"/>
      <c r="AF330" s="137"/>
      <c r="AG330" s="137"/>
      <c r="AH330" s="137"/>
      <c r="AI330" s="137"/>
      <c r="AJ330" s="137"/>
      <c r="AK330" s="137"/>
      <c r="AL330" s="137"/>
      <c r="AM330" s="137"/>
      <c r="AN330" s="137"/>
      <c r="AO330" s="137"/>
      <c r="AP330" s="137"/>
      <c r="AQ330" s="137"/>
      <c r="AR330" s="137"/>
      <c r="AS330" s="137"/>
      <c r="AT330" s="137"/>
      <c r="AU330" s="137"/>
      <c r="AV330" s="137"/>
      <c r="AW330" s="137"/>
      <c r="AX330" s="137"/>
      <c r="AY330" s="137"/>
      <c r="AZ330" s="137"/>
      <c r="BA330" s="137"/>
      <c r="BB330" s="137"/>
      <c r="BC330" s="137"/>
      <c r="BD330" s="137"/>
      <c r="BE330" s="137"/>
      <c r="BF330" s="137"/>
      <c r="BG330" s="137"/>
      <c r="BH330" s="137"/>
    </row>
    <row r="331" spans="1:60" s="136" customFormat="1" ht="126">
      <c r="A331" s="127"/>
      <c r="B331" s="110" t="s">
        <v>447</v>
      </c>
      <c r="C331" s="118" t="s">
        <v>527</v>
      </c>
      <c r="D331" s="118"/>
      <c r="E331" s="118" t="s">
        <v>667</v>
      </c>
      <c r="F331" s="118" t="s">
        <v>666</v>
      </c>
      <c r="G331" s="118" t="s">
        <v>683</v>
      </c>
      <c r="H331" s="118" t="s">
        <v>171</v>
      </c>
      <c r="I331" s="118"/>
      <c r="J331" s="118" t="s">
        <v>169</v>
      </c>
      <c r="K331" s="113" t="s">
        <v>149</v>
      </c>
      <c r="L331" s="121">
        <f t="shared" si="10"/>
        <v>1207900</v>
      </c>
      <c r="M331" s="116">
        <f t="shared" si="9"/>
        <v>1</v>
      </c>
      <c r="N331" s="113" t="s">
        <v>533</v>
      </c>
      <c r="O331" s="138" t="s">
        <v>472</v>
      </c>
      <c r="P331" s="113"/>
      <c r="Q331" s="113">
        <v>1</v>
      </c>
      <c r="R331" s="113"/>
      <c r="S331" s="113" t="s">
        <v>717</v>
      </c>
      <c r="T331" s="120">
        <v>1207900</v>
      </c>
      <c r="U331" s="111" t="s">
        <v>716</v>
      </c>
      <c r="V331" s="137"/>
      <c r="W331" s="137"/>
      <c r="X331" s="137"/>
      <c r="Y331" s="137"/>
      <c r="Z331" s="137"/>
      <c r="AA331" s="137"/>
      <c r="AB331" s="137"/>
      <c r="AC331" s="137"/>
      <c r="AD331" s="137"/>
      <c r="AE331" s="137"/>
      <c r="AF331" s="137"/>
      <c r="AG331" s="137"/>
      <c r="AH331" s="137"/>
      <c r="AI331" s="137"/>
      <c r="AJ331" s="137"/>
      <c r="AK331" s="137"/>
      <c r="AL331" s="137"/>
      <c r="AM331" s="137"/>
      <c r="AN331" s="137"/>
      <c r="AO331" s="137"/>
      <c r="AP331" s="137"/>
      <c r="AQ331" s="137"/>
      <c r="AR331" s="137"/>
      <c r="AS331" s="137"/>
      <c r="AT331" s="137"/>
      <c r="AU331" s="137"/>
      <c r="AV331" s="137"/>
      <c r="AW331" s="137"/>
      <c r="AX331" s="137"/>
      <c r="AY331" s="137"/>
      <c r="AZ331" s="137"/>
      <c r="BA331" s="137"/>
      <c r="BB331" s="137"/>
      <c r="BC331" s="137"/>
      <c r="BD331" s="137"/>
      <c r="BE331" s="137"/>
      <c r="BF331" s="137"/>
      <c r="BG331" s="137"/>
      <c r="BH331" s="137"/>
    </row>
    <row r="332" spans="1:60" s="136" customFormat="1" ht="126">
      <c r="A332" s="127"/>
      <c r="B332" s="110" t="s">
        <v>447</v>
      </c>
      <c r="C332" s="118" t="s">
        <v>527</v>
      </c>
      <c r="D332" s="118"/>
      <c r="E332" s="118" t="s">
        <v>667</v>
      </c>
      <c r="F332" s="118" t="s">
        <v>666</v>
      </c>
      <c r="G332" s="118" t="s">
        <v>683</v>
      </c>
      <c r="H332" s="118" t="s">
        <v>171</v>
      </c>
      <c r="I332" s="118"/>
      <c r="J332" s="118" t="s">
        <v>169</v>
      </c>
      <c r="K332" s="113" t="s">
        <v>149</v>
      </c>
      <c r="L332" s="121">
        <f t="shared" si="10"/>
        <v>1207900</v>
      </c>
      <c r="M332" s="116">
        <f t="shared" si="9"/>
        <v>1</v>
      </c>
      <c r="N332" s="113" t="s">
        <v>533</v>
      </c>
      <c r="O332" s="138" t="s">
        <v>472</v>
      </c>
      <c r="P332" s="113"/>
      <c r="Q332" s="116">
        <v>1</v>
      </c>
      <c r="R332" s="116"/>
      <c r="S332" s="116" t="s">
        <v>715</v>
      </c>
      <c r="T332" s="120">
        <v>1207900</v>
      </c>
      <c r="U332" s="141" t="s">
        <v>714</v>
      </c>
      <c r="V332" s="137"/>
      <c r="W332" s="137"/>
      <c r="X332" s="137"/>
      <c r="Y332" s="137"/>
      <c r="Z332" s="137"/>
      <c r="AA332" s="137"/>
      <c r="AB332" s="137"/>
      <c r="AC332" s="137"/>
      <c r="AD332" s="137"/>
      <c r="AE332" s="137"/>
      <c r="AF332" s="137"/>
      <c r="AG332" s="137"/>
      <c r="AH332" s="137"/>
      <c r="AI332" s="137"/>
      <c r="AJ332" s="137"/>
      <c r="AK332" s="137"/>
      <c r="AL332" s="137"/>
      <c r="AM332" s="137"/>
      <c r="AN332" s="137"/>
      <c r="AO332" s="137"/>
      <c r="AP332" s="137"/>
      <c r="AQ332" s="137"/>
      <c r="AR332" s="137"/>
      <c r="AS332" s="137"/>
      <c r="AT332" s="137"/>
      <c r="AU332" s="137"/>
      <c r="AV332" s="137"/>
      <c r="AW332" s="137"/>
      <c r="AX332" s="137"/>
      <c r="AY332" s="137"/>
      <c r="AZ332" s="137"/>
      <c r="BA332" s="137"/>
      <c r="BB332" s="137"/>
      <c r="BC332" s="137"/>
      <c r="BD332" s="137"/>
      <c r="BE332" s="137"/>
      <c r="BF332" s="137"/>
      <c r="BG332" s="137"/>
      <c r="BH332" s="137"/>
    </row>
    <row r="333" spans="1:60" s="136" customFormat="1" ht="126">
      <c r="A333" s="127"/>
      <c r="B333" s="110" t="s">
        <v>447</v>
      </c>
      <c r="C333" s="118" t="s">
        <v>527</v>
      </c>
      <c r="D333" s="118"/>
      <c r="E333" s="118" t="s">
        <v>667</v>
      </c>
      <c r="F333" s="118" t="s">
        <v>666</v>
      </c>
      <c r="G333" s="118" t="s">
        <v>683</v>
      </c>
      <c r="H333" s="118" t="s">
        <v>201</v>
      </c>
      <c r="I333" s="118"/>
      <c r="J333" s="118" t="s">
        <v>199</v>
      </c>
      <c r="K333" s="113" t="s">
        <v>63</v>
      </c>
      <c r="L333" s="121">
        <f t="shared" si="10"/>
        <v>1207900</v>
      </c>
      <c r="M333" s="116">
        <f t="shared" si="9"/>
        <v>1</v>
      </c>
      <c r="N333" s="113" t="s">
        <v>533</v>
      </c>
      <c r="O333" s="138" t="s">
        <v>472</v>
      </c>
      <c r="P333" s="113"/>
      <c r="Q333" s="113">
        <v>1</v>
      </c>
      <c r="R333" s="113"/>
      <c r="S333" s="113" t="s">
        <v>713</v>
      </c>
      <c r="T333" s="120">
        <v>1207900</v>
      </c>
      <c r="U333" s="111" t="s">
        <v>712</v>
      </c>
      <c r="V333" s="137"/>
      <c r="W333" s="137"/>
      <c r="X333" s="137"/>
      <c r="Y333" s="137"/>
      <c r="Z333" s="137"/>
      <c r="AA333" s="137"/>
      <c r="AB333" s="137"/>
      <c r="AC333" s="137"/>
      <c r="AD333" s="137"/>
      <c r="AE333" s="137"/>
      <c r="AF333" s="137"/>
      <c r="AG333" s="137"/>
      <c r="AH333" s="137"/>
      <c r="AI333" s="137"/>
      <c r="AJ333" s="137"/>
      <c r="AK333" s="137"/>
      <c r="AL333" s="137"/>
      <c r="AM333" s="137"/>
      <c r="AN333" s="137"/>
      <c r="AO333" s="137"/>
      <c r="AP333" s="137"/>
      <c r="AQ333" s="137"/>
      <c r="AR333" s="137"/>
      <c r="AS333" s="137"/>
      <c r="AT333" s="137"/>
      <c r="AU333" s="137"/>
      <c r="AV333" s="137"/>
      <c r="AW333" s="137"/>
      <c r="AX333" s="137"/>
      <c r="AY333" s="137"/>
      <c r="AZ333" s="137"/>
      <c r="BA333" s="137"/>
      <c r="BB333" s="137"/>
      <c r="BC333" s="137"/>
      <c r="BD333" s="137"/>
      <c r="BE333" s="137"/>
      <c r="BF333" s="137"/>
      <c r="BG333" s="137"/>
      <c r="BH333" s="137"/>
    </row>
    <row r="334" spans="1:60" s="136" customFormat="1" ht="126">
      <c r="A334" s="127"/>
      <c r="B334" s="110" t="s">
        <v>447</v>
      </c>
      <c r="C334" s="118" t="s">
        <v>527</v>
      </c>
      <c r="D334" s="118"/>
      <c r="E334" s="118" t="s">
        <v>667</v>
      </c>
      <c r="F334" s="118" t="s">
        <v>666</v>
      </c>
      <c r="G334" s="118" t="s">
        <v>683</v>
      </c>
      <c r="H334" s="118" t="s">
        <v>18</v>
      </c>
      <c r="I334" s="118"/>
      <c r="J334" s="118" t="s">
        <v>14</v>
      </c>
      <c r="K334" s="113" t="s">
        <v>13</v>
      </c>
      <c r="L334" s="121">
        <f t="shared" si="10"/>
        <v>1207900</v>
      </c>
      <c r="M334" s="116">
        <f t="shared" si="9"/>
        <v>1</v>
      </c>
      <c r="N334" s="113" t="s">
        <v>533</v>
      </c>
      <c r="O334" s="138" t="s">
        <v>472</v>
      </c>
      <c r="P334" s="113"/>
      <c r="Q334" s="113">
        <v>1</v>
      </c>
      <c r="R334" s="113"/>
      <c r="S334" s="113" t="s">
        <v>711</v>
      </c>
      <c r="T334" s="120">
        <v>1207900</v>
      </c>
      <c r="U334" s="111" t="s">
        <v>710</v>
      </c>
      <c r="V334" s="137"/>
      <c r="W334" s="137"/>
      <c r="X334" s="137"/>
      <c r="Y334" s="137"/>
      <c r="Z334" s="137"/>
      <c r="AA334" s="137"/>
      <c r="AB334" s="137"/>
      <c r="AC334" s="137"/>
      <c r="AD334" s="137"/>
      <c r="AE334" s="137"/>
      <c r="AF334" s="137"/>
      <c r="AG334" s="137"/>
      <c r="AH334" s="137"/>
      <c r="AI334" s="137"/>
      <c r="AJ334" s="137"/>
      <c r="AK334" s="137"/>
      <c r="AL334" s="137"/>
      <c r="AM334" s="137"/>
      <c r="AN334" s="137"/>
      <c r="AO334" s="137"/>
      <c r="AP334" s="137"/>
      <c r="AQ334" s="137"/>
      <c r="AR334" s="137"/>
      <c r="AS334" s="137"/>
      <c r="AT334" s="137"/>
      <c r="AU334" s="137"/>
      <c r="AV334" s="137"/>
      <c r="AW334" s="137"/>
      <c r="AX334" s="137"/>
      <c r="AY334" s="137"/>
      <c r="AZ334" s="137"/>
      <c r="BA334" s="137"/>
      <c r="BB334" s="137"/>
      <c r="BC334" s="137"/>
      <c r="BD334" s="137"/>
      <c r="BE334" s="137"/>
      <c r="BF334" s="137"/>
      <c r="BG334" s="137"/>
      <c r="BH334" s="137"/>
    </row>
    <row r="335" spans="1:60" s="136" customFormat="1" ht="126">
      <c r="A335" s="127"/>
      <c r="B335" s="110" t="s">
        <v>447</v>
      </c>
      <c r="C335" s="118" t="s">
        <v>527</v>
      </c>
      <c r="D335" s="118"/>
      <c r="E335" s="118" t="s">
        <v>667</v>
      </c>
      <c r="F335" s="118" t="s">
        <v>666</v>
      </c>
      <c r="G335" s="118" t="s">
        <v>683</v>
      </c>
      <c r="H335" s="118" t="s">
        <v>29</v>
      </c>
      <c r="I335" s="118"/>
      <c r="J335" s="118" t="s">
        <v>27</v>
      </c>
      <c r="K335" s="113" t="s">
        <v>13</v>
      </c>
      <c r="L335" s="121">
        <f t="shared" si="10"/>
        <v>1207900</v>
      </c>
      <c r="M335" s="116">
        <f t="shared" si="9"/>
        <v>1</v>
      </c>
      <c r="N335" s="113" t="s">
        <v>533</v>
      </c>
      <c r="O335" s="138" t="s">
        <v>472</v>
      </c>
      <c r="P335" s="113"/>
      <c r="Q335" s="113">
        <v>1</v>
      </c>
      <c r="R335" s="113"/>
      <c r="S335" s="113" t="s">
        <v>709</v>
      </c>
      <c r="T335" s="120">
        <v>1207900</v>
      </c>
      <c r="U335" s="111" t="s">
        <v>708</v>
      </c>
      <c r="V335" s="137"/>
      <c r="W335" s="137"/>
      <c r="X335" s="137"/>
      <c r="Y335" s="137"/>
      <c r="Z335" s="137"/>
      <c r="AA335" s="137"/>
      <c r="AB335" s="137"/>
      <c r="AC335" s="137"/>
      <c r="AD335" s="137"/>
      <c r="AE335" s="137"/>
      <c r="AF335" s="137"/>
      <c r="AG335" s="137"/>
      <c r="AH335" s="137"/>
      <c r="AI335" s="137"/>
      <c r="AJ335" s="137"/>
      <c r="AK335" s="137"/>
      <c r="AL335" s="137"/>
      <c r="AM335" s="137"/>
      <c r="AN335" s="137"/>
      <c r="AO335" s="137"/>
      <c r="AP335" s="137"/>
      <c r="AQ335" s="137"/>
      <c r="AR335" s="137"/>
      <c r="AS335" s="137"/>
      <c r="AT335" s="137"/>
      <c r="AU335" s="137"/>
      <c r="AV335" s="137"/>
      <c r="AW335" s="137"/>
      <c r="AX335" s="137"/>
      <c r="AY335" s="137"/>
      <c r="AZ335" s="137"/>
      <c r="BA335" s="137"/>
      <c r="BB335" s="137"/>
      <c r="BC335" s="137"/>
      <c r="BD335" s="137"/>
      <c r="BE335" s="137"/>
      <c r="BF335" s="137"/>
      <c r="BG335" s="137"/>
      <c r="BH335" s="137"/>
    </row>
    <row r="336" spans="1:60" s="136" customFormat="1" ht="126">
      <c r="A336" s="127"/>
      <c r="B336" s="110" t="s">
        <v>447</v>
      </c>
      <c r="C336" s="118" t="s">
        <v>527</v>
      </c>
      <c r="D336" s="118"/>
      <c r="E336" s="118" t="s">
        <v>667</v>
      </c>
      <c r="F336" s="118" t="s">
        <v>666</v>
      </c>
      <c r="G336" s="118" t="s">
        <v>683</v>
      </c>
      <c r="H336" s="118" t="s">
        <v>280</v>
      </c>
      <c r="I336" s="118"/>
      <c r="J336" s="118" t="s">
        <v>278</v>
      </c>
      <c r="K336" s="113" t="s">
        <v>40</v>
      </c>
      <c r="L336" s="121">
        <f t="shared" si="10"/>
        <v>1207900</v>
      </c>
      <c r="M336" s="116">
        <f t="shared" si="9"/>
        <v>1</v>
      </c>
      <c r="N336" s="113" t="s">
        <v>533</v>
      </c>
      <c r="O336" s="138" t="s">
        <v>472</v>
      </c>
      <c r="P336" s="113"/>
      <c r="Q336" s="113">
        <v>1</v>
      </c>
      <c r="R336" s="113"/>
      <c r="S336" s="113" t="s">
        <v>707</v>
      </c>
      <c r="T336" s="120">
        <v>1207900</v>
      </c>
      <c r="U336" s="111" t="s">
        <v>706</v>
      </c>
      <c r="V336" s="137"/>
      <c r="W336" s="137"/>
      <c r="X336" s="137"/>
      <c r="Y336" s="137"/>
      <c r="Z336" s="137"/>
      <c r="AA336" s="137"/>
      <c r="AB336" s="137"/>
      <c r="AC336" s="137"/>
      <c r="AD336" s="137"/>
      <c r="AE336" s="137"/>
      <c r="AF336" s="137"/>
      <c r="AG336" s="137"/>
      <c r="AH336" s="137"/>
      <c r="AI336" s="137"/>
      <c r="AJ336" s="137"/>
      <c r="AK336" s="137"/>
      <c r="AL336" s="137"/>
      <c r="AM336" s="137"/>
      <c r="AN336" s="137"/>
      <c r="AO336" s="137"/>
      <c r="AP336" s="137"/>
      <c r="AQ336" s="137"/>
      <c r="AR336" s="137"/>
      <c r="AS336" s="137"/>
      <c r="AT336" s="137"/>
      <c r="AU336" s="137"/>
      <c r="AV336" s="137"/>
      <c r="AW336" s="137"/>
      <c r="AX336" s="137"/>
      <c r="AY336" s="137"/>
      <c r="AZ336" s="137"/>
      <c r="BA336" s="137"/>
      <c r="BB336" s="137"/>
      <c r="BC336" s="137"/>
      <c r="BD336" s="137"/>
      <c r="BE336" s="137"/>
      <c r="BF336" s="137"/>
      <c r="BG336" s="137"/>
      <c r="BH336" s="137"/>
    </row>
    <row r="337" spans="1:60" s="136" customFormat="1" ht="126">
      <c r="A337" s="127"/>
      <c r="B337" s="110" t="s">
        <v>447</v>
      </c>
      <c r="C337" s="118" t="s">
        <v>527</v>
      </c>
      <c r="D337" s="118"/>
      <c r="E337" s="118" t="s">
        <v>667</v>
      </c>
      <c r="F337" s="118" t="s">
        <v>666</v>
      </c>
      <c r="G337" s="118" t="s">
        <v>683</v>
      </c>
      <c r="H337" s="118" t="s">
        <v>265</v>
      </c>
      <c r="I337" s="118"/>
      <c r="J337" s="118" t="s">
        <v>263</v>
      </c>
      <c r="K337" s="113" t="s">
        <v>63</v>
      </c>
      <c r="L337" s="121">
        <f t="shared" si="10"/>
        <v>1207900</v>
      </c>
      <c r="M337" s="116">
        <f t="shared" si="9"/>
        <v>1</v>
      </c>
      <c r="N337" s="113" t="s">
        <v>533</v>
      </c>
      <c r="O337" s="138" t="s">
        <v>472</v>
      </c>
      <c r="P337" s="113"/>
      <c r="Q337" s="113">
        <v>1</v>
      </c>
      <c r="R337" s="113"/>
      <c r="S337" s="113" t="s">
        <v>705</v>
      </c>
      <c r="T337" s="120">
        <v>1207900</v>
      </c>
      <c r="U337" s="111" t="s">
        <v>704</v>
      </c>
      <c r="V337" s="137"/>
      <c r="W337" s="137"/>
      <c r="X337" s="137"/>
      <c r="Y337" s="137"/>
      <c r="Z337" s="137"/>
      <c r="AA337" s="137"/>
      <c r="AB337" s="137"/>
      <c r="AC337" s="137"/>
      <c r="AD337" s="137"/>
      <c r="AE337" s="137"/>
      <c r="AF337" s="137"/>
      <c r="AG337" s="137"/>
      <c r="AH337" s="137"/>
      <c r="AI337" s="137"/>
      <c r="AJ337" s="137"/>
      <c r="AK337" s="137"/>
      <c r="AL337" s="137"/>
      <c r="AM337" s="137"/>
      <c r="AN337" s="137"/>
      <c r="AO337" s="137"/>
      <c r="AP337" s="137"/>
      <c r="AQ337" s="137"/>
      <c r="AR337" s="137"/>
      <c r="AS337" s="137"/>
      <c r="AT337" s="137"/>
      <c r="AU337" s="137"/>
      <c r="AV337" s="137"/>
      <c r="AW337" s="137"/>
      <c r="AX337" s="137"/>
      <c r="AY337" s="137"/>
      <c r="AZ337" s="137"/>
      <c r="BA337" s="137"/>
      <c r="BB337" s="137"/>
      <c r="BC337" s="137"/>
      <c r="BD337" s="137"/>
      <c r="BE337" s="137"/>
      <c r="BF337" s="137"/>
      <c r="BG337" s="137"/>
      <c r="BH337" s="137"/>
    </row>
    <row r="338" spans="1:60" s="136" customFormat="1" ht="126">
      <c r="A338" s="127"/>
      <c r="B338" s="110" t="s">
        <v>447</v>
      </c>
      <c r="C338" s="118" t="s">
        <v>527</v>
      </c>
      <c r="D338" s="118"/>
      <c r="E338" s="118" t="s">
        <v>667</v>
      </c>
      <c r="F338" s="118" t="s">
        <v>666</v>
      </c>
      <c r="G338" s="118" t="s">
        <v>683</v>
      </c>
      <c r="H338" s="118" t="s">
        <v>465</v>
      </c>
      <c r="I338" s="118"/>
      <c r="J338" s="118" t="s">
        <v>436</v>
      </c>
      <c r="K338" s="113" t="s">
        <v>63</v>
      </c>
      <c r="L338" s="121">
        <f t="shared" si="10"/>
        <v>1207900</v>
      </c>
      <c r="M338" s="116">
        <f t="shared" si="9"/>
        <v>1</v>
      </c>
      <c r="N338" s="113" t="s">
        <v>533</v>
      </c>
      <c r="O338" s="138" t="s">
        <v>472</v>
      </c>
      <c r="P338" s="113"/>
      <c r="Q338" s="113">
        <v>1</v>
      </c>
      <c r="R338" s="113"/>
      <c r="S338" s="113" t="s">
        <v>703</v>
      </c>
      <c r="T338" s="120">
        <v>1207900</v>
      </c>
      <c r="U338" s="111" t="s">
        <v>702</v>
      </c>
      <c r="V338" s="137"/>
      <c r="W338" s="137"/>
      <c r="X338" s="137"/>
      <c r="Y338" s="137"/>
      <c r="Z338" s="137"/>
      <c r="AA338" s="137"/>
      <c r="AB338" s="137"/>
      <c r="AC338" s="137"/>
      <c r="AD338" s="137"/>
      <c r="AE338" s="137"/>
      <c r="AF338" s="137"/>
      <c r="AG338" s="137"/>
      <c r="AH338" s="137"/>
      <c r="AI338" s="137"/>
      <c r="AJ338" s="137"/>
      <c r="AK338" s="137"/>
      <c r="AL338" s="137"/>
      <c r="AM338" s="137"/>
      <c r="AN338" s="137"/>
      <c r="AO338" s="137"/>
      <c r="AP338" s="137"/>
      <c r="AQ338" s="137"/>
      <c r="AR338" s="137"/>
      <c r="AS338" s="137"/>
      <c r="AT338" s="137"/>
      <c r="AU338" s="137"/>
      <c r="AV338" s="137"/>
      <c r="AW338" s="137"/>
      <c r="AX338" s="137"/>
      <c r="AY338" s="137"/>
      <c r="AZ338" s="137"/>
      <c r="BA338" s="137"/>
      <c r="BB338" s="137"/>
      <c r="BC338" s="137"/>
      <c r="BD338" s="137"/>
      <c r="BE338" s="137"/>
      <c r="BF338" s="137"/>
      <c r="BG338" s="137"/>
      <c r="BH338" s="137"/>
    </row>
    <row r="339" spans="1:60" s="136" customFormat="1" ht="126">
      <c r="A339" s="127"/>
      <c r="B339" s="110" t="s">
        <v>447</v>
      </c>
      <c r="C339" s="118" t="s">
        <v>527</v>
      </c>
      <c r="D339" s="118"/>
      <c r="E339" s="118" t="s">
        <v>667</v>
      </c>
      <c r="F339" s="118" t="s">
        <v>666</v>
      </c>
      <c r="G339" s="118" t="s">
        <v>683</v>
      </c>
      <c r="H339" s="118" t="s">
        <v>451</v>
      </c>
      <c r="I339" s="118"/>
      <c r="J339" s="118" t="s">
        <v>444</v>
      </c>
      <c r="K339" s="113" t="s">
        <v>13</v>
      </c>
      <c r="L339" s="121">
        <f t="shared" si="10"/>
        <v>1207900</v>
      </c>
      <c r="M339" s="116">
        <f t="shared" si="9"/>
        <v>1</v>
      </c>
      <c r="N339" s="113" t="s">
        <v>533</v>
      </c>
      <c r="O339" s="138" t="s">
        <v>472</v>
      </c>
      <c r="P339" s="113"/>
      <c r="Q339" s="113">
        <v>1</v>
      </c>
      <c r="R339" s="113"/>
      <c r="S339" s="113" t="s">
        <v>701</v>
      </c>
      <c r="T339" s="120">
        <v>1207900</v>
      </c>
      <c r="U339" s="111" t="s">
        <v>700</v>
      </c>
      <c r="V339" s="137"/>
      <c r="W339" s="137"/>
      <c r="X339" s="137"/>
      <c r="Y339" s="137"/>
      <c r="Z339" s="137"/>
      <c r="AA339" s="137"/>
      <c r="AB339" s="137"/>
      <c r="AC339" s="137"/>
      <c r="AD339" s="137"/>
      <c r="AE339" s="137"/>
      <c r="AF339" s="137"/>
      <c r="AG339" s="137"/>
      <c r="AH339" s="137"/>
      <c r="AI339" s="137"/>
      <c r="AJ339" s="137"/>
      <c r="AK339" s="137"/>
      <c r="AL339" s="137"/>
      <c r="AM339" s="137"/>
      <c r="AN339" s="137"/>
      <c r="AO339" s="137"/>
      <c r="AP339" s="137"/>
      <c r="AQ339" s="137"/>
      <c r="AR339" s="137"/>
      <c r="AS339" s="137"/>
      <c r="AT339" s="137"/>
      <c r="AU339" s="137"/>
      <c r="AV339" s="137"/>
      <c r="AW339" s="137"/>
      <c r="AX339" s="137"/>
      <c r="AY339" s="137"/>
      <c r="AZ339" s="137"/>
      <c r="BA339" s="137"/>
      <c r="BB339" s="137"/>
      <c r="BC339" s="137"/>
      <c r="BD339" s="137"/>
      <c r="BE339" s="137"/>
      <c r="BF339" s="137"/>
      <c r="BG339" s="137"/>
      <c r="BH339" s="137"/>
    </row>
    <row r="340" spans="1:60" s="136" customFormat="1" ht="126">
      <c r="A340" s="127"/>
      <c r="B340" s="110" t="s">
        <v>447</v>
      </c>
      <c r="C340" s="118" t="s">
        <v>527</v>
      </c>
      <c r="D340" s="118"/>
      <c r="E340" s="118" t="s">
        <v>667</v>
      </c>
      <c r="F340" s="118" t="s">
        <v>666</v>
      </c>
      <c r="G340" s="118" t="s">
        <v>683</v>
      </c>
      <c r="H340" s="118" t="s">
        <v>381</v>
      </c>
      <c r="I340" s="118"/>
      <c r="J340" s="118" t="s">
        <v>379</v>
      </c>
      <c r="K340" s="113" t="s">
        <v>63</v>
      </c>
      <c r="L340" s="121">
        <f t="shared" si="10"/>
        <v>1207900</v>
      </c>
      <c r="M340" s="116">
        <f t="shared" si="9"/>
        <v>1</v>
      </c>
      <c r="N340" s="113" t="s">
        <v>533</v>
      </c>
      <c r="O340" s="138" t="s">
        <v>472</v>
      </c>
      <c r="P340" s="113"/>
      <c r="Q340" s="113">
        <v>1</v>
      </c>
      <c r="R340" s="113"/>
      <c r="S340" s="113" t="s">
        <v>699</v>
      </c>
      <c r="T340" s="120">
        <v>1207900</v>
      </c>
      <c r="U340" s="111" t="s">
        <v>698</v>
      </c>
      <c r="V340" s="137"/>
      <c r="W340" s="137"/>
      <c r="X340" s="137"/>
      <c r="Y340" s="137"/>
      <c r="Z340" s="137"/>
      <c r="AA340" s="137"/>
      <c r="AB340" s="137"/>
      <c r="AC340" s="137"/>
      <c r="AD340" s="137"/>
      <c r="AE340" s="137"/>
      <c r="AF340" s="137"/>
      <c r="AG340" s="137"/>
      <c r="AH340" s="137"/>
      <c r="AI340" s="137"/>
      <c r="AJ340" s="137"/>
      <c r="AK340" s="137"/>
      <c r="AL340" s="137"/>
      <c r="AM340" s="137"/>
      <c r="AN340" s="137"/>
      <c r="AO340" s="137"/>
      <c r="AP340" s="137"/>
      <c r="AQ340" s="137"/>
      <c r="AR340" s="137"/>
      <c r="AS340" s="137"/>
      <c r="AT340" s="137"/>
      <c r="AU340" s="137"/>
      <c r="AV340" s="137"/>
      <c r="AW340" s="137"/>
      <c r="AX340" s="137"/>
      <c r="AY340" s="137"/>
      <c r="AZ340" s="137"/>
      <c r="BA340" s="137"/>
      <c r="BB340" s="137"/>
      <c r="BC340" s="137"/>
      <c r="BD340" s="137"/>
      <c r="BE340" s="137"/>
      <c r="BF340" s="137"/>
      <c r="BG340" s="137"/>
      <c r="BH340" s="137"/>
    </row>
    <row r="341" spans="1:60" s="136" customFormat="1" ht="126">
      <c r="A341" s="127"/>
      <c r="B341" s="110" t="s">
        <v>447</v>
      </c>
      <c r="C341" s="118" t="s">
        <v>527</v>
      </c>
      <c r="D341" s="118"/>
      <c r="E341" s="118" t="s">
        <v>667</v>
      </c>
      <c r="F341" s="118" t="s">
        <v>666</v>
      </c>
      <c r="G341" s="118" t="s">
        <v>683</v>
      </c>
      <c r="H341" s="118" t="s">
        <v>322</v>
      </c>
      <c r="I341" s="118"/>
      <c r="J341" s="118" t="s">
        <v>320</v>
      </c>
      <c r="K341" s="113" t="s">
        <v>40</v>
      </c>
      <c r="L341" s="121">
        <f t="shared" si="10"/>
        <v>1207900</v>
      </c>
      <c r="M341" s="116">
        <f t="shared" si="9"/>
        <v>1</v>
      </c>
      <c r="N341" s="113" t="s">
        <v>533</v>
      </c>
      <c r="O341" s="138" t="s">
        <v>472</v>
      </c>
      <c r="P341" s="113"/>
      <c r="Q341" s="113">
        <v>1</v>
      </c>
      <c r="R341" s="113"/>
      <c r="S341" s="113" t="s">
        <v>697</v>
      </c>
      <c r="T341" s="120">
        <v>1207900</v>
      </c>
      <c r="U341" s="111" t="s">
        <v>696</v>
      </c>
      <c r="V341" s="137"/>
      <c r="W341" s="137"/>
      <c r="X341" s="137"/>
      <c r="Y341" s="137"/>
      <c r="Z341" s="137"/>
      <c r="AA341" s="137"/>
      <c r="AB341" s="137"/>
      <c r="AC341" s="137"/>
      <c r="AD341" s="137"/>
      <c r="AE341" s="137"/>
      <c r="AF341" s="137"/>
      <c r="AG341" s="137"/>
      <c r="AH341" s="137"/>
      <c r="AI341" s="137"/>
      <c r="AJ341" s="137"/>
      <c r="AK341" s="137"/>
      <c r="AL341" s="137"/>
      <c r="AM341" s="137"/>
      <c r="AN341" s="137"/>
      <c r="AO341" s="137"/>
      <c r="AP341" s="137"/>
      <c r="AQ341" s="137"/>
      <c r="AR341" s="137"/>
      <c r="AS341" s="137"/>
      <c r="AT341" s="137"/>
      <c r="AU341" s="137"/>
      <c r="AV341" s="137"/>
      <c r="AW341" s="137"/>
      <c r="AX341" s="137"/>
      <c r="AY341" s="137"/>
      <c r="AZ341" s="137"/>
      <c r="BA341" s="137"/>
      <c r="BB341" s="137"/>
      <c r="BC341" s="137"/>
      <c r="BD341" s="137"/>
      <c r="BE341" s="137"/>
      <c r="BF341" s="137"/>
      <c r="BG341" s="137"/>
      <c r="BH341" s="137"/>
    </row>
    <row r="342" spans="1:60" s="136" customFormat="1" ht="126">
      <c r="A342" s="127"/>
      <c r="B342" s="110" t="s">
        <v>447</v>
      </c>
      <c r="C342" s="118" t="s">
        <v>527</v>
      </c>
      <c r="D342" s="118"/>
      <c r="E342" s="118" t="s">
        <v>667</v>
      </c>
      <c r="F342" s="118" t="s">
        <v>666</v>
      </c>
      <c r="G342" s="118" t="s">
        <v>683</v>
      </c>
      <c r="H342" s="118" t="s">
        <v>124</v>
      </c>
      <c r="I342" s="118"/>
      <c r="J342" s="118" t="s">
        <v>122</v>
      </c>
      <c r="K342" s="113" t="s">
        <v>63</v>
      </c>
      <c r="L342" s="121">
        <f t="shared" si="10"/>
        <v>1207900</v>
      </c>
      <c r="M342" s="116">
        <f t="shared" si="9"/>
        <v>1</v>
      </c>
      <c r="N342" s="113" t="s">
        <v>533</v>
      </c>
      <c r="O342" s="138" t="s">
        <v>472</v>
      </c>
      <c r="P342" s="116"/>
      <c r="Q342" s="116">
        <v>1</v>
      </c>
      <c r="R342" s="116"/>
      <c r="S342" s="116" t="s">
        <v>695</v>
      </c>
      <c r="T342" s="120">
        <v>1207900</v>
      </c>
      <c r="U342" s="140" t="s">
        <v>694</v>
      </c>
      <c r="V342" s="137"/>
      <c r="W342" s="137"/>
      <c r="X342" s="137"/>
      <c r="Y342" s="137"/>
      <c r="Z342" s="137"/>
      <c r="AA342" s="137"/>
      <c r="AB342" s="137"/>
      <c r="AC342" s="137"/>
      <c r="AD342" s="137"/>
      <c r="AE342" s="137"/>
      <c r="AF342" s="137"/>
      <c r="AG342" s="137"/>
      <c r="AH342" s="137"/>
      <c r="AI342" s="137"/>
      <c r="AJ342" s="137"/>
      <c r="AK342" s="137"/>
      <c r="AL342" s="137"/>
      <c r="AM342" s="137"/>
      <c r="AN342" s="137"/>
      <c r="AO342" s="137"/>
      <c r="AP342" s="137"/>
      <c r="AQ342" s="137"/>
      <c r="AR342" s="137"/>
      <c r="AS342" s="137"/>
      <c r="AT342" s="137"/>
      <c r="AU342" s="137"/>
      <c r="AV342" s="137"/>
      <c r="AW342" s="137"/>
      <c r="AX342" s="137"/>
      <c r="AY342" s="137"/>
      <c r="AZ342" s="137"/>
      <c r="BA342" s="137"/>
      <c r="BB342" s="137"/>
      <c r="BC342" s="137"/>
      <c r="BD342" s="137"/>
      <c r="BE342" s="137"/>
      <c r="BF342" s="137"/>
      <c r="BG342" s="137"/>
      <c r="BH342" s="137"/>
    </row>
    <row r="343" spans="1:60" s="136" customFormat="1" ht="126">
      <c r="A343" s="127"/>
      <c r="B343" s="110" t="s">
        <v>447</v>
      </c>
      <c r="C343" s="118" t="s">
        <v>527</v>
      </c>
      <c r="D343" s="118"/>
      <c r="E343" s="118" t="s">
        <v>667</v>
      </c>
      <c r="F343" s="118" t="s">
        <v>666</v>
      </c>
      <c r="G343" s="118" t="s">
        <v>683</v>
      </c>
      <c r="H343" s="118" t="s">
        <v>385</v>
      </c>
      <c r="I343" s="118"/>
      <c r="J343" s="118" t="s">
        <v>383</v>
      </c>
      <c r="K343" s="113" t="s">
        <v>149</v>
      </c>
      <c r="L343" s="121">
        <f t="shared" si="10"/>
        <v>1207900</v>
      </c>
      <c r="M343" s="116">
        <f t="shared" si="9"/>
        <v>1</v>
      </c>
      <c r="N343" s="113" t="s">
        <v>533</v>
      </c>
      <c r="O343" s="138" t="s">
        <v>472</v>
      </c>
      <c r="P343" s="113"/>
      <c r="Q343" s="113">
        <v>1</v>
      </c>
      <c r="R343" s="113"/>
      <c r="S343" s="113" t="s">
        <v>693</v>
      </c>
      <c r="T343" s="120">
        <v>1207900</v>
      </c>
      <c r="U343" s="111" t="s">
        <v>692</v>
      </c>
      <c r="V343" s="137"/>
      <c r="W343" s="137"/>
      <c r="X343" s="137"/>
      <c r="Y343" s="137"/>
      <c r="Z343" s="137"/>
      <c r="AA343" s="137"/>
      <c r="AB343" s="137"/>
      <c r="AC343" s="137"/>
      <c r="AD343" s="137"/>
      <c r="AE343" s="137"/>
      <c r="AF343" s="137"/>
      <c r="AG343" s="137"/>
      <c r="AH343" s="137"/>
      <c r="AI343" s="137"/>
      <c r="AJ343" s="137"/>
      <c r="AK343" s="137"/>
      <c r="AL343" s="137"/>
      <c r="AM343" s="137"/>
      <c r="AN343" s="137"/>
      <c r="AO343" s="137"/>
      <c r="AP343" s="137"/>
      <c r="AQ343" s="137"/>
      <c r="AR343" s="137"/>
      <c r="AS343" s="137"/>
      <c r="AT343" s="137"/>
      <c r="AU343" s="137"/>
      <c r="AV343" s="137"/>
      <c r="AW343" s="137"/>
      <c r="AX343" s="137"/>
      <c r="AY343" s="137"/>
      <c r="AZ343" s="137"/>
      <c r="BA343" s="137"/>
      <c r="BB343" s="137"/>
      <c r="BC343" s="137"/>
      <c r="BD343" s="137"/>
      <c r="BE343" s="137"/>
      <c r="BF343" s="137"/>
      <c r="BG343" s="137"/>
      <c r="BH343" s="137"/>
    </row>
    <row r="344" spans="1:60" s="136" customFormat="1" ht="126">
      <c r="A344" s="127"/>
      <c r="B344" s="110" t="s">
        <v>447</v>
      </c>
      <c r="C344" s="118" t="s">
        <v>527</v>
      </c>
      <c r="D344" s="118"/>
      <c r="E344" s="118" t="s">
        <v>667</v>
      </c>
      <c r="F344" s="118" t="s">
        <v>666</v>
      </c>
      <c r="G344" s="118" t="s">
        <v>683</v>
      </c>
      <c r="H344" s="118" t="s">
        <v>399</v>
      </c>
      <c r="I344" s="118"/>
      <c r="J344" s="118" t="s">
        <v>397</v>
      </c>
      <c r="K344" s="113" t="s">
        <v>149</v>
      </c>
      <c r="L344" s="121">
        <f t="shared" si="10"/>
        <v>1207900</v>
      </c>
      <c r="M344" s="116">
        <f t="shared" si="9"/>
        <v>1</v>
      </c>
      <c r="N344" s="113" t="s">
        <v>533</v>
      </c>
      <c r="O344" s="138" t="s">
        <v>472</v>
      </c>
      <c r="P344" s="113"/>
      <c r="Q344" s="113">
        <v>1</v>
      </c>
      <c r="R344" s="113"/>
      <c r="S344" s="113" t="s">
        <v>691</v>
      </c>
      <c r="T344" s="120">
        <v>1207900</v>
      </c>
      <c r="U344" s="111" t="s">
        <v>690</v>
      </c>
      <c r="V344" s="137"/>
      <c r="W344" s="137"/>
      <c r="X344" s="137"/>
      <c r="Y344" s="137"/>
      <c r="Z344" s="137"/>
      <c r="AA344" s="137"/>
      <c r="AB344" s="137"/>
      <c r="AC344" s="137"/>
      <c r="AD344" s="137"/>
      <c r="AE344" s="137"/>
      <c r="AF344" s="137"/>
      <c r="AG344" s="137"/>
      <c r="AH344" s="137"/>
      <c r="AI344" s="137"/>
      <c r="AJ344" s="137"/>
      <c r="AK344" s="137"/>
      <c r="AL344" s="137"/>
      <c r="AM344" s="137"/>
      <c r="AN344" s="137"/>
      <c r="AO344" s="137"/>
      <c r="AP344" s="137"/>
      <c r="AQ344" s="137"/>
      <c r="AR344" s="137"/>
      <c r="AS344" s="137"/>
      <c r="AT344" s="137"/>
      <c r="AU344" s="137"/>
      <c r="AV344" s="137"/>
      <c r="AW344" s="137"/>
      <c r="AX344" s="137"/>
      <c r="AY344" s="137"/>
      <c r="AZ344" s="137"/>
      <c r="BA344" s="137"/>
      <c r="BB344" s="137"/>
      <c r="BC344" s="137"/>
      <c r="BD344" s="137"/>
      <c r="BE344" s="137"/>
      <c r="BF344" s="137"/>
      <c r="BG344" s="137"/>
      <c r="BH344" s="137"/>
    </row>
    <row r="345" spans="1:60" s="136" customFormat="1" ht="126">
      <c r="A345" s="127"/>
      <c r="B345" s="110" t="s">
        <v>447</v>
      </c>
      <c r="C345" s="118" t="s">
        <v>527</v>
      </c>
      <c r="D345" s="118"/>
      <c r="E345" s="118" t="s">
        <v>667</v>
      </c>
      <c r="F345" s="118" t="s">
        <v>666</v>
      </c>
      <c r="G345" s="118" t="s">
        <v>683</v>
      </c>
      <c r="H345" s="118" t="s">
        <v>132</v>
      </c>
      <c r="I345" s="118"/>
      <c r="J345" s="118" t="s">
        <v>130</v>
      </c>
      <c r="K345" s="113" t="s">
        <v>63</v>
      </c>
      <c r="L345" s="121">
        <f t="shared" si="10"/>
        <v>1207900</v>
      </c>
      <c r="M345" s="116">
        <f t="shared" si="9"/>
        <v>1</v>
      </c>
      <c r="N345" s="113" t="s">
        <v>533</v>
      </c>
      <c r="O345" s="138" t="s">
        <v>472</v>
      </c>
      <c r="P345" s="113"/>
      <c r="Q345" s="113">
        <v>1</v>
      </c>
      <c r="R345" s="113"/>
      <c r="S345" s="113" t="s">
        <v>689</v>
      </c>
      <c r="T345" s="120">
        <v>1207900</v>
      </c>
      <c r="U345" s="111" t="s">
        <v>688</v>
      </c>
      <c r="V345" s="137"/>
      <c r="W345" s="137"/>
      <c r="X345" s="137"/>
      <c r="Y345" s="137"/>
      <c r="Z345" s="137"/>
      <c r="AA345" s="137"/>
      <c r="AB345" s="137"/>
      <c r="AC345" s="137"/>
      <c r="AD345" s="137"/>
      <c r="AE345" s="137"/>
      <c r="AF345" s="137"/>
      <c r="AG345" s="137"/>
      <c r="AH345" s="137"/>
      <c r="AI345" s="137"/>
      <c r="AJ345" s="137"/>
      <c r="AK345" s="137"/>
      <c r="AL345" s="137"/>
      <c r="AM345" s="137"/>
      <c r="AN345" s="137"/>
      <c r="AO345" s="137"/>
      <c r="AP345" s="137"/>
      <c r="AQ345" s="137"/>
      <c r="AR345" s="137"/>
      <c r="AS345" s="137"/>
      <c r="AT345" s="137"/>
      <c r="AU345" s="137"/>
      <c r="AV345" s="137"/>
      <c r="AW345" s="137"/>
      <c r="AX345" s="137"/>
      <c r="AY345" s="137"/>
      <c r="AZ345" s="137"/>
      <c r="BA345" s="137"/>
      <c r="BB345" s="137"/>
      <c r="BC345" s="137"/>
      <c r="BD345" s="137"/>
      <c r="BE345" s="137"/>
      <c r="BF345" s="137"/>
      <c r="BG345" s="137"/>
      <c r="BH345" s="137"/>
    </row>
    <row r="346" spans="1:60" s="136" customFormat="1" ht="126">
      <c r="A346" s="127"/>
      <c r="B346" s="110" t="s">
        <v>447</v>
      </c>
      <c r="C346" s="118" t="s">
        <v>527</v>
      </c>
      <c r="D346" s="118"/>
      <c r="E346" s="118" t="s">
        <v>667</v>
      </c>
      <c r="F346" s="118" t="s">
        <v>666</v>
      </c>
      <c r="G346" s="118" t="s">
        <v>683</v>
      </c>
      <c r="H346" s="118" t="s">
        <v>33</v>
      </c>
      <c r="I346" s="118"/>
      <c r="J346" s="118" t="s">
        <v>672</v>
      </c>
      <c r="K346" s="113" t="s">
        <v>13</v>
      </c>
      <c r="L346" s="121">
        <f t="shared" si="10"/>
        <v>1207900</v>
      </c>
      <c r="M346" s="116">
        <f t="shared" si="9"/>
        <v>1</v>
      </c>
      <c r="N346" s="113" t="s">
        <v>533</v>
      </c>
      <c r="O346" s="138" t="s">
        <v>472</v>
      </c>
      <c r="P346" s="113"/>
      <c r="Q346" s="113">
        <v>1</v>
      </c>
      <c r="R346" s="113"/>
      <c r="S346" s="113" t="s">
        <v>687</v>
      </c>
      <c r="T346" s="120">
        <v>1207900</v>
      </c>
      <c r="U346" s="111" t="s">
        <v>686</v>
      </c>
      <c r="V346" s="137"/>
      <c r="W346" s="137"/>
      <c r="X346" s="137"/>
      <c r="Y346" s="137"/>
      <c r="Z346" s="137"/>
      <c r="AA346" s="137"/>
      <c r="AB346" s="137"/>
      <c r="AC346" s="137"/>
      <c r="AD346" s="137"/>
      <c r="AE346" s="137"/>
      <c r="AF346" s="137"/>
      <c r="AG346" s="137"/>
      <c r="AH346" s="137"/>
      <c r="AI346" s="137"/>
      <c r="AJ346" s="137"/>
      <c r="AK346" s="137"/>
      <c r="AL346" s="137"/>
      <c r="AM346" s="137"/>
      <c r="AN346" s="137"/>
      <c r="AO346" s="137"/>
      <c r="AP346" s="137"/>
      <c r="AQ346" s="137"/>
      <c r="AR346" s="137"/>
      <c r="AS346" s="137"/>
      <c r="AT346" s="137"/>
      <c r="AU346" s="137"/>
      <c r="AV346" s="137"/>
      <c r="AW346" s="137"/>
      <c r="AX346" s="137"/>
      <c r="AY346" s="137"/>
      <c r="AZ346" s="137"/>
      <c r="BA346" s="137"/>
      <c r="BB346" s="137"/>
      <c r="BC346" s="137"/>
      <c r="BD346" s="137"/>
      <c r="BE346" s="137"/>
      <c r="BF346" s="137"/>
      <c r="BG346" s="137"/>
      <c r="BH346" s="137"/>
    </row>
    <row r="347" spans="1:60" s="136" customFormat="1" ht="126">
      <c r="A347" s="127"/>
      <c r="B347" s="110" t="s">
        <v>447</v>
      </c>
      <c r="C347" s="118" t="s">
        <v>527</v>
      </c>
      <c r="D347" s="118"/>
      <c r="E347" s="118" t="s">
        <v>667</v>
      </c>
      <c r="F347" s="118" t="s">
        <v>666</v>
      </c>
      <c r="G347" s="118" t="s">
        <v>683</v>
      </c>
      <c r="H347" s="118" t="s">
        <v>455</v>
      </c>
      <c r="I347" s="118"/>
      <c r="J347" s="118" t="s">
        <v>443</v>
      </c>
      <c r="K347" s="113" t="s">
        <v>40</v>
      </c>
      <c r="L347" s="121">
        <f t="shared" si="10"/>
        <v>1207900</v>
      </c>
      <c r="M347" s="116">
        <f t="shared" si="9"/>
        <v>1</v>
      </c>
      <c r="N347" s="113" t="s">
        <v>533</v>
      </c>
      <c r="O347" s="138" t="s">
        <v>472</v>
      </c>
      <c r="P347" s="113"/>
      <c r="Q347" s="113">
        <v>1</v>
      </c>
      <c r="R347" s="113"/>
      <c r="S347" s="113" t="s">
        <v>685</v>
      </c>
      <c r="T347" s="120">
        <v>1207900</v>
      </c>
      <c r="U347" s="111" t="s">
        <v>684</v>
      </c>
      <c r="V347" s="137"/>
      <c r="W347" s="137"/>
      <c r="X347" s="137"/>
      <c r="Y347" s="137"/>
      <c r="Z347" s="137"/>
      <c r="AA347" s="137"/>
      <c r="AB347" s="137"/>
      <c r="AC347" s="137"/>
      <c r="AD347" s="137"/>
      <c r="AE347" s="137"/>
      <c r="AF347" s="137"/>
      <c r="AG347" s="137"/>
      <c r="AH347" s="137"/>
      <c r="AI347" s="137"/>
      <c r="AJ347" s="137"/>
      <c r="AK347" s="137"/>
      <c r="AL347" s="137"/>
      <c r="AM347" s="137"/>
      <c r="AN347" s="137"/>
      <c r="AO347" s="137"/>
      <c r="AP347" s="137"/>
      <c r="AQ347" s="137"/>
      <c r="AR347" s="137"/>
      <c r="AS347" s="137"/>
      <c r="AT347" s="137"/>
      <c r="AU347" s="137"/>
      <c r="AV347" s="137"/>
      <c r="AW347" s="137"/>
      <c r="AX347" s="137"/>
      <c r="AY347" s="137"/>
      <c r="AZ347" s="137"/>
      <c r="BA347" s="137"/>
      <c r="BB347" s="137"/>
      <c r="BC347" s="137"/>
      <c r="BD347" s="137"/>
      <c r="BE347" s="137"/>
      <c r="BF347" s="137"/>
      <c r="BG347" s="137"/>
      <c r="BH347" s="137"/>
    </row>
    <row r="348" spans="1:60" s="136" customFormat="1" ht="126">
      <c r="A348" s="127"/>
      <c r="B348" s="110" t="s">
        <v>447</v>
      </c>
      <c r="C348" s="118" t="s">
        <v>527</v>
      </c>
      <c r="D348" s="118"/>
      <c r="E348" s="118" t="s">
        <v>667</v>
      </c>
      <c r="F348" s="118" t="s">
        <v>666</v>
      </c>
      <c r="G348" s="118" t="s">
        <v>683</v>
      </c>
      <c r="H348" s="118" t="s">
        <v>300</v>
      </c>
      <c r="I348" s="118"/>
      <c r="J348" s="118" t="s">
        <v>298</v>
      </c>
      <c r="K348" s="113" t="s">
        <v>149</v>
      </c>
      <c r="L348" s="121">
        <f t="shared" si="10"/>
        <v>1207900</v>
      </c>
      <c r="M348" s="116">
        <f t="shared" si="9"/>
        <v>1</v>
      </c>
      <c r="N348" s="113" t="s">
        <v>533</v>
      </c>
      <c r="O348" s="138" t="s">
        <v>472</v>
      </c>
      <c r="P348" s="113"/>
      <c r="Q348" s="113"/>
      <c r="R348" s="139">
        <v>1</v>
      </c>
      <c r="S348" s="113" t="s">
        <v>682</v>
      </c>
      <c r="T348" s="120">
        <v>1207900</v>
      </c>
      <c r="U348" s="111" t="s">
        <v>681</v>
      </c>
      <c r="V348" s="137"/>
      <c r="W348" s="137"/>
      <c r="X348" s="137"/>
      <c r="Y348" s="137"/>
      <c r="Z348" s="137"/>
      <c r="AA348" s="137"/>
      <c r="AB348" s="137"/>
      <c r="AC348" s="137"/>
      <c r="AD348" s="137"/>
      <c r="AE348" s="137"/>
      <c r="AF348" s="137"/>
      <c r="AG348" s="137"/>
      <c r="AH348" s="137"/>
      <c r="AI348" s="137"/>
      <c r="AJ348" s="137"/>
      <c r="AK348" s="137"/>
      <c r="AL348" s="137"/>
      <c r="AM348" s="137"/>
      <c r="AN348" s="137"/>
      <c r="AO348" s="137"/>
      <c r="AP348" s="137"/>
      <c r="AQ348" s="137"/>
      <c r="AR348" s="137"/>
      <c r="AS348" s="137"/>
      <c r="AT348" s="137"/>
      <c r="AU348" s="137"/>
      <c r="AV348" s="137"/>
      <c r="AW348" s="137"/>
      <c r="AX348" s="137"/>
      <c r="AY348" s="137"/>
      <c r="AZ348" s="137"/>
      <c r="BA348" s="137"/>
      <c r="BB348" s="137"/>
      <c r="BC348" s="137"/>
      <c r="BD348" s="137"/>
      <c r="BE348" s="137"/>
      <c r="BF348" s="137"/>
      <c r="BG348" s="137"/>
      <c r="BH348" s="137"/>
    </row>
    <row r="349" spans="1:60" s="136" customFormat="1" ht="126">
      <c r="A349" s="127"/>
      <c r="B349" s="110" t="s">
        <v>447</v>
      </c>
      <c r="C349" s="118" t="s">
        <v>527</v>
      </c>
      <c r="D349" s="118"/>
      <c r="E349" s="118" t="s">
        <v>667</v>
      </c>
      <c r="F349" s="118" t="s">
        <v>666</v>
      </c>
      <c r="G349" s="118" t="s">
        <v>680</v>
      </c>
      <c r="H349" s="118" t="s">
        <v>50</v>
      </c>
      <c r="I349" s="118"/>
      <c r="J349" s="118" t="s">
        <v>679</v>
      </c>
      <c r="K349" s="113" t="s">
        <v>40</v>
      </c>
      <c r="L349" s="121">
        <f t="shared" si="10"/>
        <v>1477000</v>
      </c>
      <c r="M349" s="116">
        <f t="shared" si="9"/>
        <v>1</v>
      </c>
      <c r="N349" s="113" t="s">
        <v>533</v>
      </c>
      <c r="O349" s="138" t="s">
        <v>472</v>
      </c>
      <c r="P349" s="113"/>
      <c r="Q349" s="113"/>
      <c r="R349" s="113">
        <v>1</v>
      </c>
      <c r="S349" s="113"/>
      <c r="T349" s="120">
        <v>1477000</v>
      </c>
      <c r="U349" s="111" t="s">
        <v>678</v>
      </c>
      <c r="V349" s="137"/>
      <c r="W349" s="137"/>
      <c r="X349" s="137"/>
      <c r="Y349" s="137"/>
      <c r="Z349" s="137"/>
      <c r="AA349" s="137"/>
      <c r="AB349" s="137"/>
      <c r="AC349" s="137"/>
      <c r="AD349" s="137"/>
      <c r="AE349" s="137"/>
      <c r="AF349" s="137"/>
      <c r="AG349" s="137"/>
      <c r="AH349" s="137"/>
      <c r="AI349" s="137"/>
      <c r="AJ349" s="137"/>
      <c r="AK349" s="137"/>
      <c r="AL349" s="137"/>
      <c r="AM349" s="137"/>
      <c r="AN349" s="137"/>
      <c r="AO349" s="137"/>
      <c r="AP349" s="137"/>
      <c r="AQ349" s="137"/>
      <c r="AR349" s="137"/>
      <c r="AS349" s="137"/>
      <c r="AT349" s="137"/>
      <c r="AU349" s="137"/>
      <c r="AV349" s="137"/>
      <c r="AW349" s="137"/>
      <c r="AX349" s="137"/>
      <c r="AY349" s="137"/>
      <c r="AZ349" s="137"/>
      <c r="BA349" s="137"/>
      <c r="BB349" s="137"/>
      <c r="BC349" s="137"/>
      <c r="BD349" s="137"/>
      <c r="BE349" s="137"/>
      <c r="BF349" s="137"/>
      <c r="BG349" s="137"/>
      <c r="BH349" s="137"/>
    </row>
    <row r="350" spans="1:60" s="136" customFormat="1" ht="126">
      <c r="A350" s="127"/>
      <c r="B350" s="110" t="s">
        <v>447</v>
      </c>
      <c r="C350" s="118" t="s">
        <v>527</v>
      </c>
      <c r="D350" s="118"/>
      <c r="E350" s="118" t="s">
        <v>667</v>
      </c>
      <c r="F350" s="118" t="s">
        <v>666</v>
      </c>
      <c r="G350" s="118" t="s">
        <v>677</v>
      </c>
      <c r="H350" s="118" t="s">
        <v>280</v>
      </c>
      <c r="I350" s="118"/>
      <c r="J350" s="118" t="s">
        <v>278</v>
      </c>
      <c r="K350" s="113" t="s">
        <v>40</v>
      </c>
      <c r="L350" s="121">
        <f t="shared" si="10"/>
        <v>1664000</v>
      </c>
      <c r="M350" s="116">
        <f t="shared" si="9"/>
        <v>1</v>
      </c>
      <c r="N350" s="113" t="s">
        <v>533</v>
      </c>
      <c r="O350" s="138" t="s">
        <v>472</v>
      </c>
      <c r="P350" s="113"/>
      <c r="Q350" s="113"/>
      <c r="R350" s="113">
        <v>1</v>
      </c>
      <c r="S350" s="113"/>
      <c r="T350" s="120">
        <v>1664000</v>
      </c>
      <c r="U350" s="111" t="s">
        <v>676</v>
      </c>
      <c r="V350" s="137"/>
      <c r="W350" s="137"/>
      <c r="X350" s="137"/>
      <c r="Y350" s="137"/>
      <c r="Z350" s="137"/>
      <c r="AA350" s="137"/>
      <c r="AB350" s="137"/>
      <c r="AC350" s="137"/>
      <c r="AD350" s="137"/>
      <c r="AE350" s="137"/>
      <c r="AF350" s="137"/>
      <c r="AG350" s="137"/>
      <c r="AH350" s="137"/>
      <c r="AI350" s="137"/>
      <c r="AJ350" s="137"/>
      <c r="AK350" s="137"/>
      <c r="AL350" s="137"/>
      <c r="AM350" s="137"/>
      <c r="AN350" s="137"/>
      <c r="AO350" s="137"/>
      <c r="AP350" s="137"/>
      <c r="AQ350" s="137"/>
      <c r="AR350" s="137"/>
      <c r="AS350" s="137"/>
      <c r="AT350" s="137"/>
      <c r="AU350" s="137"/>
      <c r="AV350" s="137"/>
      <c r="AW350" s="137"/>
      <c r="AX350" s="137"/>
      <c r="AY350" s="137"/>
      <c r="AZ350" s="137"/>
      <c r="BA350" s="137"/>
      <c r="BB350" s="137"/>
      <c r="BC350" s="137"/>
      <c r="BD350" s="137"/>
      <c r="BE350" s="137"/>
      <c r="BF350" s="137"/>
      <c r="BG350" s="137"/>
      <c r="BH350" s="137"/>
    </row>
    <row r="351" spans="1:60" s="136" customFormat="1" ht="126">
      <c r="A351" s="127"/>
      <c r="B351" s="110" t="s">
        <v>447</v>
      </c>
      <c r="C351" s="118" t="s">
        <v>527</v>
      </c>
      <c r="D351" s="118"/>
      <c r="E351" s="118" t="s">
        <v>667</v>
      </c>
      <c r="F351" s="118" t="s">
        <v>666</v>
      </c>
      <c r="G351" s="118" t="s">
        <v>675</v>
      </c>
      <c r="H351" s="118" t="s">
        <v>53</v>
      </c>
      <c r="I351" s="118"/>
      <c r="J351" s="118" t="s">
        <v>51</v>
      </c>
      <c r="K351" s="113" t="s">
        <v>40</v>
      </c>
      <c r="L351" s="121">
        <f t="shared" ref="L351:L382" si="11">M351*T351</f>
        <v>52000</v>
      </c>
      <c r="M351" s="116">
        <f t="shared" si="9"/>
        <v>1</v>
      </c>
      <c r="N351" s="113" t="s">
        <v>533</v>
      </c>
      <c r="O351" s="138" t="s">
        <v>472</v>
      </c>
      <c r="P351" s="113"/>
      <c r="Q351" s="113">
        <v>1</v>
      </c>
      <c r="R351" s="113"/>
      <c r="S351" s="113" t="s">
        <v>674</v>
      </c>
      <c r="T351" s="120">
        <v>52000</v>
      </c>
      <c r="U351" s="111" t="s">
        <v>673</v>
      </c>
      <c r="V351" s="137"/>
      <c r="W351" s="137"/>
      <c r="X351" s="137"/>
      <c r="Y351" s="137"/>
      <c r="Z351" s="137"/>
      <c r="AA351" s="137"/>
      <c r="AB351" s="137"/>
      <c r="AC351" s="137"/>
      <c r="AD351" s="137"/>
      <c r="AE351" s="137"/>
      <c r="AF351" s="137"/>
      <c r="AG351" s="137"/>
      <c r="AH351" s="137"/>
      <c r="AI351" s="137"/>
      <c r="AJ351" s="137"/>
      <c r="AK351" s="137"/>
      <c r="AL351" s="137"/>
      <c r="AM351" s="137"/>
      <c r="AN351" s="137"/>
      <c r="AO351" s="137"/>
      <c r="AP351" s="137"/>
      <c r="AQ351" s="137"/>
      <c r="AR351" s="137"/>
      <c r="AS351" s="137"/>
      <c r="AT351" s="137"/>
      <c r="AU351" s="137"/>
      <c r="AV351" s="137"/>
      <c r="AW351" s="137"/>
      <c r="AX351" s="137"/>
      <c r="AY351" s="137"/>
      <c r="AZ351" s="137"/>
      <c r="BA351" s="137"/>
      <c r="BB351" s="137"/>
      <c r="BC351" s="137"/>
      <c r="BD351" s="137"/>
      <c r="BE351" s="137"/>
      <c r="BF351" s="137"/>
      <c r="BG351" s="137"/>
      <c r="BH351" s="137"/>
    </row>
    <row r="352" spans="1:60" s="136" customFormat="1" ht="126">
      <c r="A352" s="127"/>
      <c r="B352" s="110" t="s">
        <v>447</v>
      </c>
      <c r="C352" s="118" t="s">
        <v>527</v>
      </c>
      <c r="D352" s="118"/>
      <c r="E352" s="118" t="s">
        <v>667</v>
      </c>
      <c r="F352" s="118" t="s">
        <v>666</v>
      </c>
      <c r="G352" s="118" t="s">
        <v>665</v>
      </c>
      <c r="H352" s="118" t="s">
        <v>33</v>
      </c>
      <c r="I352" s="118"/>
      <c r="J352" s="118" t="s">
        <v>672</v>
      </c>
      <c r="K352" s="113" t="s">
        <v>13</v>
      </c>
      <c r="L352" s="121">
        <f t="shared" si="11"/>
        <v>60100</v>
      </c>
      <c r="M352" s="116">
        <f t="shared" si="9"/>
        <v>1</v>
      </c>
      <c r="N352" s="113" t="s">
        <v>533</v>
      </c>
      <c r="O352" s="138" t="s">
        <v>472</v>
      </c>
      <c r="P352" s="113"/>
      <c r="Q352" s="113">
        <v>1</v>
      </c>
      <c r="R352" s="113"/>
      <c r="S352" s="113" t="s">
        <v>671</v>
      </c>
      <c r="T352" s="120">
        <v>60100</v>
      </c>
      <c r="U352" s="111" t="s">
        <v>670</v>
      </c>
      <c r="V352" s="137"/>
      <c r="W352" s="137"/>
      <c r="X352" s="137"/>
      <c r="Y352" s="137"/>
      <c r="Z352" s="137"/>
      <c r="AA352" s="137"/>
      <c r="AB352" s="137"/>
      <c r="AC352" s="137"/>
      <c r="AD352" s="137"/>
      <c r="AE352" s="137"/>
      <c r="AF352" s="137"/>
      <c r="AG352" s="137"/>
      <c r="AH352" s="137"/>
      <c r="AI352" s="137"/>
      <c r="AJ352" s="137"/>
      <c r="AK352" s="137"/>
      <c r="AL352" s="137"/>
      <c r="AM352" s="137"/>
      <c r="AN352" s="137"/>
      <c r="AO352" s="137"/>
      <c r="AP352" s="137"/>
      <c r="AQ352" s="137"/>
      <c r="AR352" s="137"/>
      <c r="AS352" s="137"/>
      <c r="AT352" s="137"/>
      <c r="AU352" s="137"/>
      <c r="AV352" s="137"/>
      <c r="AW352" s="137"/>
      <c r="AX352" s="137"/>
      <c r="AY352" s="137"/>
      <c r="AZ352" s="137"/>
      <c r="BA352" s="137"/>
      <c r="BB352" s="137"/>
      <c r="BC352" s="137"/>
      <c r="BD352" s="137"/>
      <c r="BE352" s="137"/>
      <c r="BF352" s="137"/>
      <c r="BG352" s="137"/>
      <c r="BH352" s="137"/>
    </row>
    <row r="353" spans="1:60" s="136" customFormat="1" ht="126">
      <c r="A353" s="127"/>
      <c r="B353" s="110" t="s">
        <v>447</v>
      </c>
      <c r="C353" s="118" t="s">
        <v>527</v>
      </c>
      <c r="D353" s="118"/>
      <c r="E353" s="118" t="s">
        <v>667</v>
      </c>
      <c r="F353" s="118" t="s">
        <v>666</v>
      </c>
      <c r="G353" s="118" t="s">
        <v>665</v>
      </c>
      <c r="H353" s="118" t="s">
        <v>389</v>
      </c>
      <c r="I353" s="118"/>
      <c r="J353" s="118" t="s">
        <v>387</v>
      </c>
      <c r="K353" s="113" t="s">
        <v>149</v>
      </c>
      <c r="L353" s="121">
        <f t="shared" si="11"/>
        <v>60100</v>
      </c>
      <c r="M353" s="116">
        <f t="shared" si="9"/>
        <v>1</v>
      </c>
      <c r="N353" s="113" t="s">
        <v>533</v>
      </c>
      <c r="O353" s="138" t="s">
        <v>472</v>
      </c>
      <c r="P353" s="113"/>
      <c r="Q353" s="113">
        <v>1</v>
      </c>
      <c r="R353" s="113"/>
      <c r="S353" s="113" t="s">
        <v>669</v>
      </c>
      <c r="T353" s="120">
        <v>60100</v>
      </c>
      <c r="U353" s="111" t="s">
        <v>668</v>
      </c>
      <c r="V353" s="137"/>
      <c r="W353" s="137"/>
      <c r="X353" s="137"/>
      <c r="Y353" s="137"/>
      <c r="Z353" s="137"/>
      <c r="AA353" s="137"/>
      <c r="AB353" s="137"/>
      <c r="AC353" s="137"/>
      <c r="AD353" s="137"/>
      <c r="AE353" s="137"/>
      <c r="AF353" s="137"/>
      <c r="AG353" s="137"/>
      <c r="AH353" s="137"/>
      <c r="AI353" s="137"/>
      <c r="AJ353" s="137"/>
      <c r="AK353" s="137"/>
      <c r="AL353" s="137"/>
      <c r="AM353" s="137"/>
      <c r="AN353" s="137"/>
      <c r="AO353" s="137"/>
      <c r="AP353" s="137"/>
      <c r="AQ353" s="137"/>
      <c r="AR353" s="137"/>
      <c r="AS353" s="137"/>
      <c r="AT353" s="137"/>
      <c r="AU353" s="137"/>
      <c r="AV353" s="137"/>
      <c r="AW353" s="137"/>
      <c r="AX353" s="137"/>
      <c r="AY353" s="137"/>
      <c r="AZ353" s="137"/>
      <c r="BA353" s="137"/>
      <c r="BB353" s="137"/>
      <c r="BC353" s="137"/>
      <c r="BD353" s="137"/>
      <c r="BE353" s="137"/>
      <c r="BF353" s="137"/>
      <c r="BG353" s="137"/>
      <c r="BH353" s="137"/>
    </row>
    <row r="354" spans="1:60" s="136" customFormat="1" ht="126">
      <c r="A354" s="127"/>
      <c r="B354" s="110" t="s">
        <v>447</v>
      </c>
      <c r="C354" s="118" t="s">
        <v>527</v>
      </c>
      <c r="D354" s="118"/>
      <c r="E354" s="118" t="s">
        <v>667</v>
      </c>
      <c r="F354" s="118" t="s">
        <v>666</v>
      </c>
      <c r="G354" s="118" t="s">
        <v>665</v>
      </c>
      <c r="H354" s="118" t="s">
        <v>464</v>
      </c>
      <c r="I354" s="118"/>
      <c r="J354" s="118" t="s">
        <v>437</v>
      </c>
      <c r="K354" s="113" t="s">
        <v>63</v>
      </c>
      <c r="L354" s="121">
        <f t="shared" si="11"/>
        <v>60100</v>
      </c>
      <c r="M354" s="116">
        <f t="shared" si="9"/>
        <v>1</v>
      </c>
      <c r="N354" s="113" t="s">
        <v>533</v>
      </c>
      <c r="O354" s="138" t="s">
        <v>472</v>
      </c>
      <c r="P354" s="113"/>
      <c r="Q354" s="113">
        <v>1</v>
      </c>
      <c r="R354" s="113"/>
      <c r="S354" s="113" t="s">
        <v>664</v>
      </c>
      <c r="T354" s="120">
        <v>60100</v>
      </c>
      <c r="U354" s="111" t="s">
        <v>663</v>
      </c>
      <c r="V354" s="137"/>
      <c r="W354" s="137"/>
      <c r="X354" s="137"/>
      <c r="Y354" s="137"/>
      <c r="Z354" s="137"/>
      <c r="AA354" s="137"/>
      <c r="AB354" s="137"/>
      <c r="AC354" s="137"/>
      <c r="AD354" s="137"/>
      <c r="AE354" s="137"/>
      <c r="AF354" s="137"/>
      <c r="AG354" s="137"/>
      <c r="AH354" s="137"/>
      <c r="AI354" s="137"/>
      <c r="AJ354" s="137"/>
      <c r="AK354" s="137"/>
      <c r="AL354" s="137"/>
      <c r="AM354" s="137"/>
      <c r="AN354" s="137"/>
      <c r="AO354" s="137"/>
      <c r="AP354" s="137"/>
      <c r="AQ354" s="137"/>
      <c r="AR354" s="137"/>
      <c r="AS354" s="137"/>
      <c r="AT354" s="137"/>
      <c r="AU354" s="137"/>
      <c r="AV354" s="137"/>
      <c r="AW354" s="137"/>
      <c r="AX354" s="137"/>
      <c r="AY354" s="137"/>
      <c r="AZ354" s="137"/>
      <c r="BA354" s="137"/>
      <c r="BB354" s="137"/>
      <c r="BC354" s="137"/>
      <c r="BD354" s="137"/>
      <c r="BE354" s="137"/>
      <c r="BF354" s="137"/>
      <c r="BG354" s="137"/>
      <c r="BH354" s="137"/>
    </row>
    <row r="355" spans="1:60" s="124" customFormat="1" ht="69.75">
      <c r="A355" s="127"/>
      <c r="B355" s="92" t="s">
        <v>447</v>
      </c>
      <c r="C355" s="100" t="s">
        <v>479</v>
      </c>
      <c r="D355" s="100"/>
      <c r="E355" s="100"/>
      <c r="F355" s="100"/>
      <c r="G355" s="100" t="s">
        <v>662</v>
      </c>
      <c r="H355" s="96" t="s">
        <v>77</v>
      </c>
      <c r="I355" s="96"/>
      <c r="J355" s="96" t="s">
        <v>64</v>
      </c>
      <c r="K355" s="96" t="s">
        <v>63</v>
      </c>
      <c r="L355" s="99">
        <f t="shared" si="11"/>
        <v>21090900</v>
      </c>
      <c r="M355" s="98">
        <f t="shared" si="9"/>
        <v>687</v>
      </c>
      <c r="N355" s="96" t="s">
        <v>596</v>
      </c>
      <c r="O355" s="97" t="s">
        <v>472</v>
      </c>
      <c r="P355" s="97"/>
      <c r="Q355" s="96">
        <v>687</v>
      </c>
      <c r="R355" s="96"/>
      <c r="S355" s="306" t="s">
        <v>651</v>
      </c>
      <c r="T355" s="95">
        <v>30700</v>
      </c>
      <c r="U355" s="303" t="s">
        <v>661</v>
      </c>
      <c r="V355" s="125"/>
      <c r="W355" s="125"/>
      <c r="X355" s="125"/>
      <c r="Y355" s="125"/>
      <c r="Z355" s="125"/>
      <c r="AA355" s="125"/>
      <c r="AB355" s="125"/>
      <c r="AC355" s="125"/>
      <c r="AD355" s="125"/>
      <c r="AE355" s="125"/>
      <c r="AF355" s="125"/>
      <c r="AG355" s="125"/>
      <c r="AH355" s="125"/>
      <c r="AI355" s="125"/>
      <c r="AJ355" s="125"/>
      <c r="AK355" s="125"/>
      <c r="AL355" s="125"/>
      <c r="AM355" s="125"/>
      <c r="AN355" s="125"/>
      <c r="AO355" s="125"/>
      <c r="AP355" s="125"/>
      <c r="AQ355" s="125"/>
      <c r="AR355" s="125"/>
      <c r="AS355" s="125"/>
      <c r="AT355" s="125"/>
      <c r="AU355" s="125"/>
      <c r="AV355" s="125"/>
      <c r="AW355" s="125"/>
      <c r="AX355" s="125"/>
      <c r="AY355" s="125"/>
      <c r="AZ355" s="125"/>
      <c r="BA355" s="125"/>
      <c r="BB355" s="125"/>
      <c r="BC355" s="125"/>
      <c r="BD355" s="125"/>
      <c r="BE355" s="125"/>
      <c r="BF355" s="125"/>
      <c r="BG355" s="125"/>
      <c r="BH355" s="125"/>
    </row>
    <row r="356" spans="1:60" s="124" customFormat="1" ht="46.5">
      <c r="A356" s="127"/>
      <c r="B356" s="92" t="s">
        <v>447</v>
      </c>
      <c r="C356" s="100" t="s">
        <v>479</v>
      </c>
      <c r="D356" s="100"/>
      <c r="E356" s="100"/>
      <c r="F356" s="100"/>
      <c r="G356" s="100" t="s">
        <v>660</v>
      </c>
      <c r="H356" s="96" t="s">
        <v>77</v>
      </c>
      <c r="I356" s="96"/>
      <c r="J356" s="96" t="s">
        <v>64</v>
      </c>
      <c r="K356" s="96" t="s">
        <v>63</v>
      </c>
      <c r="L356" s="99">
        <f t="shared" si="11"/>
        <v>6175800</v>
      </c>
      <c r="M356" s="98">
        <f t="shared" si="9"/>
        <v>219</v>
      </c>
      <c r="N356" s="96" t="s">
        <v>596</v>
      </c>
      <c r="O356" s="97" t="s">
        <v>472</v>
      </c>
      <c r="P356" s="97"/>
      <c r="Q356" s="96">
        <v>219</v>
      </c>
      <c r="R356" s="96"/>
      <c r="S356" s="307"/>
      <c r="T356" s="95">
        <v>28200</v>
      </c>
      <c r="U356" s="304"/>
      <c r="V356" s="125"/>
      <c r="W356" s="125"/>
      <c r="X356" s="125"/>
      <c r="Y356" s="125"/>
      <c r="Z356" s="125"/>
      <c r="AA356" s="125"/>
      <c r="AB356" s="125"/>
      <c r="AC356" s="125"/>
      <c r="AD356" s="125"/>
      <c r="AE356" s="125"/>
      <c r="AF356" s="125"/>
      <c r="AG356" s="125"/>
      <c r="AH356" s="125"/>
      <c r="AI356" s="125"/>
      <c r="AJ356" s="125"/>
      <c r="AK356" s="125"/>
      <c r="AL356" s="125"/>
      <c r="AM356" s="125"/>
      <c r="AN356" s="125"/>
      <c r="AO356" s="125"/>
      <c r="AP356" s="125"/>
      <c r="AQ356" s="125"/>
      <c r="AR356" s="125"/>
      <c r="AS356" s="125"/>
      <c r="AT356" s="125"/>
      <c r="AU356" s="125"/>
      <c r="AV356" s="125"/>
      <c r="AW356" s="125"/>
      <c r="AX356" s="125"/>
      <c r="AY356" s="125"/>
      <c r="AZ356" s="125"/>
      <c r="BA356" s="125"/>
      <c r="BB356" s="125"/>
      <c r="BC356" s="125"/>
      <c r="BD356" s="125"/>
      <c r="BE356" s="125"/>
      <c r="BF356" s="125"/>
      <c r="BG356" s="125"/>
      <c r="BH356" s="125"/>
    </row>
    <row r="357" spans="1:60" s="124" customFormat="1" ht="46.5">
      <c r="A357" s="127"/>
      <c r="B357" s="92" t="s">
        <v>447</v>
      </c>
      <c r="C357" s="100" t="s">
        <v>479</v>
      </c>
      <c r="D357" s="100"/>
      <c r="E357" s="100"/>
      <c r="F357" s="100"/>
      <c r="G357" s="100" t="s">
        <v>659</v>
      </c>
      <c r="H357" s="96" t="s">
        <v>77</v>
      </c>
      <c r="I357" s="96"/>
      <c r="J357" s="96" t="s">
        <v>64</v>
      </c>
      <c r="K357" s="96" t="s">
        <v>63</v>
      </c>
      <c r="L357" s="99">
        <f t="shared" si="11"/>
        <v>1495200</v>
      </c>
      <c r="M357" s="98">
        <f t="shared" si="9"/>
        <v>168</v>
      </c>
      <c r="N357" s="96" t="s">
        <v>596</v>
      </c>
      <c r="O357" s="97" t="s">
        <v>472</v>
      </c>
      <c r="P357" s="97"/>
      <c r="Q357" s="96">
        <v>168</v>
      </c>
      <c r="R357" s="96"/>
      <c r="S357" s="307"/>
      <c r="T357" s="95">
        <v>8900</v>
      </c>
      <c r="U357" s="304"/>
      <c r="V357" s="125"/>
      <c r="W357" s="125"/>
      <c r="X357" s="125"/>
      <c r="Y357" s="125"/>
      <c r="Z357" s="125"/>
      <c r="AA357" s="125"/>
      <c r="AB357" s="125"/>
      <c r="AC357" s="125"/>
      <c r="AD357" s="125"/>
      <c r="AE357" s="125"/>
      <c r="AF357" s="125"/>
      <c r="AG357" s="125"/>
      <c r="AH357" s="125"/>
      <c r="AI357" s="125"/>
      <c r="AJ357" s="125"/>
      <c r="AK357" s="125"/>
      <c r="AL357" s="125"/>
      <c r="AM357" s="125"/>
      <c r="AN357" s="125"/>
      <c r="AO357" s="125"/>
      <c r="AP357" s="125"/>
      <c r="AQ357" s="125"/>
      <c r="AR357" s="125"/>
      <c r="AS357" s="125"/>
      <c r="AT357" s="125"/>
      <c r="AU357" s="125"/>
      <c r="AV357" s="125"/>
      <c r="AW357" s="125"/>
      <c r="AX357" s="125"/>
      <c r="AY357" s="125"/>
      <c r="AZ357" s="125"/>
      <c r="BA357" s="125"/>
      <c r="BB357" s="125"/>
      <c r="BC357" s="125"/>
      <c r="BD357" s="125"/>
      <c r="BE357" s="125"/>
      <c r="BF357" s="125"/>
      <c r="BG357" s="125"/>
      <c r="BH357" s="125"/>
    </row>
    <row r="358" spans="1:60" s="124" customFormat="1" ht="46.5">
      <c r="A358" s="127"/>
      <c r="B358" s="92" t="s">
        <v>447</v>
      </c>
      <c r="C358" s="100" t="s">
        <v>479</v>
      </c>
      <c r="D358" s="100"/>
      <c r="E358" s="100"/>
      <c r="F358" s="100"/>
      <c r="G358" s="100" t="s">
        <v>658</v>
      </c>
      <c r="H358" s="96" t="s">
        <v>77</v>
      </c>
      <c r="I358" s="96"/>
      <c r="J358" s="96" t="s">
        <v>64</v>
      </c>
      <c r="K358" s="96" t="s">
        <v>63</v>
      </c>
      <c r="L358" s="99">
        <f t="shared" si="11"/>
        <v>33000</v>
      </c>
      <c r="M358" s="98">
        <f t="shared" si="9"/>
        <v>3</v>
      </c>
      <c r="N358" s="96" t="s">
        <v>596</v>
      </c>
      <c r="O358" s="97" t="s">
        <v>472</v>
      </c>
      <c r="P358" s="97"/>
      <c r="Q358" s="96">
        <v>3</v>
      </c>
      <c r="R358" s="96"/>
      <c r="S358" s="307"/>
      <c r="T358" s="95">
        <v>11000</v>
      </c>
      <c r="U358" s="304"/>
      <c r="V358" s="125"/>
      <c r="W358" s="125"/>
      <c r="X358" s="125"/>
      <c r="Y358" s="125"/>
      <c r="Z358" s="125"/>
      <c r="AA358" s="125"/>
      <c r="AB358" s="125"/>
      <c r="AC358" s="125"/>
      <c r="AD358" s="125"/>
      <c r="AE358" s="125"/>
      <c r="AF358" s="125"/>
      <c r="AG358" s="125"/>
      <c r="AH358" s="125"/>
      <c r="AI358" s="125"/>
      <c r="AJ358" s="125"/>
      <c r="AK358" s="125"/>
      <c r="AL358" s="125"/>
      <c r="AM358" s="125"/>
      <c r="AN358" s="125"/>
      <c r="AO358" s="125"/>
      <c r="AP358" s="125"/>
      <c r="AQ358" s="125"/>
      <c r="AR358" s="125"/>
      <c r="AS358" s="125"/>
      <c r="AT358" s="125"/>
      <c r="AU358" s="125"/>
      <c r="AV358" s="125"/>
      <c r="AW358" s="125"/>
      <c r="AX358" s="125"/>
      <c r="AY358" s="125"/>
      <c r="AZ358" s="125"/>
      <c r="BA358" s="125"/>
      <c r="BB358" s="125"/>
      <c r="BC358" s="125"/>
      <c r="BD358" s="125"/>
      <c r="BE358" s="125"/>
      <c r="BF358" s="125"/>
      <c r="BG358" s="125"/>
      <c r="BH358" s="125"/>
    </row>
    <row r="359" spans="1:60" s="124" customFormat="1" ht="46.5">
      <c r="A359" s="127"/>
      <c r="B359" s="92" t="s">
        <v>447</v>
      </c>
      <c r="C359" s="100" t="s">
        <v>479</v>
      </c>
      <c r="D359" s="100"/>
      <c r="E359" s="100"/>
      <c r="F359" s="100"/>
      <c r="G359" s="100" t="s">
        <v>657</v>
      </c>
      <c r="H359" s="96" t="s">
        <v>77</v>
      </c>
      <c r="I359" s="96"/>
      <c r="J359" s="96" t="s">
        <v>64</v>
      </c>
      <c r="K359" s="96" t="s">
        <v>63</v>
      </c>
      <c r="L359" s="99">
        <f t="shared" si="11"/>
        <v>4100</v>
      </c>
      <c r="M359" s="98">
        <f t="shared" si="9"/>
        <v>1</v>
      </c>
      <c r="N359" s="96" t="s">
        <v>558</v>
      </c>
      <c r="O359" s="97" t="s">
        <v>472</v>
      </c>
      <c r="P359" s="97"/>
      <c r="Q359" s="96">
        <v>1</v>
      </c>
      <c r="R359" s="96"/>
      <c r="S359" s="307"/>
      <c r="T359" s="95">
        <v>4100</v>
      </c>
      <c r="U359" s="304"/>
      <c r="V359" s="125"/>
      <c r="W359" s="125"/>
      <c r="X359" s="125"/>
      <c r="Y359" s="125"/>
      <c r="Z359" s="125"/>
      <c r="AA359" s="125"/>
      <c r="AB359" s="125"/>
      <c r="AC359" s="125"/>
      <c r="AD359" s="125"/>
      <c r="AE359" s="125"/>
      <c r="AF359" s="125"/>
      <c r="AG359" s="125"/>
      <c r="AH359" s="125"/>
      <c r="AI359" s="125"/>
      <c r="AJ359" s="125"/>
      <c r="AK359" s="125"/>
      <c r="AL359" s="125"/>
      <c r="AM359" s="125"/>
      <c r="AN359" s="125"/>
      <c r="AO359" s="125"/>
      <c r="AP359" s="125"/>
      <c r="AQ359" s="125"/>
      <c r="AR359" s="125"/>
      <c r="AS359" s="125"/>
      <c r="AT359" s="125"/>
      <c r="AU359" s="125"/>
      <c r="AV359" s="125"/>
      <c r="AW359" s="125"/>
      <c r="AX359" s="125"/>
      <c r="AY359" s="125"/>
      <c r="AZ359" s="125"/>
      <c r="BA359" s="125"/>
      <c r="BB359" s="125"/>
      <c r="BC359" s="125"/>
      <c r="BD359" s="125"/>
      <c r="BE359" s="125"/>
      <c r="BF359" s="125"/>
      <c r="BG359" s="125"/>
      <c r="BH359" s="125"/>
    </row>
    <row r="360" spans="1:60" s="124" customFormat="1" ht="46.5">
      <c r="A360" s="127"/>
      <c r="B360" s="92" t="s">
        <v>447</v>
      </c>
      <c r="C360" s="100" t="s">
        <v>479</v>
      </c>
      <c r="D360" s="100"/>
      <c r="E360" s="100"/>
      <c r="F360" s="100"/>
      <c r="G360" s="100" t="s">
        <v>656</v>
      </c>
      <c r="H360" s="96" t="s">
        <v>77</v>
      </c>
      <c r="I360" s="96"/>
      <c r="J360" s="96" t="s">
        <v>64</v>
      </c>
      <c r="K360" s="96" t="s">
        <v>63</v>
      </c>
      <c r="L360" s="99">
        <f t="shared" si="11"/>
        <v>544000</v>
      </c>
      <c r="M360" s="98">
        <f t="shared" si="9"/>
        <v>34</v>
      </c>
      <c r="N360" s="96" t="s">
        <v>558</v>
      </c>
      <c r="O360" s="97" t="s">
        <v>472</v>
      </c>
      <c r="P360" s="97"/>
      <c r="Q360" s="96">
        <v>34</v>
      </c>
      <c r="R360" s="96"/>
      <c r="S360" s="307"/>
      <c r="T360" s="95">
        <v>16000</v>
      </c>
      <c r="U360" s="304"/>
      <c r="V360" s="125"/>
      <c r="W360" s="125"/>
      <c r="X360" s="125"/>
      <c r="Y360" s="125"/>
      <c r="Z360" s="125"/>
      <c r="AA360" s="125"/>
      <c r="AB360" s="125"/>
      <c r="AC360" s="125"/>
      <c r="AD360" s="125"/>
      <c r="AE360" s="125"/>
      <c r="AF360" s="125"/>
      <c r="AG360" s="125"/>
      <c r="AH360" s="125"/>
      <c r="AI360" s="125"/>
      <c r="AJ360" s="125"/>
      <c r="AK360" s="125"/>
      <c r="AL360" s="125"/>
      <c r="AM360" s="125"/>
      <c r="AN360" s="125"/>
      <c r="AO360" s="125"/>
      <c r="AP360" s="125"/>
      <c r="AQ360" s="125"/>
      <c r="AR360" s="125"/>
      <c r="AS360" s="125"/>
      <c r="AT360" s="125"/>
      <c r="AU360" s="125"/>
      <c r="AV360" s="125"/>
      <c r="AW360" s="125"/>
      <c r="AX360" s="125"/>
      <c r="AY360" s="125"/>
      <c r="AZ360" s="125"/>
      <c r="BA360" s="125"/>
      <c r="BB360" s="125"/>
      <c r="BC360" s="125"/>
      <c r="BD360" s="125"/>
      <c r="BE360" s="125"/>
      <c r="BF360" s="125"/>
      <c r="BG360" s="125"/>
      <c r="BH360" s="125"/>
    </row>
    <row r="361" spans="1:60" s="124" customFormat="1" ht="46.5">
      <c r="A361" s="127"/>
      <c r="B361" s="92" t="s">
        <v>447</v>
      </c>
      <c r="C361" s="100" t="s">
        <v>479</v>
      </c>
      <c r="D361" s="100"/>
      <c r="E361" s="100"/>
      <c r="F361" s="100"/>
      <c r="G361" s="100" t="s">
        <v>655</v>
      </c>
      <c r="H361" s="96" t="s">
        <v>77</v>
      </c>
      <c r="I361" s="96"/>
      <c r="J361" s="96" t="s">
        <v>64</v>
      </c>
      <c r="K361" s="96" t="s">
        <v>63</v>
      </c>
      <c r="L361" s="99">
        <f t="shared" si="11"/>
        <v>520000</v>
      </c>
      <c r="M361" s="98">
        <f t="shared" si="9"/>
        <v>20</v>
      </c>
      <c r="N361" s="96" t="s">
        <v>596</v>
      </c>
      <c r="O361" s="97"/>
      <c r="P361" s="97" t="s">
        <v>472</v>
      </c>
      <c r="Q361" s="96">
        <v>20</v>
      </c>
      <c r="R361" s="96"/>
      <c r="S361" s="307"/>
      <c r="T361" s="95">
        <v>26000</v>
      </c>
      <c r="U361" s="304"/>
      <c r="V361" s="125"/>
      <c r="W361" s="125"/>
      <c r="X361" s="125"/>
      <c r="Y361" s="125"/>
      <c r="Z361" s="125"/>
      <c r="AA361" s="125"/>
      <c r="AB361" s="125"/>
      <c r="AC361" s="125"/>
      <c r="AD361" s="125"/>
      <c r="AE361" s="125"/>
      <c r="AF361" s="125"/>
      <c r="AG361" s="125"/>
      <c r="AH361" s="125"/>
      <c r="AI361" s="125"/>
      <c r="AJ361" s="125"/>
      <c r="AK361" s="125"/>
      <c r="AL361" s="125"/>
      <c r="AM361" s="125"/>
      <c r="AN361" s="125"/>
      <c r="AO361" s="125"/>
      <c r="AP361" s="125"/>
      <c r="AQ361" s="125"/>
      <c r="AR361" s="125"/>
      <c r="AS361" s="125"/>
      <c r="AT361" s="125"/>
      <c r="AU361" s="125"/>
      <c r="AV361" s="125"/>
      <c r="AW361" s="125"/>
      <c r="AX361" s="125"/>
      <c r="AY361" s="125"/>
      <c r="AZ361" s="125"/>
      <c r="BA361" s="125"/>
      <c r="BB361" s="125"/>
      <c r="BC361" s="125"/>
      <c r="BD361" s="125"/>
      <c r="BE361" s="125"/>
      <c r="BF361" s="125"/>
      <c r="BG361" s="125"/>
      <c r="BH361" s="125"/>
    </row>
    <row r="362" spans="1:60" s="124" customFormat="1" ht="46.5">
      <c r="A362" s="127"/>
      <c r="B362" s="92" t="s">
        <v>447</v>
      </c>
      <c r="C362" s="100" t="s">
        <v>479</v>
      </c>
      <c r="D362" s="100"/>
      <c r="E362" s="100"/>
      <c r="F362" s="100"/>
      <c r="G362" s="100" t="s">
        <v>654</v>
      </c>
      <c r="H362" s="96" t="s">
        <v>77</v>
      </c>
      <c r="I362" s="96"/>
      <c r="J362" s="96" t="s">
        <v>64</v>
      </c>
      <c r="K362" s="96" t="s">
        <v>63</v>
      </c>
      <c r="L362" s="99">
        <f t="shared" si="11"/>
        <v>440000</v>
      </c>
      <c r="M362" s="98">
        <f t="shared" si="9"/>
        <v>20</v>
      </c>
      <c r="N362" s="96" t="s">
        <v>596</v>
      </c>
      <c r="O362" s="97"/>
      <c r="P362" s="97" t="s">
        <v>472</v>
      </c>
      <c r="Q362" s="96">
        <v>20</v>
      </c>
      <c r="R362" s="96"/>
      <c r="S362" s="307"/>
      <c r="T362" s="95">
        <v>22000</v>
      </c>
      <c r="U362" s="304"/>
      <c r="V362" s="125"/>
      <c r="W362" s="125"/>
      <c r="X362" s="125"/>
      <c r="Y362" s="125"/>
      <c r="Z362" s="125"/>
      <c r="AA362" s="125"/>
      <c r="AB362" s="125"/>
      <c r="AC362" s="125"/>
      <c r="AD362" s="125"/>
      <c r="AE362" s="125"/>
      <c r="AF362" s="125"/>
      <c r="AG362" s="125"/>
      <c r="AH362" s="125"/>
      <c r="AI362" s="125"/>
      <c r="AJ362" s="125"/>
      <c r="AK362" s="125"/>
      <c r="AL362" s="125"/>
      <c r="AM362" s="125"/>
      <c r="AN362" s="125"/>
      <c r="AO362" s="125"/>
      <c r="AP362" s="125"/>
      <c r="AQ362" s="125"/>
      <c r="AR362" s="125"/>
      <c r="AS362" s="125"/>
      <c r="AT362" s="125"/>
      <c r="AU362" s="125"/>
      <c r="AV362" s="125"/>
      <c r="AW362" s="125"/>
      <c r="AX362" s="125"/>
      <c r="AY362" s="125"/>
      <c r="AZ362" s="125"/>
      <c r="BA362" s="125"/>
      <c r="BB362" s="125"/>
      <c r="BC362" s="125"/>
      <c r="BD362" s="125"/>
      <c r="BE362" s="125"/>
      <c r="BF362" s="125"/>
      <c r="BG362" s="125"/>
      <c r="BH362" s="125"/>
    </row>
    <row r="363" spans="1:60" s="124" customFormat="1" ht="46.5">
      <c r="A363" s="127"/>
      <c r="B363" s="92" t="s">
        <v>447</v>
      </c>
      <c r="C363" s="100" t="s">
        <v>479</v>
      </c>
      <c r="D363" s="100"/>
      <c r="E363" s="100"/>
      <c r="F363" s="100"/>
      <c r="G363" s="100" t="s">
        <v>653</v>
      </c>
      <c r="H363" s="96" t="s">
        <v>77</v>
      </c>
      <c r="I363" s="96"/>
      <c r="J363" s="96" t="s">
        <v>64</v>
      </c>
      <c r="K363" s="96" t="s">
        <v>63</v>
      </c>
      <c r="L363" s="99">
        <f t="shared" si="11"/>
        <v>4077000</v>
      </c>
      <c r="M363" s="98">
        <f t="shared" si="9"/>
        <v>906</v>
      </c>
      <c r="N363" s="96" t="s">
        <v>596</v>
      </c>
      <c r="O363" s="97" t="s">
        <v>472</v>
      </c>
      <c r="P363" s="97"/>
      <c r="Q363" s="96">
        <v>906</v>
      </c>
      <c r="R363" s="96"/>
      <c r="S363" s="308"/>
      <c r="T363" s="95">
        <v>4500</v>
      </c>
      <c r="U363" s="305"/>
      <c r="V363" s="125"/>
      <c r="W363" s="125"/>
      <c r="X363" s="125"/>
      <c r="Y363" s="125"/>
      <c r="Z363" s="125"/>
      <c r="AA363" s="125"/>
      <c r="AB363" s="125"/>
      <c r="AC363" s="125"/>
      <c r="AD363" s="125"/>
      <c r="AE363" s="125"/>
      <c r="AF363" s="125"/>
      <c r="AG363" s="125"/>
      <c r="AH363" s="125"/>
      <c r="AI363" s="125"/>
      <c r="AJ363" s="125"/>
      <c r="AK363" s="125"/>
      <c r="AL363" s="125"/>
      <c r="AM363" s="125"/>
      <c r="AN363" s="125"/>
      <c r="AO363" s="125"/>
      <c r="AP363" s="125"/>
      <c r="AQ363" s="125"/>
      <c r="AR363" s="125"/>
      <c r="AS363" s="125"/>
      <c r="AT363" s="125"/>
      <c r="AU363" s="125"/>
      <c r="AV363" s="125"/>
      <c r="AW363" s="125"/>
      <c r="AX363" s="125"/>
      <c r="AY363" s="125"/>
      <c r="AZ363" s="125"/>
      <c r="BA363" s="125"/>
      <c r="BB363" s="125"/>
      <c r="BC363" s="125"/>
      <c r="BD363" s="125"/>
      <c r="BE363" s="125"/>
      <c r="BF363" s="125"/>
      <c r="BG363" s="125"/>
      <c r="BH363" s="125"/>
    </row>
    <row r="364" spans="1:60" s="124" customFormat="1" ht="46.5">
      <c r="A364" s="127"/>
      <c r="B364" s="92" t="s">
        <v>447</v>
      </c>
      <c r="C364" s="100" t="s">
        <v>479</v>
      </c>
      <c r="D364" s="100"/>
      <c r="E364" s="100"/>
      <c r="F364" s="100"/>
      <c r="G364" s="100" t="s">
        <v>652</v>
      </c>
      <c r="H364" s="96" t="s">
        <v>77</v>
      </c>
      <c r="I364" s="96"/>
      <c r="J364" s="96" t="s">
        <v>64</v>
      </c>
      <c r="K364" s="96" t="s">
        <v>63</v>
      </c>
      <c r="L364" s="99">
        <f t="shared" si="11"/>
        <v>7700000</v>
      </c>
      <c r="M364" s="98">
        <f t="shared" si="9"/>
        <v>22</v>
      </c>
      <c r="N364" s="96" t="s">
        <v>558</v>
      </c>
      <c r="O364" s="97" t="s">
        <v>472</v>
      </c>
      <c r="P364" s="97"/>
      <c r="Q364" s="96">
        <v>22</v>
      </c>
      <c r="R364" s="96"/>
      <c r="S364" s="306" t="s">
        <v>651</v>
      </c>
      <c r="T364" s="95">
        <v>350000</v>
      </c>
      <c r="U364" s="303" t="s">
        <v>650</v>
      </c>
      <c r="V364" s="125"/>
      <c r="W364" s="125"/>
      <c r="X364" s="125"/>
      <c r="Y364" s="125"/>
      <c r="Z364" s="125"/>
      <c r="AA364" s="125"/>
      <c r="AB364" s="125"/>
      <c r="AC364" s="125"/>
      <c r="AD364" s="125"/>
      <c r="AE364" s="125"/>
      <c r="AF364" s="125"/>
      <c r="AG364" s="125"/>
      <c r="AH364" s="125"/>
      <c r="AI364" s="125"/>
      <c r="AJ364" s="125"/>
      <c r="AK364" s="125"/>
      <c r="AL364" s="125"/>
      <c r="AM364" s="125"/>
      <c r="AN364" s="125"/>
      <c r="AO364" s="125"/>
      <c r="AP364" s="125"/>
      <c r="AQ364" s="125"/>
      <c r="AR364" s="125"/>
      <c r="AS364" s="125"/>
      <c r="AT364" s="125"/>
      <c r="AU364" s="125"/>
      <c r="AV364" s="125"/>
      <c r="AW364" s="125"/>
      <c r="AX364" s="125"/>
      <c r="AY364" s="125"/>
      <c r="AZ364" s="125"/>
      <c r="BA364" s="125"/>
      <c r="BB364" s="125"/>
      <c r="BC364" s="125"/>
      <c r="BD364" s="125"/>
      <c r="BE364" s="125"/>
      <c r="BF364" s="125"/>
      <c r="BG364" s="125"/>
      <c r="BH364" s="125"/>
    </row>
    <row r="365" spans="1:60" s="124" customFormat="1" ht="46.5">
      <c r="A365" s="127"/>
      <c r="B365" s="92" t="s">
        <v>447</v>
      </c>
      <c r="C365" s="100" t="s">
        <v>479</v>
      </c>
      <c r="D365" s="100"/>
      <c r="E365" s="100"/>
      <c r="F365" s="100"/>
      <c r="G365" s="100" t="s">
        <v>649</v>
      </c>
      <c r="H365" s="96" t="s">
        <v>77</v>
      </c>
      <c r="I365" s="96"/>
      <c r="J365" s="96" t="s">
        <v>64</v>
      </c>
      <c r="K365" s="96" t="s">
        <v>63</v>
      </c>
      <c r="L365" s="99">
        <f t="shared" si="11"/>
        <v>570000</v>
      </c>
      <c r="M365" s="98">
        <f t="shared" si="9"/>
        <v>1</v>
      </c>
      <c r="N365" s="96" t="s">
        <v>558</v>
      </c>
      <c r="O365" s="97" t="s">
        <v>472</v>
      </c>
      <c r="P365" s="97"/>
      <c r="Q365" s="96">
        <v>1</v>
      </c>
      <c r="R365" s="96"/>
      <c r="S365" s="307"/>
      <c r="T365" s="95">
        <v>570000</v>
      </c>
      <c r="U365" s="304"/>
      <c r="V365" s="125"/>
      <c r="W365" s="125"/>
      <c r="X365" s="125"/>
      <c r="Y365" s="125"/>
      <c r="Z365" s="125"/>
      <c r="AA365" s="125"/>
      <c r="AB365" s="125"/>
      <c r="AC365" s="125"/>
      <c r="AD365" s="125"/>
      <c r="AE365" s="125"/>
      <c r="AF365" s="125"/>
      <c r="AG365" s="125"/>
      <c r="AH365" s="125"/>
      <c r="AI365" s="125"/>
      <c r="AJ365" s="125"/>
      <c r="AK365" s="125"/>
      <c r="AL365" s="125"/>
      <c r="AM365" s="125"/>
      <c r="AN365" s="125"/>
      <c r="AO365" s="125"/>
      <c r="AP365" s="125"/>
      <c r="AQ365" s="125"/>
      <c r="AR365" s="125"/>
      <c r="AS365" s="125"/>
      <c r="AT365" s="125"/>
      <c r="AU365" s="125"/>
      <c r="AV365" s="125"/>
      <c r="AW365" s="125"/>
      <c r="AX365" s="125"/>
      <c r="AY365" s="125"/>
      <c r="AZ365" s="125"/>
      <c r="BA365" s="125"/>
      <c r="BB365" s="125"/>
      <c r="BC365" s="125"/>
      <c r="BD365" s="125"/>
      <c r="BE365" s="125"/>
      <c r="BF365" s="125"/>
      <c r="BG365" s="125"/>
      <c r="BH365" s="125"/>
    </row>
    <row r="366" spans="1:60" s="124" customFormat="1" ht="46.5">
      <c r="A366" s="127"/>
      <c r="B366" s="92" t="s">
        <v>447</v>
      </c>
      <c r="C366" s="100" t="s">
        <v>479</v>
      </c>
      <c r="D366" s="100"/>
      <c r="E366" s="100"/>
      <c r="F366" s="100"/>
      <c r="G366" s="100" t="s">
        <v>648</v>
      </c>
      <c r="H366" s="96" t="s">
        <v>77</v>
      </c>
      <c r="I366" s="96"/>
      <c r="J366" s="96" t="s">
        <v>64</v>
      </c>
      <c r="K366" s="96" t="s">
        <v>63</v>
      </c>
      <c r="L366" s="99">
        <f t="shared" si="11"/>
        <v>208000</v>
      </c>
      <c r="M366" s="98">
        <f t="shared" si="9"/>
        <v>16</v>
      </c>
      <c r="N366" s="96" t="s">
        <v>558</v>
      </c>
      <c r="O366" s="97" t="s">
        <v>472</v>
      </c>
      <c r="P366" s="97"/>
      <c r="Q366" s="96">
        <v>16</v>
      </c>
      <c r="R366" s="96"/>
      <c r="S366" s="307"/>
      <c r="T366" s="95">
        <v>13000</v>
      </c>
      <c r="U366" s="304"/>
      <c r="V366" s="125"/>
      <c r="W366" s="125"/>
      <c r="X366" s="125"/>
      <c r="Y366" s="125"/>
      <c r="Z366" s="125"/>
      <c r="AA366" s="125"/>
      <c r="AB366" s="125"/>
      <c r="AC366" s="125"/>
      <c r="AD366" s="125"/>
      <c r="AE366" s="125"/>
      <c r="AF366" s="125"/>
      <c r="AG366" s="125"/>
      <c r="AH366" s="125"/>
      <c r="AI366" s="125"/>
      <c r="AJ366" s="125"/>
      <c r="AK366" s="125"/>
      <c r="AL366" s="125"/>
      <c r="AM366" s="125"/>
      <c r="AN366" s="125"/>
      <c r="AO366" s="125"/>
      <c r="AP366" s="125"/>
      <c r="AQ366" s="125"/>
      <c r="AR366" s="125"/>
      <c r="AS366" s="125"/>
      <c r="AT366" s="125"/>
      <c r="AU366" s="125"/>
      <c r="AV366" s="125"/>
      <c r="AW366" s="125"/>
      <c r="AX366" s="125"/>
      <c r="AY366" s="125"/>
      <c r="AZ366" s="125"/>
      <c r="BA366" s="125"/>
      <c r="BB366" s="125"/>
      <c r="BC366" s="125"/>
      <c r="BD366" s="125"/>
      <c r="BE366" s="125"/>
      <c r="BF366" s="125"/>
      <c r="BG366" s="125"/>
      <c r="BH366" s="125"/>
    </row>
    <row r="367" spans="1:60" s="124" customFormat="1" ht="46.5">
      <c r="A367" s="127"/>
      <c r="B367" s="92" t="s">
        <v>447</v>
      </c>
      <c r="C367" s="100" t="s">
        <v>479</v>
      </c>
      <c r="D367" s="100"/>
      <c r="E367" s="100"/>
      <c r="F367" s="100"/>
      <c r="G367" s="100" t="s">
        <v>647</v>
      </c>
      <c r="H367" s="96" t="s">
        <v>77</v>
      </c>
      <c r="I367" s="96"/>
      <c r="J367" s="96" t="s">
        <v>64</v>
      </c>
      <c r="K367" s="96" t="s">
        <v>63</v>
      </c>
      <c r="L367" s="99">
        <f t="shared" si="11"/>
        <v>1000000</v>
      </c>
      <c r="M367" s="98">
        <f t="shared" si="9"/>
        <v>2</v>
      </c>
      <c r="N367" s="96" t="s">
        <v>558</v>
      </c>
      <c r="O367" s="97"/>
      <c r="P367" s="97" t="s">
        <v>472</v>
      </c>
      <c r="Q367" s="96">
        <v>2</v>
      </c>
      <c r="R367" s="96"/>
      <c r="S367" s="307"/>
      <c r="T367" s="95">
        <v>500000</v>
      </c>
      <c r="U367" s="304"/>
      <c r="V367" s="125"/>
      <c r="W367" s="125"/>
      <c r="X367" s="125"/>
      <c r="Y367" s="125"/>
      <c r="Z367" s="125"/>
      <c r="AA367" s="125"/>
      <c r="AB367" s="125"/>
      <c r="AC367" s="125"/>
      <c r="AD367" s="125"/>
      <c r="AE367" s="125"/>
      <c r="AF367" s="125"/>
      <c r="AG367" s="125"/>
      <c r="AH367" s="125"/>
      <c r="AI367" s="125"/>
      <c r="AJ367" s="125"/>
      <c r="AK367" s="125"/>
      <c r="AL367" s="125"/>
      <c r="AM367" s="125"/>
      <c r="AN367" s="125"/>
      <c r="AO367" s="125"/>
      <c r="AP367" s="125"/>
      <c r="AQ367" s="125"/>
      <c r="AR367" s="125"/>
      <c r="AS367" s="125"/>
      <c r="AT367" s="125"/>
      <c r="AU367" s="125"/>
      <c r="AV367" s="125"/>
      <c r="AW367" s="125"/>
      <c r="AX367" s="125"/>
      <c r="AY367" s="125"/>
      <c r="AZ367" s="125"/>
      <c r="BA367" s="125"/>
      <c r="BB367" s="125"/>
      <c r="BC367" s="125"/>
      <c r="BD367" s="125"/>
      <c r="BE367" s="125"/>
      <c r="BF367" s="125"/>
      <c r="BG367" s="125"/>
      <c r="BH367" s="125"/>
    </row>
    <row r="368" spans="1:60" s="124" customFormat="1" ht="46.5">
      <c r="A368" s="127"/>
      <c r="B368" s="92" t="s">
        <v>447</v>
      </c>
      <c r="C368" s="100" t="s">
        <v>479</v>
      </c>
      <c r="D368" s="100"/>
      <c r="E368" s="100"/>
      <c r="F368" s="100"/>
      <c r="G368" s="100" t="s">
        <v>646</v>
      </c>
      <c r="H368" s="96" t="s">
        <v>77</v>
      </c>
      <c r="I368" s="96"/>
      <c r="J368" s="96" t="s">
        <v>64</v>
      </c>
      <c r="K368" s="96" t="s">
        <v>63</v>
      </c>
      <c r="L368" s="99">
        <f t="shared" si="11"/>
        <v>525000</v>
      </c>
      <c r="M368" s="98">
        <f t="shared" si="9"/>
        <v>25</v>
      </c>
      <c r="N368" s="96" t="s">
        <v>558</v>
      </c>
      <c r="O368" s="97" t="s">
        <v>472</v>
      </c>
      <c r="P368" s="97"/>
      <c r="Q368" s="96">
        <v>25</v>
      </c>
      <c r="R368" s="96"/>
      <c r="S368" s="307"/>
      <c r="T368" s="95">
        <v>21000</v>
      </c>
      <c r="U368" s="304"/>
      <c r="V368" s="125"/>
      <c r="W368" s="125"/>
      <c r="X368" s="125"/>
      <c r="Y368" s="125"/>
      <c r="Z368" s="125"/>
      <c r="AA368" s="125"/>
      <c r="AB368" s="125"/>
      <c r="AC368" s="125"/>
      <c r="AD368" s="125"/>
      <c r="AE368" s="125"/>
      <c r="AF368" s="125"/>
      <c r="AG368" s="125"/>
      <c r="AH368" s="125"/>
      <c r="AI368" s="125"/>
      <c r="AJ368" s="125"/>
      <c r="AK368" s="125"/>
      <c r="AL368" s="125"/>
      <c r="AM368" s="125"/>
      <c r="AN368" s="125"/>
      <c r="AO368" s="125"/>
      <c r="AP368" s="125"/>
      <c r="AQ368" s="125"/>
      <c r="AR368" s="125"/>
      <c r="AS368" s="125"/>
      <c r="AT368" s="125"/>
      <c r="AU368" s="125"/>
      <c r="AV368" s="125"/>
      <c r="AW368" s="125"/>
      <c r="AX368" s="125"/>
      <c r="AY368" s="125"/>
      <c r="AZ368" s="125"/>
      <c r="BA368" s="125"/>
      <c r="BB368" s="125"/>
      <c r="BC368" s="125"/>
      <c r="BD368" s="125"/>
      <c r="BE368" s="125"/>
      <c r="BF368" s="125"/>
      <c r="BG368" s="125"/>
      <c r="BH368" s="125"/>
    </row>
    <row r="369" spans="1:60" s="124" customFormat="1" ht="46.5">
      <c r="A369" s="127"/>
      <c r="B369" s="92" t="s">
        <v>447</v>
      </c>
      <c r="C369" s="100" t="s">
        <v>479</v>
      </c>
      <c r="D369" s="100"/>
      <c r="E369" s="100"/>
      <c r="F369" s="100"/>
      <c r="G369" s="100" t="s">
        <v>645</v>
      </c>
      <c r="H369" s="96" t="s">
        <v>77</v>
      </c>
      <c r="I369" s="96"/>
      <c r="J369" s="96" t="s">
        <v>64</v>
      </c>
      <c r="K369" s="96" t="s">
        <v>63</v>
      </c>
      <c r="L369" s="99">
        <f t="shared" si="11"/>
        <v>4224000</v>
      </c>
      <c r="M369" s="98">
        <f t="shared" ref="M369:M432" si="12">Q369+R369</f>
        <v>704</v>
      </c>
      <c r="N369" s="96" t="s">
        <v>644</v>
      </c>
      <c r="O369" s="97"/>
      <c r="P369" s="97" t="s">
        <v>472</v>
      </c>
      <c r="Q369" s="96">
        <v>704</v>
      </c>
      <c r="R369" s="96"/>
      <c r="S369" s="308"/>
      <c r="T369" s="95">
        <v>6000</v>
      </c>
      <c r="U369" s="305"/>
      <c r="V369" s="125"/>
      <c r="W369" s="125"/>
      <c r="X369" s="125"/>
      <c r="Y369" s="125"/>
      <c r="Z369" s="125"/>
      <c r="AA369" s="125"/>
      <c r="AB369" s="125"/>
      <c r="AC369" s="125"/>
      <c r="AD369" s="125"/>
      <c r="AE369" s="125"/>
      <c r="AF369" s="125"/>
      <c r="AG369" s="125"/>
      <c r="AH369" s="125"/>
      <c r="AI369" s="125"/>
      <c r="AJ369" s="125"/>
      <c r="AK369" s="125"/>
      <c r="AL369" s="125"/>
      <c r="AM369" s="125"/>
      <c r="AN369" s="125"/>
      <c r="AO369" s="125"/>
      <c r="AP369" s="125"/>
      <c r="AQ369" s="125"/>
      <c r="AR369" s="125"/>
      <c r="AS369" s="125"/>
      <c r="AT369" s="125"/>
      <c r="AU369" s="125"/>
      <c r="AV369" s="125"/>
      <c r="AW369" s="125"/>
      <c r="AX369" s="125"/>
      <c r="AY369" s="125"/>
      <c r="AZ369" s="125"/>
      <c r="BA369" s="125"/>
      <c r="BB369" s="125"/>
      <c r="BC369" s="125"/>
      <c r="BD369" s="125"/>
      <c r="BE369" s="125"/>
      <c r="BF369" s="125"/>
      <c r="BG369" s="125"/>
      <c r="BH369" s="125"/>
    </row>
    <row r="370" spans="1:60" s="124" customFormat="1" ht="139.5">
      <c r="A370" s="127"/>
      <c r="B370" s="92" t="s">
        <v>447</v>
      </c>
      <c r="C370" s="100" t="s">
        <v>555</v>
      </c>
      <c r="D370" s="100" t="s">
        <v>621</v>
      </c>
      <c r="E370" s="100" t="s">
        <v>620</v>
      </c>
      <c r="F370" s="100" t="s">
        <v>619</v>
      </c>
      <c r="G370" s="100" t="s">
        <v>643</v>
      </c>
      <c r="H370" s="100" t="s">
        <v>117</v>
      </c>
      <c r="I370" s="100"/>
      <c r="J370" s="96" t="s">
        <v>110</v>
      </c>
      <c r="K370" s="96" t="s">
        <v>63</v>
      </c>
      <c r="L370" s="99">
        <f t="shared" si="11"/>
        <v>25200</v>
      </c>
      <c r="M370" s="98">
        <f t="shared" si="12"/>
        <v>1</v>
      </c>
      <c r="N370" s="96" t="s">
        <v>596</v>
      </c>
      <c r="O370" s="97"/>
      <c r="P370" s="97" t="s">
        <v>472</v>
      </c>
      <c r="Q370" s="96"/>
      <c r="R370" s="96">
        <v>1</v>
      </c>
      <c r="S370" s="96"/>
      <c r="T370" s="95">
        <v>25200</v>
      </c>
      <c r="U370" s="135" t="s">
        <v>636</v>
      </c>
      <c r="V370" s="125"/>
      <c r="W370" s="125"/>
      <c r="X370" s="125"/>
      <c r="Y370" s="125"/>
      <c r="Z370" s="125"/>
      <c r="AA370" s="125"/>
      <c r="AB370" s="125"/>
      <c r="AC370" s="125"/>
      <c r="AD370" s="125"/>
      <c r="AE370" s="125"/>
      <c r="AF370" s="125"/>
      <c r="AG370" s="125"/>
      <c r="AH370" s="125"/>
      <c r="AI370" s="125"/>
      <c r="AJ370" s="125"/>
      <c r="AK370" s="125"/>
      <c r="AL370" s="125"/>
      <c r="AM370" s="125"/>
      <c r="AN370" s="125"/>
      <c r="AO370" s="125"/>
      <c r="AP370" s="125"/>
      <c r="AQ370" s="125"/>
      <c r="AR370" s="125"/>
      <c r="AS370" s="125"/>
      <c r="AT370" s="125"/>
      <c r="AU370" s="125"/>
      <c r="AV370" s="125"/>
      <c r="AW370" s="125"/>
      <c r="AX370" s="125"/>
      <c r="AY370" s="125"/>
      <c r="AZ370" s="125"/>
      <c r="BA370" s="125"/>
      <c r="BB370" s="125"/>
      <c r="BC370" s="125"/>
      <c r="BD370" s="125"/>
      <c r="BE370" s="125"/>
      <c r="BF370" s="125"/>
      <c r="BG370" s="125"/>
      <c r="BH370" s="125"/>
    </row>
    <row r="371" spans="1:60" s="124" customFormat="1" ht="139.5">
      <c r="A371" s="127"/>
      <c r="B371" s="92" t="s">
        <v>447</v>
      </c>
      <c r="C371" s="100" t="s">
        <v>555</v>
      </c>
      <c r="D371" s="100" t="s">
        <v>621</v>
      </c>
      <c r="E371" s="100" t="s">
        <v>620</v>
      </c>
      <c r="F371" s="100" t="s">
        <v>619</v>
      </c>
      <c r="G371" s="100" t="s">
        <v>642</v>
      </c>
      <c r="H371" s="100" t="s">
        <v>117</v>
      </c>
      <c r="I371" s="100"/>
      <c r="J371" s="96" t="s">
        <v>110</v>
      </c>
      <c r="K371" s="96" t="s">
        <v>63</v>
      </c>
      <c r="L371" s="99">
        <f t="shared" si="11"/>
        <v>41200</v>
      </c>
      <c r="M371" s="98">
        <f t="shared" si="12"/>
        <v>4</v>
      </c>
      <c r="N371" s="96" t="s">
        <v>596</v>
      </c>
      <c r="O371" s="97"/>
      <c r="P371" s="97" t="s">
        <v>472</v>
      </c>
      <c r="Q371" s="96"/>
      <c r="R371" s="96">
        <v>4</v>
      </c>
      <c r="S371" s="96"/>
      <c r="T371" s="95">
        <v>10300</v>
      </c>
      <c r="U371" s="135" t="s">
        <v>636</v>
      </c>
      <c r="V371" s="125"/>
      <c r="W371" s="125"/>
      <c r="X371" s="125"/>
      <c r="Y371" s="125"/>
      <c r="Z371" s="125"/>
      <c r="AA371" s="125"/>
      <c r="AB371" s="125"/>
      <c r="AC371" s="125"/>
      <c r="AD371" s="125"/>
      <c r="AE371" s="125"/>
      <c r="AF371" s="125"/>
      <c r="AG371" s="125"/>
      <c r="AH371" s="125"/>
      <c r="AI371" s="125"/>
      <c r="AJ371" s="125"/>
      <c r="AK371" s="125"/>
      <c r="AL371" s="125"/>
      <c r="AM371" s="125"/>
      <c r="AN371" s="125"/>
      <c r="AO371" s="125"/>
      <c r="AP371" s="125"/>
      <c r="AQ371" s="125"/>
      <c r="AR371" s="125"/>
      <c r="AS371" s="125"/>
      <c r="AT371" s="125"/>
      <c r="AU371" s="125"/>
      <c r="AV371" s="125"/>
      <c r="AW371" s="125"/>
      <c r="AX371" s="125"/>
      <c r="AY371" s="125"/>
      <c r="AZ371" s="125"/>
      <c r="BA371" s="125"/>
      <c r="BB371" s="125"/>
      <c r="BC371" s="125"/>
      <c r="BD371" s="125"/>
      <c r="BE371" s="125"/>
      <c r="BF371" s="125"/>
      <c r="BG371" s="125"/>
      <c r="BH371" s="125"/>
    </row>
    <row r="372" spans="1:60" s="124" customFormat="1" ht="139.5">
      <c r="A372" s="127"/>
      <c r="B372" s="92" t="s">
        <v>447</v>
      </c>
      <c r="C372" s="100" t="s">
        <v>555</v>
      </c>
      <c r="D372" s="100" t="s">
        <v>621</v>
      </c>
      <c r="E372" s="100" t="s">
        <v>620</v>
      </c>
      <c r="F372" s="100" t="s">
        <v>619</v>
      </c>
      <c r="G372" s="100" t="s">
        <v>641</v>
      </c>
      <c r="H372" s="100" t="s">
        <v>117</v>
      </c>
      <c r="I372" s="100"/>
      <c r="J372" s="96" t="s">
        <v>110</v>
      </c>
      <c r="K372" s="96" t="s">
        <v>63</v>
      </c>
      <c r="L372" s="99">
        <f t="shared" si="11"/>
        <v>291200</v>
      </c>
      <c r="M372" s="98">
        <f t="shared" si="12"/>
        <v>26</v>
      </c>
      <c r="N372" s="96" t="s">
        <v>596</v>
      </c>
      <c r="O372" s="96"/>
      <c r="P372" s="97" t="s">
        <v>472</v>
      </c>
      <c r="Q372" s="96"/>
      <c r="R372" s="96">
        <v>26</v>
      </c>
      <c r="S372" s="96"/>
      <c r="T372" s="95">
        <v>11200</v>
      </c>
      <c r="U372" s="135" t="s">
        <v>636</v>
      </c>
      <c r="V372" s="125"/>
      <c r="W372" s="125"/>
      <c r="X372" s="125"/>
      <c r="Y372" s="125"/>
      <c r="Z372" s="125"/>
      <c r="AA372" s="125"/>
      <c r="AB372" s="125"/>
      <c r="AC372" s="125"/>
      <c r="AD372" s="125"/>
      <c r="AE372" s="125"/>
      <c r="AF372" s="125"/>
      <c r="AG372" s="125"/>
      <c r="AH372" s="125"/>
      <c r="AI372" s="125"/>
      <c r="AJ372" s="125"/>
      <c r="AK372" s="125"/>
      <c r="AL372" s="125"/>
      <c r="AM372" s="125"/>
      <c r="AN372" s="125"/>
      <c r="AO372" s="125"/>
      <c r="AP372" s="125"/>
      <c r="AQ372" s="125"/>
      <c r="AR372" s="125"/>
      <c r="AS372" s="125"/>
      <c r="AT372" s="125"/>
      <c r="AU372" s="125"/>
      <c r="AV372" s="125"/>
      <c r="AW372" s="125"/>
      <c r="AX372" s="125"/>
      <c r="AY372" s="125"/>
      <c r="AZ372" s="125"/>
      <c r="BA372" s="125"/>
      <c r="BB372" s="125"/>
      <c r="BC372" s="125"/>
      <c r="BD372" s="125"/>
      <c r="BE372" s="125"/>
      <c r="BF372" s="125"/>
      <c r="BG372" s="125"/>
      <c r="BH372" s="125"/>
    </row>
    <row r="373" spans="1:60" s="124" customFormat="1" ht="139.5">
      <c r="A373" s="127"/>
      <c r="B373" s="92" t="s">
        <v>447</v>
      </c>
      <c r="C373" s="100" t="s">
        <v>555</v>
      </c>
      <c r="D373" s="100" t="s">
        <v>621</v>
      </c>
      <c r="E373" s="100" t="s">
        <v>620</v>
      </c>
      <c r="F373" s="100" t="s">
        <v>619</v>
      </c>
      <c r="G373" s="100" t="s">
        <v>640</v>
      </c>
      <c r="H373" s="100" t="s">
        <v>117</v>
      </c>
      <c r="I373" s="100"/>
      <c r="J373" s="96" t="s">
        <v>110</v>
      </c>
      <c r="K373" s="96" t="s">
        <v>63</v>
      </c>
      <c r="L373" s="99">
        <f t="shared" si="11"/>
        <v>455000</v>
      </c>
      <c r="M373" s="98">
        <f t="shared" si="12"/>
        <v>1</v>
      </c>
      <c r="N373" s="98" t="s">
        <v>596</v>
      </c>
      <c r="O373" s="98"/>
      <c r="P373" s="97" t="s">
        <v>472</v>
      </c>
      <c r="Q373" s="98"/>
      <c r="R373" s="98">
        <v>1</v>
      </c>
      <c r="S373" s="98"/>
      <c r="T373" s="95">
        <v>455000</v>
      </c>
      <c r="U373" s="109" t="s">
        <v>628</v>
      </c>
      <c r="V373" s="125"/>
      <c r="W373" s="125"/>
      <c r="X373" s="125"/>
      <c r="Y373" s="125"/>
      <c r="Z373" s="125"/>
      <c r="AA373" s="125"/>
      <c r="AB373" s="125"/>
      <c r="AC373" s="125"/>
      <c r="AD373" s="125"/>
      <c r="AE373" s="125"/>
      <c r="AF373" s="125"/>
      <c r="AG373" s="125"/>
      <c r="AH373" s="125"/>
      <c r="AI373" s="125"/>
      <c r="AJ373" s="125"/>
      <c r="AK373" s="125"/>
      <c r="AL373" s="125"/>
      <c r="AM373" s="125"/>
      <c r="AN373" s="125"/>
      <c r="AO373" s="125"/>
      <c r="AP373" s="125"/>
      <c r="AQ373" s="125"/>
      <c r="AR373" s="125"/>
      <c r="AS373" s="125"/>
      <c r="AT373" s="125"/>
      <c r="AU373" s="125"/>
      <c r="AV373" s="125"/>
      <c r="AW373" s="125"/>
      <c r="AX373" s="125"/>
      <c r="AY373" s="125"/>
      <c r="AZ373" s="125"/>
      <c r="BA373" s="125"/>
      <c r="BB373" s="125"/>
      <c r="BC373" s="125"/>
      <c r="BD373" s="125"/>
      <c r="BE373" s="125"/>
      <c r="BF373" s="125"/>
      <c r="BG373" s="125"/>
      <c r="BH373" s="125"/>
    </row>
    <row r="374" spans="1:60" s="124" customFormat="1" ht="139.5">
      <c r="A374" s="127"/>
      <c r="B374" s="92" t="s">
        <v>447</v>
      </c>
      <c r="C374" s="100" t="s">
        <v>555</v>
      </c>
      <c r="D374" s="100" t="s">
        <v>621</v>
      </c>
      <c r="E374" s="100" t="s">
        <v>620</v>
      </c>
      <c r="F374" s="100" t="s">
        <v>619</v>
      </c>
      <c r="G374" s="100" t="s">
        <v>639</v>
      </c>
      <c r="H374" s="100" t="s">
        <v>117</v>
      </c>
      <c r="I374" s="100"/>
      <c r="J374" s="96" t="s">
        <v>110</v>
      </c>
      <c r="K374" s="96" t="s">
        <v>63</v>
      </c>
      <c r="L374" s="99">
        <f t="shared" si="11"/>
        <v>50000</v>
      </c>
      <c r="M374" s="98">
        <f t="shared" si="12"/>
        <v>1</v>
      </c>
      <c r="N374" s="98" t="s">
        <v>553</v>
      </c>
      <c r="O374" s="98"/>
      <c r="P374" s="97" t="s">
        <v>472</v>
      </c>
      <c r="Q374" s="98"/>
      <c r="R374" s="98">
        <v>1</v>
      </c>
      <c r="S374" s="98"/>
      <c r="T374" s="95">
        <v>50000</v>
      </c>
      <c r="U374" s="131" t="s">
        <v>628</v>
      </c>
      <c r="V374" s="125"/>
      <c r="W374" s="125"/>
      <c r="X374" s="125"/>
      <c r="Y374" s="125"/>
      <c r="Z374" s="125"/>
      <c r="AA374" s="125"/>
      <c r="AB374" s="125"/>
      <c r="AC374" s="125"/>
      <c r="AD374" s="125"/>
      <c r="AE374" s="125"/>
      <c r="AF374" s="125"/>
      <c r="AG374" s="125"/>
      <c r="AH374" s="125"/>
      <c r="AI374" s="125"/>
      <c r="AJ374" s="125"/>
      <c r="AK374" s="125"/>
      <c r="AL374" s="125"/>
      <c r="AM374" s="125"/>
      <c r="AN374" s="125"/>
      <c r="AO374" s="125"/>
      <c r="AP374" s="125"/>
      <c r="AQ374" s="125"/>
      <c r="AR374" s="125"/>
      <c r="AS374" s="125"/>
      <c r="AT374" s="125"/>
      <c r="AU374" s="125"/>
      <c r="AV374" s="125"/>
      <c r="AW374" s="125"/>
      <c r="AX374" s="125"/>
      <c r="AY374" s="125"/>
      <c r="AZ374" s="125"/>
      <c r="BA374" s="125"/>
      <c r="BB374" s="125"/>
      <c r="BC374" s="125"/>
      <c r="BD374" s="125"/>
      <c r="BE374" s="125"/>
      <c r="BF374" s="125"/>
      <c r="BG374" s="125"/>
      <c r="BH374" s="125"/>
    </row>
    <row r="375" spans="1:60" s="124" customFormat="1" ht="139.5">
      <c r="A375" s="127"/>
      <c r="B375" s="92" t="s">
        <v>447</v>
      </c>
      <c r="C375" s="100" t="s">
        <v>538</v>
      </c>
      <c r="D375" s="100" t="s">
        <v>621</v>
      </c>
      <c r="E375" s="100" t="s">
        <v>620</v>
      </c>
      <c r="F375" s="100" t="s">
        <v>619</v>
      </c>
      <c r="G375" s="100" t="s">
        <v>638</v>
      </c>
      <c r="H375" s="100" t="s">
        <v>117</v>
      </c>
      <c r="I375" s="100"/>
      <c r="J375" s="96" t="s">
        <v>110</v>
      </c>
      <c r="K375" s="96" t="s">
        <v>63</v>
      </c>
      <c r="L375" s="99">
        <f t="shared" si="11"/>
        <v>222500</v>
      </c>
      <c r="M375" s="98">
        <f t="shared" si="12"/>
        <v>250</v>
      </c>
      <c r="N375" s="96" t="s">
        <v>553</v>
      </c>
      <c r="O375" s="97"/>
      <c r="P375" s="97" t="s">
        <v>472</v>
      </c>
      <c r="Q375" s="96"/>
      <c r="R375" s="96">
        <v>250</v>
      </c>
      <c r="S375" s="96"/>
      <c r="T375" s="95">
        <v>890</v>
      </c>
      <c r="U375" s="94" t="s">
        <v>636</v>
      </c>
      <c r="V375" s="125"/>
      <c r="W375" s="125"/>
      <c r="X375" s="125"/>
      <c r="Y375" s="125"/>
      <c r="Z375" s="125"/>
      <c r="AA375" s="125"/>
      <c r="AB375" s="125"/>
      <c r="AC375" s="125"/>
      <c r="AD375" s="125"/>
      <c r="AE375" s="125"/>
      <c r="AF375" s="125"/>
      <c r="AG375" s="125"/>
      <c r="AH375" s="125"/>
      <c r="AI375" s="125"/>
      <c r="AJ375" s="125"/>
      <c r="AK375" s="125"/>
      <c r="AL375" s="125"/>
      <c r="AM375" s="125"/>
      <c r="AN375" s="125"/>
      <c r="AO375" s="125"/>
      <c r="AP375" s="125"/>
      <c r="AQ375" s="125"/>
      <c r="AR375" s="125"/>
      <c r="AS375" s="125"/>
      <c r="AT375" s="125"/>
      <c r="AU375" s="125"/>
      <c r="AV375" s="125"/>
      <c r="AW375" s="125"/>
      <c r="AX375" s="125"/>
      <c r="AY375" s="125"/>
      <c r="AZ375" s="125"/>
      <c r="BA375" s="125"/>
      <c r="BB375" s="125"/>
      <c r="BC375" s="125"/>
      <c r="BD375" s="125"/>
      <c r="BE375" s="125"/>
      <c r="BF375" s="125"/>
      <c r="BG375" s="125"/>
      <c r="BH375" s="125"/>
    </row>
    <row r="376" spans="1:60" s="124" customFormat="1" ht="139.5">
      <c r="A376" s="127"/>
      <c r="B376" s="92" t="s">
        <v>447</v>
      </c>
      <c r="C376" s="100" t="s">
        <v>538</v>
      </c>
      <c r="D376" s="100" t="s">
        <v>621</v>
      </c>
      <c r="E376" s="100" t="s">
        <v>620</v>
      </c>
      <c r="F376" s="100" t="s">
        <v>619</v>
      </c>
      <c r="G376" s="100" t="s">
        <v>637</v>
      </c>
      <c r="H376" s="100" t="s">
        <v>117</v>
      </c>
      <c r="I376" s="100"/>
      <c r="J376" s="96" t="s">
        <v>110</v>
      </c>
      <c r="K376" s="96" t="s">
        <v>63</v>
      </c>
      <c r="L376" s="99">
        <f t="shared" si="11"/>
        <v>138000</v>
      </c>
      <c r="M376" s="98">
        <f t="shared" si="12"/>
        <v>60</v>
      </c>
      <c r="N376" s="98" t="s">
        <v>553</v>
      </c>
      <c r="O376" s="98"/>
      <c r="P376" s="97" t="s">
        <v>472</v>
      </c>
      <c r="Q376" s="98"/>
      <c r="R376" s="98">
        <v>60</v>
      </c>
      <c r="S376" s="98"/>
      <c r="T376" s="95">
        <v>2300</v>
      </c>
      <c r="U376" s="131" t="s">
        <v>636</v>
      </c>
      <c r="V376" s="125"/>
      <c r="W376" s="125"/>
      <c r="X376" s="125"/>
      <c r="Y376" s="125"/>
      <c r="Z376" s="125"/>
      <c r="AA376" s="125"/>
      <c r="AB376" s="125"/>
      <c r="AC376" s="125"/>
      <c r="AD376" s="125"/>
      <c r="AE376" s="125"/>
      <c r="AF376" s="125"/>
      <c r="AG376" s="125"/>
      <c r="AH376" s="125"/>
      <c r="AI376" s="125"/>
      <c r="AJ376" s="125"/>
      <c r="AK376" s="125"/>
      <c r="AL376" s="125"/>
      <c r="AM376" s="125"/>
      <c r="AN376" s="125"/>
      <c r="AO376" s="125"/>
      <c r="AP376" s="125"/>
      <c r="AQ376" s="125"/>
      <c r="AR376" s="125"/>
      <c r="AS376" s="125"/>
      <c r="AT376" s="125"/>
      <c r="AU376" s="125"/>
      <c r="AV376" s="125"/>
      <c r="AW376" s="125"/>
      <c r="AX376" s="125"/>
      <c r="AY376" s="125"/>
      <c r="AZ376" s="125"/>
      <c r="BA376" s="125"/>
      <c r="BB376" s="125"/>
      <c r="BC376" s="125"/>
      <c r="BD376" s="125"/>
      <c r="BE376" s="125"/>
      <c r="BF376" s="125"/>
      <c r="BG376" s="125"/>
      <c r="BH376" s="125"/>
    </row>
    <row r="377" spans="1:60" s="124" customFormat="1" ht="139.5">
      <c r="A377" s="127"/>
      <c r="B377" s="92" t="s">
        <v>447</v>
      </c>
      <c r="C377" s="100" t="s">
        <v>538</v>
      </c>
      <c r="D377" s="100" t="s">
        <v>621</v>
      </c>
      <c r="E377" s="100" t="s">
        <v>620</v>
      </c>
      <c r="F377" s="100" t="s">
        <v>619</v>
      </c>
      <c r="G377" s="100" t="s">
        <v>635</v>
      </c>
      <c r="H377" s="100" t="s">
        <v>117</v>
      </c>
      <c r="I377" s="100"/>
      <c r="J377" s="96" t="s">
        <v>110</v>
      </c>
      <c r="K377" s="96" t="s">
        <v>63</v>
      </c>
      <c r="L377" s="99">
        <f t="shared" si="11"/>
        <v>335000</v>
      </c>
      <c r="M377" s="98">
        <f t="shared" si="12"/>
        <v>100</v>
      </c>
      <c r="N377" s="98" t="s">
        <v>596</v>
      </c>
      <c r="O377" s="98"/>
      <c r="P377" s="97" t="s">
        <v>472</v>
      </c>
      <c r="Q377" s="98"/>
      <c r="R377" s="98">
        <v>100</v>
      </c>
      <c r="S377" s="98"/>
      <c r="T377" s="95">
        <v>3350</v>
      </c>
      <c r="U377" s="131" t="s">
        <v>628</v>
      </c>
      <c r="V377" s="125"/>
      <c r="W377" s="125"/>
      <c r="X377" s="125"/>
      <c r="Y377" s="125"/>
      <c r="Z377" s="125"/>
      <c r="AA377" s="125"/>
      <c r="AB377" s="125"/>
      <c r="AC377" s="125"/>
      <c r="AD377" s="125"/>
      <c r="AE377" s="125"/>
      <c r="AF377" s="125"/>
      <c r="AG377" s="125"/>
      <c r="AH377" s="125"/>
      <c r="AI377" s="125"/>
      <c r="AJ377" s="125"/>
      <c r="AK377" s="125"/>
      <c r="AL377" s="125"/>
      <c r="AM377" s="125"/>
      <c r="AN377" s="125"/>
      <c r="AO377" s="125"/>
      <c r="AP377" s="125"/>
      <c r="AQ377" s="125"/>
      <c r="AR377" s="125"/>
      <c r="AS377" s="125"/>
      <c r="AT377" s="125"/>
      <c r="AU377" s="125"/>
      <c r="AV377" s="125"/>
      <c r="AW377" s="125"/>
      <c r="AX377" s="125"/>
      <c r="AY377" s="125"/>
      <c r="AZ377" s="125"/>
      <c r="BA377" s="125"/>
      <c r="BB377" s="125"/>
      <c r="BC377" s="125"/>
      <c r="BD377" s="125"/>
      <c r="BE377" s="125"/>
      <c r="BF377" s="125"/>
      <c r="BG377" s="125"/>
      <c r="BH377" s="125"/>
    </row>
    <row r="378" spans="1:60" s="124" customFormat="1" ht="139.5">
      <c r="A378" s="127"/>
      <c r="B378" s="92" t="s">
        <v>447</v>
      </c>
      <c r="C378" s="100" t="s">
        <v>538</v>
      </c>
      <c r="D378" s="100" t="s">
        <v>621</v>
      </c>
      <c r="E378" s="100" t="s">
        <v>620</v>
      </c>
      <c r="F378" s="100" t="s">
        <v>619</v>
      </c>
      <c r="G378" s="100" t="s">
        <v>634</v>
      </c>
      <c r="H378" s="100" t="s">
        <v>117</v>
      </c>
      <c r="I378" s="100"/>
      <c r="J378" s="96" t="s">
        <v>110</v>
      </c>
      <c r="K378" s="96" t="s">
        <v>63</v>
      </c>
      <c r="L378" s="99">
        <f t="shared" si="11"/>
        <v>340000</v>
      </c>
      <c r="M378" s="98">
        <f t="shared" si="12"/>
        <v>100</v>
      </c>
      <c r="N378" s="98" t="s">
        <v>596</v>
      </c>
      <c r="O378" s="98"/>
      <c r="P378" s="97" t="s">
        <v>472</v>
      </c>
      <c r="Q378" s="98"/>
      <c r="R378" s="98">
        <v>100</v>
      </c>
      <c r="S378" s="98"/>
      <c r="T378" s="95">
        <v>3400</v>
      </c>
      <c r="U378" s="131" t="s">
        <v>628</v>
      </c>
      <c r="V378" s="125"/>
      <c r="W378" s="125"/>
      <c r="X378" s="125"/>
      <c r="Y378" s="125"/>
      <c r="Z378" s="125"/>
      <c r="AA378" s="125"/>
      <c r="AB378" s="125"/>
      <c r="AC378" s="125"/>
      <c r="AD378" s="125"/>
      <c r="AE378" s="125"/>
      <c r="AF378" s="125"/>
      <c r="AG378" s="125"/>
      <c r="AH378" s="125"/>
      <c r="AI378" s="125"/>
      <c r="AJ378" s="125"/>
      <c r="AK378" s="125"/>
      <c r="AL378" s="125"/>
      <c r="AM378" s="125"/>
      <c r="AN378" s="125"/>
      <c r="AO378" s="125"/>
      <c r="AP378" s="125"/>
      <c r="AQ378" s="125"/>
      <c r="AR378" s="125"/>
      <c r="AS378" s="125"/>
      <c r="AT378" s="125"/>
      <c r="AU378" s="125"/>
      <c r="AV378" s="125"/>
      <c r="AW378" s="125"/>
      <c r="AX378" s="125"/>
      <c r="AY378" s="125"/>
      <c r="AZ378" s="125"/>
      <c r="BA378" s="125"/>
      <c r="BB378" s="125"/>
      <c r="BC378" s="125"/>
      <c r="BD378" s="125"/>
      <c r="BE378" s="125"/>
      <c r="BF378" s="125"/>
      <c r="BG378" s="125"/>
      <c r="BH378" s="125"/>
    </row>
    <row r="379" spans="1:60" s="124" customFormat="1" ht="139.5">
      <c r="A379" s="127"/>
      <c r="B379" s="92" t="s">
        <v>447</v>
      </c>
      <c r="C379" s="100" t="s">
        <v>538</v>
      </c>
      <c r="D379" s="100" t="s">
        <v>621</v>
      </c>
      <c r="E379" s="100" t="s">
        <v>620</v>
      </c>
      <c r="F379" s="100" t="s">
        <v>619</v>
      </c>
      <c r="G379" s="100" t="s">
        <v>633</v>
      </c>
      <c r="H379" s="100" t="s">
        <v>117</v>
      </c>
      <c r="I379" s="100"/>
      <c r="J379" s="96" t="s">
        <v>110</v>
      </c>
      <c r="K379" s="96" t="s">
        <v>63</v>
      </c>
      <c r="L379" s="99">
        <f t="shared" si="11"/>
        <v>400000</v>
      </c>
      <c r="M379" s="98">
        <f t="shared" si="12"/>
        <v>100</v>
      </c>
      <c r="N379" s="96" t="s">
        <v>596</v>
      </c>
      <c r="O379" s="96"/>
      <c r="P379" s="97" t="s">
        <v>472</v>
      </c>
      <c r="Q379" s="98"/>
      <c r="R379" s="98">
        <v>100</v>
      </c>
      <c r="S379" s="98"/>
      <c r="T379" s="95">
        <v>4000</v>
      </c>
      <c r="U379" s="109" t="s">
        <v>628</v>
      </c>
      <c r="V379" s="125"/>
      <c r="W379" s="125"/>
      <c r="X379" s="125"/>
      <c r="Y379" s="125"/>
      <c r="Z379" s="125"/>
      <c r="AA379" s="125"/>
      <c r="AB379" s="125"/>
      <c r="AC379" s="125"/>
      <c r="AD379" s="125"/>
      <c r="AE379" s="125"/>
      <c r="AF379" s="125"/>
      <c r="AG379" s="125"/>
      <c r="AH379" s="125"/>
      <c r="AI379" s="125"/>
      <c r="AJ379" s="125"/>
      <c r="AK379" s="125"/>
      <c r="AL379" s="125"/>
      <c r="AM379" s="125"/>
      <c r="AN379" s="125"/>
      <c r="AO379" s="125"/>
      <c r="AP379" s="125"/>
      <c r="AQ379" s="125"/>
      <c r="AR379" s="125"/>
      <c r="AS379" s="125"/>
      <c r="AT379" s="125"/>
      <c r="AU379" s="125"/>
      <c r="AV379" s="125"/>
      <c r="AW379" s="125"/>
      <c r="AX379" s="125"/>
      <c r="AY379" s="125"/>
      <c r="AZ379" s="125"/>
      <c r="BA379" s="125"/>
      <c r="BB379" s="125"/>
      <c r="BC379" s="125"/>
      <c r="BD379" s="125"/>
      <c r="BE379" s="125"/>
      <c r="BF379" s="125"/>
      <c r="BG379" s="125"/>
      <c r="BH379" s="125"/>
    </row>
    <row r="380" spans="1:60" s="124" customFormat="1" ht="139.5">
      <c r="A380" s="127"/>
      <c r="B380" s="92" t="s">
        <v>447</v>
      </c>
      <c r="C380" s="100" t="s">
        <v>538</v>
      </c>
      <c r="D380" s="100" t="s">
        <v>621</v>
      </c>
      <c r="E380" s="100" t="s">
        <v>620</v>
      </c>
      <c r="F380" s="100" t="s">
        <v>619</v>
      </c>
      <c r="G380" s="100" t="s">
        <v>632</v>
      </c>
      <c r="H380" s="100" t="s">
        <v>117</v>
      </c>
      <c r="I380" s="100"/>
      <c r="J380" s="96" t="s">
        <v>110</v>
      </c>
      <c r="K380" s="96" t="s">
        <v>63</v>
      </c>
      <c r="L380" s="99">
        <f t="shared" si="11"/>
        <v>60000</v>
      </c>
      <c r="M380" s="98">
        <f t="shared" si="12"/>
        <v>100</v>
      </c>
      <c r="N380" s="98" t="s">
        <v>596</v>
      </c>
      <c r="O380" s="98"/>
      <c r="P380" s="97" t="s">
        <v>472</v>
      </c>
      <c r="Q380" s="98"/>
      <c r="R380" s="98">
        <v>100</v>
      </c>
      <c r="S380" s="98"/>
      <c r="T380" s="95">
        <v>600</v>
      </c>
      <c r="U380" s="131" t="s">
        <v>628</v>
      </c>
      <c r="V380" s="125"/>
      <c r="W380" s="125"/>
      <c r="X380" s="125"/>
      <c r="Y380" s="125"/>
      <c r="Z380" s="125"/>
      <c r="AA380" s="125"/>
      <c r="AB380" s="125"/>
      <c r="AC380" s="125"/>
      <c r="AD380" s="125"/>
      <c r="AE380" s="125"/>
      <c r="AF380" s="125"/>
      <c r="AG380" s="125"/>
      <c r="AH380" s="125"/>
      <c r="AI380" s="125"/>
      <c r="AJ380" s="125"/>
      <c r="AK380" s="125"/>
      <c r="AL380" s="125"/>
      <c r="AM380" s="125"/>
      <c r="AN380" s="125"/>
      <c r="AO380" s="125"/>
      <c r="AP380" s="125"/>
      <c r="AQ380" s="125"/>
      <c r="AR380" s="125"/>
      <c r="AS380" s="125"/>
      <c r="AT380" s="125"/>
      <c r="AU380" s="125"/>
      <c r="AV380" s="125"/>
      <c r="AW380" s="125"/>
      <c r="AX380" s="125"/>
      <c r="AY380" s="125"/>
      <c r="AZ380" s="125"/>
      <c r="BA380" s="125"/>
      <c r="BB380" s="125"/>
      <c r="BC380" s="125"/>
      <c r="BD380" s="125"/>
      <c r="BE380" s="125"/>
      <c r="BF380" s="125"/>
      <c r="BG380" s="125"/>
      <c r="BH380" s="125"/>
    </row>
    <row r="381" spans="1:60" s="124" customFormat="1" ht="139.5">
      <c r="A381" s="127"/>
      <c r="B381" s="92" t="s">
        <v>447</v>
      </c>
      <c r="C381" s="100" t="s">
        <v>538</v>
      </c>
      <c r="D381" s="100" t="s">
        <v>621</v>
      </c>
      <c r="E381" s="100" t="s">
        <v>620</v>
      </c>
      <c r="F381" s="100" t="s">
        <v>619</v>
      </c>
      <c r="G381" s="100" t="s">
        <v>631</v>
      </c>
      <c r="H381" s="100" t="s">
        <v>117</v>
      </c>
      <c r="I381" s="100"/>
      <c r="J381" s="96" t="s">
        <v>110</v>
      </c>
      <c r="K381" s="96" t="s">
        <v>63</v>
      </c>
      <c r="L381" s="99">
        <f t="shared" si="11"/>
        <v>38000</v>
      </c>
      <c r="M381" s="98">
        <f t="shared" si="12"/>
        <v>100</v>
      </c>
      <c r="N381" s="98" t="s">
        <v>596</v>
      </c>
      <c r="O381" s="98"/>
      <c r="P381" s="97" t="s">
        <v>472</v>
      </c>
      <c r="Q381" s="98"/>
      <c r="R381" s="98">
        <v>100</v>
      </c>
      <c r="S381" s="98"/>
      <c r="T381" s="95">
        <v>380</v>
      </c>
      <c r="U381" s="131" t="s">
        <v>628</v>
      </c>
      <c r="V381" s="125"/>
      <c r="W381" s="125"/>
      <c r="X381" s="125"/>
      <c r="Y381" s="125"/>
      <c r="Z381" s="125"/>
      <c r="AA381" s="125"/>
      <c r="AB381" s="125"/>
      <c r="AC381" s="125"/>
      <c r="AD381" s="125"/>
      <c r="AE381" s="125"/>
      <c r="AF381" s="125"/>
      <c r="AG381" s="125"/>
      <c r="AH381" s="125"/>
      <c r="AI381" s="125"/>
      <c r="AJ381" s="125"/>
      <c r="AK381" s="125"/>
      <c r="AL381" s="125"/>
      <c r="AM381" s="125"/>
      <c r="AN381" s="125"/>
      <c r="AO381" s="125"/>
      <c r="AP381" s="125"/>
      <c r="AQ381" s="125"/>
      <c r="AR381" s="125"/>
      <c r="AS381" s="125"/>
      <c r="AT381" s="125"/>
      <c r="AU381" s="125"/>
      <c r="AV381" s="125"/>
      <c r="AW381" s="125"/>
      <c r="AX381" s="125"/>
      <c r="AY381" s="125"/>
      <c r="AZ381" s="125"/>
      <c r="BA381" s="125"/>
      <c r="BB381" s="125"/>
      <c r="BC381" s="125"/>
      <c r="BD381" s="125"/>
      <c r="BE381" s="125"/>
      <c r="BF381" s="125"/>
      <c r="BG381" s="125"/>
      <c r="BH381" s="125"/>
    </row>
    <row r="382" spans="1:60" s="124" customFormat="1" ht="139.5">
      <c r="A382" s="127"/>
      <c r="B382" s="92" t="s">
        <v>447</v>
      </c>
      <c r="C382" s="100" t="s">
        <v>538</v>
      </c>
      <c r="D382" s="100" t="s">
        <v>621</v>
      </c>
      <c r="E382" s="100" t="s">
        <v>620</v>
      </c>
      <c r="F382" s="100" t="s">
        <v>619</v>
      </c>
      <c r="G382" s="100" t="s">
        <v>630</v>
      </c>
      <c r="H382" s="100" t="s">
        <v>117</v>
      </c>
      <c r="I382" s="100"/>
      <c r="J382" s="96" t="s">
        <v>110</v>
      </c>
      <c r="K382" s="96" t="s">
        <v>63</v>
      </c>
      <c r="L382" s="99">
        <f t="shared" si="11"/>
        <v>680000</v>
      </c>
      <c r="M382" s="98">
        <f t="shared" si="12"/>
        <v>100</v>
      </c>
      <c r="N382" s="96" t="s">
        <v>629</v>
      </c>
      <c r="O382" s="97"/>
      <c r="P382" s="97" t="s">
        <v>472</v>
      </c>
      <c r="Q382" s="96"/>
      <c r="R382" s="96">
        <v>100</v>
      </c>
      <c r="S382" s="96"/>
      <c r="T382" s="95">
        <v>6800</v>
      </c>
      <c r="U382" s="94" t="s">
        <v>628</v>
      </c>
      <c r="V382" s="125"/>
      <c r="W382" s="125"/>
      <c r="X382" s="125"/>
      <c r="Y382" s="125"/>
      <c r="Z382" s="125"/>
      <c r="AA382" s="125"/>
      <c r="AB382" s="125"/>
      <c r="AC382" s="125"/>
      <c r="AD382" s="125"/>
      <c r="AE382" s="125"/>
      <c r="AF382" s="125"/>
      <c r="AG382" s="125"/>
      <c r="AH382" s="125"/>
      <c r="AI382" s="125"/>
      <c r="AJ382" s="125"/>
      <c r="AK382" s="125"/>
      <c r="AL382" s="125"/>
      <c r="AM382" s="125"/>
      <c r="AN382" s="125"/>
      <c r="AO382" s="125"/>
      <c r="AP382" s="125"/>
      <c r="AQ382" s="125"/>
      <c r="AR382" s="125"/>
      <c r="AS382" s="125"/>
      <c r="AT382" s="125"/>
      <c r="AU382" s="125"/>
      <c r="AV382" s="125"/>
      <c r="AW382" s="125"/>
      <c r="AX382" s="125"/>
      <c r="AY382" s="125"/>
      <c r="AZ382" s="125"/>
      <c r="BA382" s="125"/>
      <c r="BB382" s="125"/>
      <c r="BC382" s="125"/>
      <c r="BD382" s="125"/>
      <c r="BE382" s="125"/>
      <c r="BF382" s="125"/>
      <c r="BG382" s="125"/>
      <c r="BH382" s="125"/>
    </row>
    <row r="383" spans="1:60" s="124" customFormat="1" ht="139.5">
      <c r="A383" s="127"/>
      <c r="B383" s="92" t="s">
        <v>447</v>
      </c>
      <c r="C383" s="100" t="s">
        <v>538</v>
      </c>
      <c r="D383" s="100" t="s">
        <v>621</v>
      </c>
      <c r="E383" s="100" t="s">
        <v>620</v>
      </c>
      <c r="F383" s="100" t="s">
        <v>619</v>
      </c>
      <c r="G383" s="100" t="s">
        <v>627</v>
      </c>
      <c r="H383" s="100" t="s">
        <v>117</v>
      </c>
      <c r="I383" s="100"/>
      <c r="J383" s="96" t="s">
        <v>110</v>
      </c>
      <c r="K383" s="96" t="s">
        <v>63</v>
      </c>
      <c r="L383" s="99">
        <f t="shared" ref="L383:L388" si="13">M383*T383</f>
        <v>138000</v>
      </c>
      <c r="M383" s="98">
        <f t="shared" si="12"/>
        <v>6</v>
      </c>
      <c r="N383" s="96" t="s">
        <v>558</v>
      </c>
      <c r="O383" s="97" t="s">
        <v>472</v>
      </c>
      <c r="P383" s="97"/>
      <c r="Q383" s="96"/>
      <c r="R383" s="96">
        <v>6</v>
      </c>
      <c r="S383" s="96"/>
      <c r="T383" s="95">
        <v>23000</v>
      </c>
      <c r="U383" s="94" t="s">
        <v>616</v>
      </c>
      <c r="V383" s="125"/>
      <c r="W383" s="125"/>
      <c r="X383" s="125"/>
      <c r="Y383" s="125"/>
      <c r="Z383" s="125"/>
      <c r="AA383" s="125"/>
      <c r="AB383" s="125"/>
      <c r="AC383" s="125"/>
      <c r="AD383" s="125"/>
      <c r="AE383" s="125"/>
      <c r="AF383" s="125"/>
      <c r="AG383" s="125"/>
      <c r="AH383" s="125"/>
      <c r="AI383" s="125"/>
      <c r="AJ383" s="125"/>
      <c r="AK383" s="125"/>
      <c r="AL383" s="125"/>
      <c r="AM383" s="125"/>
      <c r="AN383" s="125"/>
      <c r="AO383" s="125"/>
      <c r="AP383" s="125"/>
      <c r="AQ383" s="125"/>
      <c r="AR383" s="125"/>
      <c r="AS383" s="125"/>
      <c r="AT383" s="125"/>
      <c r="AU383" s="125"/>
      <c r="AV383" s="125"/>
      <c r="AW383" s="125"/>
      <c r="AX383" s="125"/>
      <c r="AY383" s="125"/>
      <c r="AZ383" s="125"/>
      <c r="BA383" s="125"/>
      <c r="BB383" s="125"/>
      <c r="BC383" s="125"/>
      <c r="BD383" s="125"/>
      <c r="BE383" s="125"/>
      <c r="BF383" s="125"/>
      <c r="BG383" s="125"/>
      <c r="BH383" s="125"/>
    </row>
    <row r="384" spans="1:60" s="124" customFormat="1" ht="139.5">
      <c r="A384" s="127"/>
      <c r="B384" s="92" t="s">
        <v>447</v>
      </c>
      <c r="C384" s="100" t="s">
        <v>538</v>
      </c>
      <c r="D384" s="100" t="s">
        <v>621</v>
      </c>
      <c r="E384" s="100" t="s">
        <v>620</v>
      </c>
      <c r="F384" s="100" t="s">
        <v>619</v>
      </c>
      <c r="G384" s="100" t="s">
        <v>626</v>
      </c>
      <c r="H384" s="100" t="s">
        <v>117</v>
      </c>
      <c r="I384" s="100"/>
      <c r="J384" s="96" t="s">
        <v>110</v>
      </c>
      <c r="K384" s="96" t="s">
        <v>63</v>
      </c>
      <c r="L384" s="99">
        <f t="shared" si="13"/>
        <v>72000</v>
      </c>
      <c r="M384" s="98">
        <f t="shared" si="12"/>
        <v>3</v>
      </c>
      <c r="N384" s="96" t="s">
        <v>558</v>
      </c>
      <c r="O384" s="96"/>
      <c r="P384" s="97" t="s">
        <v>472</v>
      </c>
      <c r="Q384" s="96"/>
      <c r="R384" s="96">
        <v>3</v>
      </c>
      <c r="S384" s="96"/>
      <c r="T384" s="95">
        <v>24000</v>
      </c>
      <c r="U384" s="94" t="s">
        <v>625</v>
      </c>
      <c r="V384" s="125"/>
      <c r="W384" s="125"/>
      <c r="X384" s="125"/>
      <c r="Y384" s="125"/>
      <c r="Z384" s="125"/>
      <c r="AA384" s="125"/>
      <c r="AB384" s="125"/>
      <c r="AC384" s="125"/>
      <c r="AD384" s="125"/>
      <c r="AE384" s="125"/>
      <c r="AF384" s="125"/>
      <c r="AG384" s="125"/>
      <c r="AH384" s="125"/>
      <c r="AI384" s="125"/>
      <c r="AJ384" s="125"/>
      <c r="AK384" s="125"/>
      <c r="AL384" s="125"/>
      <c r="AM384" s="125"/>
      <c r="AN384" s="125"/>
      <c r="AO384" s="125"/>
      <c r="AP384" s="125"/>
      <c r="AQ384" s="125"/>
      <c r="AR384" s="125"/>
      <c r="AS384" s="125"/>
      <c r="AT384" s="125"/>
      <c r="AU384" s="125"/>
      <c r="AV384" s="125"/>
      <c r="AW384" s="125"/>
      <c r="AX384" s="125"/>
      <c r="AY384" s="125"/>
      <c r="AZ384" s="125"/>
      <c r="BA384" s="125"/>
      <c r="BB384" s="125"/>
      <c r="BC384" s="125"/>
      <c r="BD384" s="125"/>
      <c r="BE384" s="125"/>
      <c r="BF384" s="125"/>
      <c r="BG384" s="125"/>
      <c r="BH384" s="125"/>
    </row>
    <row r="385" spans="1:60" s="124" customFormat="1" ht="139.5">
      <c r="A385" s="127"/>
      <c r="B385" s="92" t="s">
        <v>447</v>
      </c>
      <c r="C385" s="100" t="s">
        <v>477</v>
      </c>
      <c r="D385" s="100" t="s">
        <v>621</v>
      </c>
      <c r="E385" s="100" t="s">
        <v>620</v>
      </c>
      <c r="F385" s="100" t="s">
        <v>619</v>
      </c>
      <c r="G385" s="100" t="s">
        <v>624</v>
      </c>
      <c r="H385" s="100" t="s">
        <v>117</v>
      </c>
      <c r="I385" s="100"/>
      <c r="J385" s="96" t="s">
        <v>110</v>
      </c>
      <c r="K385" s="96" t="s">
        <v>63</v>
      </c>
      <c r="L385" s="99">
        <f t="shared" si="13"/>
        <v>97200</v>
      </c>
      <c r="M385" s="98">
        <f t="shared" si="12"/>
        <v>2</v>
      </c>
      <c r="N385" s="96" t="s">
        <v>558</v>
      </c>
      <c r="O385" s="97" t="s">
        <v>472</v>
      </c>
      <c r="P385" s="96"/>
      <c r="Q385" s="96">
        <v>1</v>
      </c>
      <c r="R385" s="96">
        <v>1</v>
      </c>
      <c r="S385" s="134"/>
      <c r="T385" s="95">
        <v>48600</v>
      </c>
      <c r="U385" s="94" t="s">
        <v>616</v>
      </c>
      <c r="V385" s="125"/>
      <c r="W385" s="125"/>
      <c r="X385" s="125"/>
      <c r="Y385" s="125"/>
      <c r="Z385" s="125"/>
      <c r="AA385" s="125"/>
      <c r="AB385" s="125"/>
      <c r="AC385" s="125"/>
      <c r="AD385" s="125"/>
      <c r="AE385" s="125"/>
      <c r="AF385" s="125"/>
      <c r="AG385" s="125"/>
      <c r="AH385" s="125"/>
      <c r="AI385" s="125"/>
      <c r="AJ385" s="125"/>
      <c r="AK385" s="125"/>
      <c r="AL385" s="125"/>
      <c r="AM385" s="125"/>
      <c r="AN385" s="125"/>
      <c r="AO385" s="125"/>
      <c r="AP385" s="125"/>
      <c r="AQ385" s="125"/>
      <c r="AR385" s="125"/>
      <c r="AS385" s="125"/>
      <c r="AT385" s="125"/>
      <c r="AU385" s="125"/>
      <c r="AV385" s="125"/>
      <c r="AW385" s="125"/>
      <c r="AX385" s="125"/>
      <c r="AY385" s="125"/>
      <c r="AZ385" s="125"/>
      <c r="BA385" s="125"/>
      <c r="BB385" s="125"/>
      <c r="BC385" s="125"/>
      <c r="BD385" s="125"/>
      <c r="BE385" s="125"/>
      <c r="BF385" s="125"/>
      <c r="BG385" s="125"/>
      <c r="BH385" s="125"/>
    </row>
    <row r="386" spans="1:60" s="124" customFormat="1" ht="139.5">
      <c r="A386" s="127"/>
      <c r="B386" s="92" t="s">
        <v>447</v>
      </c>
      <c r="C386" s="100" t="s">
        <v>477</v>
      </c>
      <c r="D386" s="100" t="s">
        <v>621</v>
      </c>
      <c r="E386" s="100" t="s">
        <v>620</v>
      </c>
      <c r="F386" s="100" t="s">
        <v>619</v>
      </c>
      <c r="G386" s="100" t="s">
        <v>623</v>
      </c>
      <c r="H386" s="100" t="s">
        <v>117</v>
      </c>
      <c r="I386" s="100"/>
      <c r="J386" s="96" t="s">
        <v>110</v>
      </c>
      <c r="K386" s="96" t="s">
        <v>63</v>
      </c>
      <c r="L386" s="99">
        <f t="shared" si="13"/>
        <v>1095000</v>
      </c>
      <c r="M386" s="98">
        <f t="shared" si="12"/>
        <v>73</v>
      </c>
      <c r="N386" s="96" t="s">
        <v>558</v>
      </c>
      <c r="O386" s="97" t="s">
        <v>472</v>
      </c>
      <c r="P386" s="96"/>
      <c r="Q386" s="96">
        <v>23</v>
      </c>
      <c r="R386" s="96">
        <v>50</v>
      </c>
      <c r="S386" s="134"/>
      <c r="T386" s="95">
        <v>15000</v>
      </c>
      <c r="U386" s="94" t="s">
        <v>616</v>
      </c>
      <c r="V386" s="125"/>
      <c r="W386" s="125"/>
      <c r="X386" s="125"/>
      <c r="Y386" s="125"/>
      <c r="Z386" s="125"/>
      <c r="AA386" s="125"/>
      <c r="AB386" s="125"/>
      <c r="AC386" s="125"/>
      <c r="AD386" s="125"/>
      <c r="AE386" s="125"/>
      <c r="AF386" s="125"/>
      <c r="AG386" s="125"/>
      <c r="AH386" s="125"/>
      <c r="AI386" s="125"/>
      <c r="AJ386" s="125"/>
      <c r="AK386" s="125"/>
      <c r="AL386" s="125"/>
      <c r="AM386" s="125"/>
      <c r="AN386" s="125"/>
      <c r="AO386" s="125"/>
      <c r="AP386" s="125"/>
      <c r="AQ386" s="125"/>
      <c r="AR386" s="125"/>
      <c r="AS386" s="125"/>
      <c r="AT386" s="125"/>
      <c r="AU386" s="125"/>
      <c r="AV386" s="125"/>
      <c r="AW386" s="125"/>
      <c r="AX386" s="125"/>
      <c r="AY386" s="125"/>
      <c r="AZ386" s="125"/>
      <c r="BA386" s="125"/>
      <c r="BB386" s="125"/>
      <c r="BC386" s="125"/>
      <c r="BD386" s="125"/>
      <c r="BE386" s="125"/>
      <c r="BF386" s="125"/>
      <c r="BG386" s="125"/>
      <c r="BH386" s="125"/>
    </row>
    <row r="387" spans="1:60" s="124" customFormat="1" ht="139.5">
      <c r="A387" s="127"/>
      <c r="B387" s="92" t="s">
        <v>447</v>
      </c>
      <c r="C387" s="100" t="s">
        <v>477</v>
      </c>
      <c r="D387" s="100" t="s">
        <v>621</v>
      </c>
      <c r="E387" s="100" t="s">
        <v>620</v>
      </c>
      <c r="F387" s="100" t="s">
        <v>619</v>
      </c>
      <c r="G387" s="100" t="s">
        <v>622</v>
      </c>
      <c r="H387" s="100" t="s">
        <v>117</v>
      </c>
      <c r="I387" s="100"/>
      <c r="J387" s="96" t="s">
        <v>110</v>
      </c>
      <c r="K387" s="96" t="s">
        <v>63</v>
      </c>
      <c r="L387" s="99">
        <f t="shared" si="13"/>
        <v>90000</v>
      </c>
      <c r="M387" s="98">
        <f t="shared" si="12"/>
        <v>2</v>
      </c>
      <c r="N387" s="96" t="s">
        <v>617</v>
      </c>
      <c r="O387" s="97" t="s">
        <v>472</v>
      </c>
      <c r="P387" s="96"/>
      <c r="Q387" s="96"/>
      <c r="R387" s="96">
        <v>2</v>
      </c>
      <c r="S387" s="96"/>
      <c r="T387" s="95">
        <v>45000</v>
      </c>
      <c r="U387" s="94" t="s">
        <v>616</v>
      </c>
      <c r="V387" s="125"/>
      <c r="W387" s="125"/>
      <c r="X387" s="125"/>
      <c r="Y387" s="125"/>
      <c r="Z387" s="125"/>
      <c r="AA387" s="125"/>
      <c r="AB387" s="125"/>
      <c r="AC387" s="125"/>
      <c r="AD387" s="125"/>
      <c r="AE387" s="125"/>
      <c r="AF387" s="125"/>
      <c r="AG387" s="125"/>
      <c r="AH387" s="125"/>
      <c r="AI387" s="125"/>
      <c r="AJ387" s="125"/>
      <c r="AK387" s="125"/>
      <c r="AL387" s="125"/>
      <c r="AM387" s="125"/>
      <c r="AN387" s="125"/>
      <c r="AO387" s="125"/>
      <c r="AP387" s="125"/>
      <c r="AQ387" s="125"/>
      <c r="AR387" s="125"/>
      <c r="AS387" s="125"/>
      <c r="AT387" s="125"/>
      <c r="AU387" s="125"/>
      <c r="AV387" s="125"/>
      <c r="AW387" s="125"/>
      <c r="AX387" s="125"/>
      <c r="AY387" s="125"/>
      <c r="AZ387" s="125"/>
      <c r="BA387" s="125"/>
      <c r="BB387" s="125"/>
      <c r="BC387" s="125"/>
      <c r="BD387" s="125"/>
      <c r="BE387" s="125"/>
      <c r="BF387" s="125"/>
      <c r="BG387" s="125"/>
      <c r="BH387" s="125"/>
    </row>
    <row r="388" spans="1:60" s="124" customFormat="1" ht="139.5">
      <c r="A388" s="127"/>
      <c r="B388" s="92" t="s">
        <v>447</v>
      </c>
      <c r="C388" s="100" t="s">
        <v>477</v>
      </c>
      <c r="D388" s="100" t="s">
        <v>621</v>
      </c>
      <c r="E388" s="100" t="s">
        <v>620</v>
      </c>
      <c r="F388" s="100" t="s">
        <v>619</v>
      </c>
      <c r="G388" s="100" t="s">
        <v>618</v>
      </c>
      <c r="H388" s="100" t="s">
        <v>117</v>
      </c>
      <c r="I388" s="100"/>
      <c r="J388" s="96" t="s">
        <v>110</v>
      </c>
      <c r="K388" s="96" t="s">
        <v>63</v>
      </c>
      <c r="L388" s="99">
        <f t="shared" si="13"/>
        <v>34900</v>
      </c>
      <c r="M388" s="98">
        <f t="shared" si="12"/>
        <v>1</v>
      </c>
      <c r="N388" s="96" t="s">
        <v>617</v>
      </c>
      <c r="O388" s="97" t="s">
        <v>472</v>
      </c>
      <c r="P388" s="96"/>
      <c r="Q388" s="96"/>
      <c r="R388" s="96">
        <v>1</v>
      </c>
      <c r="S388" s="96"/>
      <c r="T388" s="95">
        <v>34900</v>
      </c>
      <c r="U388" s="94" t="s">
        <v>616</v>
      </c>
      <c r="V388" s="125"/>
      <c r="W388" s="125"/>
      <c r="X388" s="125"/>
      <c r="Y388" s="125"/>
      <c r="Z388" s="125"/>
      <c r="AA388" s="125"/>
      <c r="AB388" s="125"/>
      <c r="AC388" s="125"/>
      <c r="AD388" s="125"/>
      <c r="AE388" s="125"/>
      <c r="AF388" s="125"/>
      <c r="AG388" s="125"/>
      <c r="AH388" s="125"/>
      <c r="AI388" s="125"/>
      <c r="AJ388" s="125"/>
      <c r="AK388" s="125"/>
      <c r="AL388" s="125"/>
      <c r="AM388" s="125"/>
      <c r="AN388" s="125"/>
      <c r="AO388" s="125"/>
      <c r="AP388" s="125"/>
      <c r="AQ388" s="125"/>
      <c r="AR388" s="125"/>
      <c r="AS388" s="125"/>
      <c r="AT388" s="125"/>
      <c r="AU388" s="125"/>
      <c r="AV388" s="125"/>
      <c r="AW388" s="125"/>
      <c r="AX388" s="125"/>
      <c r="AY388" s="125"/>
      <c r="AZ388" s="125"/>
      <c r="BA388" s="125"/>
      <c r="BB388" s="125"/>
      <c r="BC388" s="125"/>
      <c r="BD388" s="125"/>
      <c r="BE388" s="125"/>
      <c r="BF388" s="125"/>
      <c r="BG388" s="125"/>
      <c r="BH388" s="125"/>
    </row>
    <row r="389" spans="1:60" s="124" customFormat="1" ht="139.5">
      <c r="A389" s="127"/>
      <c r="B389" s="101" t="s">
        <v>447</v>
      </c>
      <c r="C389" s="103" t="s">
        <v>615</v>
      </c>
      <c r="D389" s="100" t="s">
        <v>476</v>
      </c>
      <c r="E389" s="100" t="s">
        <v>475</v>
      </c>
      <c r="F389" s="100" t="s">
        <v>474</v>
      </c>
      <c r="G389" s="100" t="s">
        <v>614</v>
      </c>
      <c r="H389" s="100" t="s">
        <v>112</v>
      </c>
      <c r="I389" s="100"/>
      <c r="J389" s="96" t="s">
        <v>110</v>
      </c>
      <c r="K389" s="96" t="s">
        <v>63</v>
      </c>
      <c r="L389" s="99">
        <f t="shared" ref="L389:L420" si="14">T389*M389</f>
        <v>34400</v>
      </c>
      <c r="M389" s="98">
        <f t="shared" si="12"/>
        <v>2</v>
      </c>
      <c r="N389" s="96" t="s">
        <v>558</v>
      </c>
      <c r="O389" s="97" t="s">
        <v>472</v>
      </c>
      <c r="P389" s="96"/>
      <c r="Q389" s="96"/>
      <c r="R389" s="96">
        <v>2</v>
      </c>
      <c r="S389" s="96"/>
      <c r="T389" s="95">
        <v>17200</v>
      </c>
      <c r="U389" s="94" t="s">
        <v>613</v>
      </c>
      <c r="V389" s="125"/>
      <c r="W389" s="125"/>
      <c r="X389" s="125"/>
      <c r="Y389" s="125"/>
      <c r="Z389" s="125"/>
      <c r="AA389" s="125"/>
      <c r="AB389" s="125"/>
      <c r="AC389" s="125"/>
      <c r="AD389" s="125"/>
      <c r="AE389" s="125"/>
      <c r="AF389" s="125"/>
      <c r="AG389" s="125"/>
      <c r="AH389" s="125"/>
      <c r="AI389" s="125"/>
      <c r="AJ389" s="125"/>
      <c r="AK389" s="125"/>
      <c r="AL389" s="125"/>
      <c r="AM389" s="125"/>
      <c r="AN389" s="125"/>
      <c r="AO389" s="125"/>
      <c r="AP389" s="125"/>
      <c r="AQ389" s="125"/>
      <c r="AR389" s="125"/>
      <c r="AS389" s="125"/>
      <c r="AT389" s="125"/>
      <c r="AU389" s="125"/>
      <c r="AV389" s="125"/>
      <c r="AW389" s="125"/>
      <c r="AX389" s="125"/>
      <c r="AY389" s="125"/>
      <c r="AZ389" s="125"/>
      <c r="BA389" s="125"/>
      <c r="BB389" s="125"/>
      <c r="BC389" s="125"/>
      <c r="BD389" s="125"/>
      <c r="BE389" s="125"/>
      <c r="BF389" s="125"/>
      <c r="BG389" s="125"/>
      <c r="BH389" s="125"/>
    </row>
    <row r="390" spans="1:60" s="124" customFormat="1" ht="139.5">
      <c r="A390" s="127"/>
      <c r="B390" s="101" t="s">
        <v>447</v>
      </c>
      <c r="C390" s="100" t="s">
        <v>555</v>
      </c>
      <c r="D390" s="100" t="s">
        <v>476</v>
      </c>
      <c r="E390" s="100" t="s">
        <v>475</v>
      </c>
      <c r="F390" s="100" t="s">
        <v>474</v>
      </c>
      <c r="G390" s="103" t="s">
        <v>612</v>
      </c>
      <c r="H390" s="100" t="s">
        <v>112</v>
      </c>
      <c r="I390" s="100"/>
      <c r="J390" s="96" t="s">
        <v>110</v>
      </c>
      <c r="K390" s="96" t="s">
        <v>63</v>
      </c>
      <c r="L390" s="99">
        <f t="shared" si="14"/>
        <v>45500</v>
      </c>
      <c r="M390" s="98">
        <f t="shared" si="12"/>
        <v>1</v>
      </c>
      <c r="N390" s="96" t="s">
        <v>558</v>
      </c>
      <c r="O390" s="97" t="s">
        <v>472</v>
      </c>
      <c r="P390" s="96"/>
      <c r="Q390" s="96">
        <v>1</v>
      </c>
      <c r="R390" s="96"/>
      <c r="S390" s="96" t="s">
        <v>611</v>
      </c>
      <c r="T390" s="95">
        <v>45500</v>
      </c>
      <c r="U390" s="94" t="s">
        <v>610</v>
      </c>
      <c r="V390" s="125"/>
      <c r="W390" s="125"/>
      <c r="X390" s="125"/>
      <c r="Y390" s="125"/>
      <c r="Z390" s="125"/>
      <c r="AA390" s="125"/>
      <c r="AB390" s="125"/>
      <c r="AC390" s="125"/>
      <c r="AD390" s="125"/>
      <c r="AE390" s="125"/>
      <c r="AF390" s="125"/>
      <c r="AG390" s="125"/>
      <c r="AH390" s="125"/>
      <c r="AI390" s="125"/>
      <c r="AJ390" s="125"/>
      <c r="AK390" s="125"/>
      <c r="AL390" s="125"/>
      <c r="AM390" s="125"/>
      <c r="AN390" s="125"/>
      <c r="AO390" s="125"/>
      <c r="AP390" s="125"/>
      <c r="AQ390" s="125"/>
      <c r="AR390" s="125"/>
      <c r="AS390" s="125"/>
      <c r="AT390" s="125"/>
      <c r="AU390" s="125"/>
      <c r="AV390" s="125"/>
      <c r="AW390" s="125"/>
      <c r="AX390" s="125"/>
      <c r="AY390" s="125"/>
      <c r="AZ390" s="125"/>
      <c r="BA390" s="125"/>
      <c r="BB390" s="125"/>
      <c r="BC390" s="125"/>
      <c r="BD390" s="125"/>
      <c r="BE390" s="125"/>
      <c r="BF390" s="125"/>
      <c r="BG390" s="125"/>
      <c r="BH390" s="125"/>
    </row>
    <row r="391" spans="1:60" s="124" customFormat="1" ht="139.5">
      <c r="A391" s="127"/>
      <c r="B391" s="101" t="s">
        <v>447</v>
      </c>
      <c r="C391" s="100" t="s">
        <v>555</v>
      </c>
      <c r="D391" s="100" t="s">
        <v>476</v>
      </c>
      <c r="E391" s="100" t="s">
        <v>475</v>
      </c>
      <c r="F391" s="100" t="s">
        <v>474</v>
      </c>
      <c r="G391" s="100" t="s">
        <v>609</v>
      </c>
      <c r="H391" s="100" t="s">
        <v>112</v>
      </c>
      <c r="I391" s="100"/>
      <c r="J391" s="96" t="s">
        <v>110</v>
      </c>
      <c r="K391" s="96" t="s">
        <v>63</v>
      </c>
      <c r="L391" s="106">
        <f t="shared" si="14"/>
        <v>28945</v>
      </c>
      <c r="M391" s="98">
        <f t="shared" si="12"/>
        <v>5</v>
      </c>
      <c r="N391" s="96"/>
      <c r="O391" s="96"/>
      <c r="P391" s="108" t="s">
        <v>472</v>
      </c>
      <c r="Q391" s="96"/>
      <c r="R391" s="96">
        <v>5</v>
      </c>
      <c r="S391" s="96"/>
      <c r="T391" s="95">
        <v>5789</v>
      </c>
      <c r="U391" s="94" t="s">
        <v>608</v>
      </c>
      <c r="V391" s="125"/>
      <c r="W391" s="125"/>
      <c r="X391" s="125"/>
      <c r="Y391" s="125"/>
      <c r="Z391" s="125"/>
      <c r="AA391" s="125"/>
      <c r="AB391" s="125"/>
      <c r="AC391" s="125"/>
      <c r="AD391" s="125"/>
      <c r="AE391" s="125"/>
      <c r="AF391" s="125"/>
      <c r="AG391" s="125"/>
      <c r="AH391" s="125"/>
      <c r="AI391" s="125"/>
      <c r="AJ391" s="125"/>
      <c r="AK391" s="125"/>
      <c r="AL391" s="125"/>
      <c r="AM391" s="125"/>
      <c r="AN391" s="125"/>
      <c r="AO391" s="125"/>
      <c r="AP391" s="125"/>
      <c r="AQ391" s="125"/>
      <c r="AR391" s="125"/>
      <c r="AS391" s="125"/>
      <c r="AT391" s="125"/>
      <c r="AU391" s="125"/>
      <c r="AV391" s="125"/>
      <c r="AW391" s="125"/>
      <c r="AX391" s="125"/>
      <c r="AY391" s="125"/>
      <c r="AZ391" s="125"/>
      <c r="BA391" s="125"/>
      <c r="BB391" s="125"/>
      <c r="BC391" s="125"/>
      <c r="BD391" s="125"/>
      <c r="BE391" s="125"/>
      <c r="BF391" s="125"/>
      <c r="BG391" s="125"/>
      <c r="BH391" s="125"/>
    </row>
    <row r="392" spans="1:60" s="124" customFormat="1" ht="139.5">
      <c r="A392" s="127"/>
      <c r="B392" s="101" t="s">
        <v>447</v>
      </c>
      <c r="C392" s="100" t="s">
        <v>555</v>
      </c>
      <c r="D392" s="100" t="s">
        <v>476</v>
      </c>
      <c r="E392" s="100" t="s">
        <v>475</v>
      </c>
      <c r="F392" s="100" t="s">
        <v>474</v>
      </c>
      <c r="G392" s="100" t="s">
        <v>607</v>
      </c>
      <c r="H392" s="100" t="s">
        <v>106</v>
      </c>
      <c r="I392" s="100"/>
      <c r="J392" s="96" t="s">
        <v>103</v>
      </c>
      <c r="K392" s="96" t="s">
        <v>63</v>
      </c>
      <c r="L392" s="99">
        <f t="shared" si="14"/>
        <v>118500</v>
      </c>
      <c r="M392" s="98">
        <f t="shared" si="12"/>
        <v>1</v>
      </c>
      <c r="N392" s="133" t="s">
        <v>596</v>
      </c>
      <c r="O392" s="98"/>
      <c r="P392" s="97" t="s">
        <v>472</v>
      </c>
      <c r="Q392" s="98"/>
      <c r="R392" s="133">
        <v>1</v>
      </c>
      <c r="S392" s="98"/>
      <c r="T392" s="95">
        <v>118500</v>
      </c>
      <c r="U392" s="109" t="s">
        <v>606</v>
      </c>
      <c r="V392" s="125"/>
      <c r="W392" s="125"/>
      <c r="X392" s="125"/>
      <c r="Y392" s="125"/>
      <c r="Z392" s="125"/>
      <c r="AA392" s="125"/>
      <c r="AB392" s="125"/>
      <c r="AC392" s="125"/>
      <c r="AD392" s="125"/>
      <c r="AE392" s="125"/>
      <c r="AF392" s="125"/>
      <c r="AG392" s="125"/>
      <c r="AH392" s="125"/>
      <c r="AI392" s="125"/>
      <c r="AJ392" s="125"/>
      <c r="AK392" s="125"/>
      <c r="AL392" s="125"/>
      <c r="AM392" s="125"/>
      <c r="AN392" s="125"/>
      <c r="AO392" s="125"/>
      <c r="AP392" s="125"/>
      <c r="AQ392" s="125"/>
      <c r="AR392" s="125"/>
      <c r="AS392" s="125"/>
      <c r="AT392" s="125"/>
      <c r="AU392" s="125"/>
      <c r="AV392" s="125"/>
      <c r="AW392" s="125"/>
      <c r="AX392" s="125"/>
      <c r="AY392" s="125"/>
      <c r="AZ392" s="125"/>
      <c r="BA392" s="125"/>
      <c r="BB392" s="125"/>
      <c r="BC392" s="125"/>
      <c r="BD392" s="125"/>
      <c r="BE392" s="125"/>
      <c r="BF392" s="125"/>
      <c r="BG392" s="125"/>
      <c r="BH392" s="125"/>
    </row>
    <row r="393" spans="1:60" s="124" customFormat="1" ht="139.5">
      <c r="A393" s="127"/>
      <c r="B393" s="101" t="s">
        <v>447</v>
      </c>
      <c r="C393" s="100" t="s">
        <v>555</v>
      </c>
      <c r="D393" s="100" t="s">
        <v>476</v>
      </c>
      <c r="E393" s="100" t="s">
        <v>475</v>
      </c>
      <c r="F393" s="100" t="s">
        <v>474</v>
      </c>
      <c r="G393" s="100" t="s">
        <v>605</v>
      </c>
      <c r="H393" s="100" t="s">
        <v>106</v>
      </c>
      <c r="I393" s="100"/>
      <c r="J393" s="96" t="s">
        <v>103</v>
      </c>
      <c r="K393" s="96" t="s">
        <v>63</v>
      </c>
      <c r="L393" s="99">
        <f t="shared" si="14"/>
        <v>114000</v>
      </c>
      <c r="M393" s="98">
        <f t="shared" si="12"/>
        <v>30</v>
      </c>
      <c r="N393" s="98" t="s">
        <v>553</v>
      </c>
      <c r="O393" s="98"/>
      <c r="P393" s="97" t="s">
        <v>472</v>
      </c>
      <c r="Q393" s="98"/>
      <c r="R393" s="98">
        <v>30</v>
      </c>
      <c r="S393" s="98"/>
      <c r="T393" s="95">
        <v>3800</v>
      </c>
      <c r="U393" s="131" t="s">
        <v>604</v>
      </c>
      <c r="V393" s="125"/>
      <c r="W393" s="125"/>
      <c r="X393" s="125"/>
      <c r="Y393" s="125"/>
      <c r="Z393" s="125"/>
      <c r="AA393" s="125"/>
      <c r="AB393" s="125"/>
      <c r="AC393" s="125"/>
      <c r="AD393" s="125"/>
      <c r="AE393" s="125"/>
      <c r="AF393" s="125"/>
      <c r="AG393" s="125"/>
      <c r="AH393" s="125"/>
      <c r="AI393" s="125"/>
      <c r="AJ393" s="125"/>
      <c r="AK393" s="125"/>
      <c r="AL393" s="125"/>
      <c r="AM393" s="125"/>
      <c r="AN393" s="125"/>
      <c r="AO393" s="125"/>
      <c r="AP393" s="125"/>
      <c r="AQ393" s="125"/>
      <c r="AR393" s="125"/>
      <c r="AS393" s="125"/>
      <c r="AT393" s="125"/>
      <c r="AU393" s="125"/>
      <c r="AV393" s="125"/>
      <c r="AW393" s="125"/>
      <c r="AX393" s="125"/>
      <c r="AY393" s="125"/>
      <c r="AZ393" s="125"/>
      <c r="BA393" s="125"/>
      <c r="BB393" s="125"/>
      <c r="BC393" s="125"/>
      <c r="BD393" s="125"/>
      <c r="BE393" s="125"/>
      <c r="BF393" s="125"/>
      <c r="BG393" s="125"/>
      <c r="BH393" s="125"/>
    </row>
    <row r="394" spans="1:60" s="124" customFormat="1" ht="139.5">
      <c r="A394" s="127"/>
      <c r="B394" s="101" t="s">
        <v>447</v>
      </c>
      <c r="C394" s="100" t="s">
        <v>555</v>
      </c>
      <c r="D394" s="100" t="s">
        <v>476</v>
      </c>
      <c r="E394" s="100" t="s">
        <v>475</v>
      </c>
      <c r="F394" s="100" t="s">
        <v>474</v>
      </c>
      <c r="G394" s="100" t="s">
        <v>603</v>
      </c>
      <c r="H394" s="100" t="s">
        <v>462</v>
      </c>
      <c r="I394" s="100"/>
      <c r="J394" s="96" t="s">
        <v>439</v>
      </c>
      <c r="K394" s="96" t="s">
        <v>63</v>
      </c>
      <c r="L394" s="99">
        <f t="shared" si="14"/>
        <v>67000</v>
      </c>
      <c r="M394" s="98">
        <f t="shared" si="12"/>
        <v>1</v>
      </c>
      <c r="N394" s="96" t="s">
        <v>558</v>
      </c>
      <c r="O394" s="97" t="s">
        <v>472</v>
      </c>
      <c r="P394" s="96"/>
      <c r="Q394" s="96">
        <v>1</v>
      </c>
      <c r="R394" s="96"/>
      <c r="S394" s="96" t="s">
        <v>602</v>
      </c>
      <c r="T394" s="95">
        <v>67000</v>
      </c>
      <c r="U394" s="94" t="s">
        <v>601</v>
      </c>
      <c r="V394" s="125"/>
      <c r="W394" s="125"/>
      <c r="X394" s="125"/>
      <c r="Y394" s="125"/>
      <c r="Z394" s="125"/>
      <c r="AA394" s="125"/>
      <c r="AB394" s="125"/>
      <c r="AC394" s="125"/>
      <c r="AD394" s="125"/>
      <c r="AE394" s="125"/>
      <c r="AF394" s="125"/>
      <c r="AG394" s="125"/>
      <c r="AH394" s="125"/>
      <c r="AI394" s="125"/>
      <c r="AJ394" s="125"/>
      <c r="AK394" s="125"/>
      <c r="AL394" s="125"/>
      <c r="AM394" s="125"/>
      <c r="AN394" s="125"/>
      <c r="AO394" s="125"/>
      <c r="AP394" s="125"/>
      <c r="AQ394" s="125"/>
      <c r="AR394" s="125"/>
      <c r="AS394" s="125"/>
      <c r="AT394" s="125"/>
      <c r="AU394" s="125"/>
      <c r="AV394" s="125"/>
      <c r="AW394" s="125"/>
      <c r="AX394" s="125"/>
      <c r="AY394" s="125"/>
      <c r="AZ394" s="125"/>
      <c r="BA394" s="125"/>
      <c r="BB394" s="125"/>
      <c r="BC394" s="125"/>
      <c r="BD394" s="125"/>
      <c r="BE394" s="125"/>
      <c r="BF394" s="125"/>
      <c r="BG394" s="125"/>
      <c r="BH394" s="125"/>
    </row>
    <row r="395" spans="1:60" s="124" customFormat="1" ht="139.5">
      <c r="A395" s="127"/>
      <c r="B395" s="101" t="s">
        <v>447</v>
      </c>
      <c r="C395" s="100" t="s">
        <v>555</v>
      </c>
      <c r="D395" s="100" t="s">
        <v>476</v>
      </c>
      <c r="E395" s="100" t="s">
        <v>475</v>
      </c>
      <c r="F395" s="100" t="s">
        <v>474</v>
      </c>
      <c r="G395" s="100" t="s">
        <v>600</v>
      </c>
      <c r="H395" s="100" t="s">
        <v>411</v>
      </c>
      <c r="I395" s="100"/>
      <c r="J395" s="96" t="s">
        <v>317</v>
      </c>
      <c r="K395" s="96" t="s">
        <v>40</v>
      </c>
      <c r="L395" s="99">
        <f t="shared" si="14"/>
        <v>29900</v>
      </c>
      <c r="M395" s="98">
        <f t="shared" si="12"/>
        <v>1</v>
      </c>
      <c r="N395" s="98" t="s">
        <v>596</v>
      </c>
      <c r="O395" s="98"/>
      <c r="P395" s="97" t="s">
        <v>472</v>
      </c>
      <c r="Q395" s="98">
        <v>1</v>
      </c>
      <c r="R395" s="98"/>
      <c r="S395" s="96" t="s">
        <v>599</v>
      </c>
      <c r="T395" s="95">
        <v>29900</v>
      </c>
      <c r="U395" s="131" t="s">
        <v>598</v>
      </c>
      <c r="V395" s="125"/>
      <c r="W395" s="125"/>
      <c r="X395" s="125"/>
      <c r="Y395" s="125"/>
      <c r="Z395" s="125"/>
      <c r="AA395" s="125"/>
      <c r="AB395" s="125"/>
      <c r="AC395" s="125"/>
      <c r="AD395" s="125"/>
      <c r="AE395" s="125"/>
      <c r="AF395" s="125"/>
      <c r="AG395" s="125"/>
      <c r="AH395" s="125"/>
      <c r="AI395" s="125"/>
      <c r="AJ395" s="125"/>
      <c r="AK395" s="125"/>
      <c r="AL395" s="125"/>
      <c r="AM395" s="125"/>
      <c r="AN395" s="125"/>
      <c r="AO395" s="125"/>
      <c r="AP395" s="125"/>
      <c r="AQ395" s="125"/>
      <c r="AR395" s="125"/>
      <c r="AS395" s="125"/>
      <c r="AT395" s="125"/>
      <c r="AU395" s="125"/>
      <c r="AV395" s="125"/>
      <c r="AW395" s="125"/>
      <c r="AX395" s="125"/>
      <c r="AY395" s="125"/>
      <c r="AZ395" s="125"/>
      <c r="BA395" s="125"/>
      <c r="BB395" s="125"/>
      <c r="BC395" s="125"/>
      <c r="BD395" s="125"/>
      <c r="BE395" s="125"/>
      <c r="BF395" s="125"/>
      <c r="BG395" s="125"/>
      <c r="BH395" s="125"/>
    </row>
    <row r="396" spans="1:60" s="124" customFormat="1" ht="139.5">
      <c r="A396" s="127"/>
      <c r="B396" s="101" t="s">
        <v>447</v>
      </c>
      <c r="C396" s="100" t="s">
        <v>555</v>
      </c>
      <c r="D396" s="100" t="s">
        <v>476</v>
      </c>
      <c r="E396" s="100" t="s">
        <v>475</v>
      </c>
      <c r="F396" s="100" t="s">
        <v>474</v>
      </c>
      <c r="G396" s="100" t="s">
        <v>597</v>
      </c>
      <c r="H396" s="100" t="s">
        <v>43</v>
      </c>
      <c r="I396" s="100"/>
      <c r="J396" s="96" t="s">
        <v>41</v>
      </c>
      <c r="K396" s="96" t="s">
        <v>40</v>
      </c>
      <c r="L396" s="99">
        <f t="shared" si="14"/>
        <v>93800</v>
      </c>
      <c r="M396" s="98">
        <f t="shared" si="12"/>
        <v>1</v>
      </c>
      <c r="N396" s="98" t="s">
        <v>596</v>
      </c>
      <c r="O396" s="98"/>
      <c r="P396" s="97" t="s">
        <v>472</v>
      </c>
      <c r="Q396" s="98">
        <v>1</v>
      </c>
      <c r="R396" s="98"/>
      <c r="S396" s="98" t="s">
        <v>595</v>
      </c>
      <c r="T396" s="95">
        <v>93800</v>
      </c>
      <c r="U396" s="131" t="s">
        <v>594</v>
      </c>
      <c r="V396" s="125"/>
      <c r="W396" s="125"/>
      <c r="X396" s="125"/>
      <c r="Y396" s="125"/>
      <c r="Z396" s="125"/>
      <c r="AA396" s="125"/>
      <c r="AB396" s="125"/>
      <c r="AC396" s="125"/>
      <c r="AD396" s="125"/>
      <c r="AE396" s="125"/>
      <c r="AF396" s="125"/>
      <c r="AG396" s="125"/>
      <c r="AH396" s="125"/>
      <c r="AI396" s="125"/>
      <c r="AJ396" s="125"/>
      <c r="AK396" s="125"/>
      <c r="AL396" s="125"/>
      <c r="AM396" s="125"/>
      <c r="AN396" s="125"/>
      <c r="AO396" s="125"/>
      <c r="AP396" s="125"/>
      <c r="AQ396" s="125"/>
      <c r="AR396" s="125"/>
      <c r="AS396" s="125"/>
      <c r="AT396" s="125"/>
      <c r="AU396" s="125"/>
      <c r="AV396" s="125"/>
      <c r="AW396" s="125"/>
      <c r="AX396" s="125"/>
      <c r="AY396" s="125"/>
      <c r="AZ396" s="125"/>
      <c r="BA396" s="125"/>
      <c r="BB396" s="125"/>
      <c r="BC396" s="125"/>
      <c r="BD396" s="125"/>
      <c r="BE396" s="125"/>
      <c r="BF396" s="125"/>
      <c r="BG396" s="125"/>
      <c r="BH396" s="125"/>
    </row>
    <row r="397" spans="1:60" s="124" customFormat="1" ht="409.5">
      <c r="A397" s="127"/>
      <c r="B397" s="101" t="s">
        <v>447</v>
      </c>
      <c r="C397" s="100" t="s">
        <v>555</v>
      </c>
      <c r="D397" s="100" t="s">
        <v>476</v>
      </c>
      <c r="E397" s="100" t="s">
        <v>475</v>
      </c>
      <c r="F397" s="100" t="s">
        <v>474</v>
      </c>
      <c r="G397" s="100" t="s">
        <v>593</v>
      </c>
      <c r="H397" s="100" t="s">
        <v>43</v>
      </c>
      <c r="I397" s="100"/>
      <c r="J397" s="96" t="s">
        <v>41</v>
      </c>
      <c r="K397" s="96" t="s">
        <v>40</v>
      </c>
      <c r="L397" s="99">
        <f t="shared" si="14"/>
        <v>112500</v>
      </c>
      <c r="M397" s="98">
        <f t="shared" si="12"/>
        <v>30</v>
      </c>
      <c r="N397" s="98" t="s">
        <v>553</v>
      </c>
      <c r="O397" s="98"/>
      <c r="P397" s="97" t="s">
        <v>472</v>
      </c>
      <c r="Q397" s="98">
        <v>30</v>
      </c>
      <c r="R397" s="98"/>
      <c r="S397" s="132" t="s">
        <v>592</v>
      </c>
      <c r="T397" s="95">
        <v>3750</v>
      </c>
      <c r="U397" s="131" t="s">
        <v>589</v>
      </c>
      <c r="V397" s="125"/>
      <c r="W397" s="125"/>
      <c r="X397" s="125"/>
      <c r="Y397" s="125"/>
      <c r="Z397" s="125"/>
      <c r="AA397" s="125"/>
      <c r="AB397" s="125"/>
      <c r="AC397" s="125"/>
      <c r="AD397" s="125"/>
      <c r="AE397" s="125"/>
      <c r="AF397" s="125"/>
      <c r="AG397" s="125"/>
      <c r="AH397" s="125"/>
      <c r="AI397" s="125"/>
      <c r="AJ397" s="125"/>
      <c r="AK397" s="125"/>
      <c r="AL397" s="125"/>
      <c r="AM397" s="125"/>
      <c r="AN397" s="125"/>
      <c r="AO397" s="125"/>
      <c r="AP397" s="125"/>
      <c r="AQ397" s="125"/>
      <c r="AR397" s="125"/>
      <c r="AS397" s="125"/>
      <c r="AT397" s="125"/>
      <c r="AU397" s="125"/>
      <c r="AV397" s="125"/>
      <c r="AW397" s="125"/>
      <c r="AX397" s="125"/>
      <c r="AY397" s="125"/>
      <c r="AZ397" s="125"/>
      <c r="BA397" s="125"/>
      <c r="BB397" s="125"/>
      <c r="BC397" s="125"/>
      <c r="BD397" s="125"/>
      <c r="BE397" s="125"/>
      <c r="BF397" s="125"/>
      <c r="BG397" s="125"/>
      <c r="BH397" s="125"/>
    </row>
    <row r="398" spans="1:60" s="124" customFormat="1" ht="139.5">
      <c r="A398" s="127"/>
      <c r="B398" s="101" t="s">
        <v>447</v>
      </c>
      <c r="C398" s="100" t="s">
        <v>555</v>
      </c>
      <c r="D398" s="100" t="s">
        <v>476</v>
      </c>
      <c r="E398" s="100" t="s">
        <v>475</v>
      </c>
      <c r="F398" s="100" t="s">
        <v>474</v>
      </c>
      <c r="G398" s="100" t="s">
        <v>591</v>
      </c>
      <c r="H398" s="100" t="s">
        <v>43</v>
      </c>
      <c r="I398" s="100"/>
      <c r="J398" s="96" t="s">
        <v>41</v>
      </c>
      <c r="K398" s="96" t="s">
        <v>40</v>
      </c>
      <c r="L398" s="99">
        <f t="shared" si="14"/>
        <v>3850</v>
      </c>
      <c r="M398" s="98">
        <f t="shared" si="12"/>
        <v>1</v>
      </c>
      <c r="N398" s="98" t="s">
        <v>553</v>
      </c>
      <c r="O398" s="96"/>
      <c r="P398" s="97" t="s">
        <v>472</v>
      </c>
      <c r="Q398" s="98">
        <v>1</v>
      </c>
      <c r="R398" s="98"/>
      <c r="S398" s="98" t="s">
        <v>590</v>
      </c>
      <c r="T398" s="95">
        <v>3850</v>
      </c>
      <c r="U398" s="109" t="s">
        <v>589</v>
      </c>
      <c r="V398" s="125"/>
      <c r="W398" s="125"/>
      <c r="X398" s="125"/>
      <c r="Y398" s="125"/>
      <c r="Z398" s="125"/>
      <c r="AA398" s="125"/>
      <c r="AB398" s="125"/>
      <c r="AC398" s="125"/>
      <c r="AD398" s="125"/>
      <c r="AE398" s="125"/>
      <c r="AF398" s="125"/>
      <c r="AG398" s="125"/>
      <c r="AH398" s="125"/>
      <c r="AI398" s="125"/>
      <c r="AJ398" s="125"/>
      <c r="AK398" s="125"/>
      <c r="AL398" s="125"/>
      <c r="AM398" s="125"/>
      <c r="AN398" s="125"/>
      <c r="AO398" s="125"/>
      <c r="AP398" s="125"/>
      <c r="AQ398" s="125"/>
      <c r="AR398" s="125"/>
      <c r="AS398" s="125"/>
      <c r="AT398" s="125"/>
      <c r="AU398" s="125"/>
      <c r="AV398" s="125"/>
      <c r="AW398" s="125"/>
      <c r="AX398" s="125"/>
      <c r="AY398" s="125"/>
      <c r="AZ398" s="125"/>
      <c r="BA398" s="125"/>
      <c r="BB398" s="125"/>
      <c r="BC398" s="125"/>
      <c r="BD398" s="125"/>
      <c r="BE398" s="125"/>
      <c r="BF398" s="125"/>
      <c r="BG398" s="125"/>
      <c r="BH398" s="125"/>
    </row>
    <row r="399" spans="1:60" s="124" customFormat="1" ht="279">
      <c r="A399" s="127"/>
      <c r="B399" s="101" t="s">
        <v>447</v>
      </c>
      <c r="C399" s="100" t="s">
        <v>555</v>
      </c>
      <c r="D399" s="100" t="s">
        <v>476</v>
      </c>
      <c r="E399" s="100" t="s">
        <v>475</v>
      </c>
      <c r="F399" s="100" t="s">
        <v>474</v>
      </c>
      <c r="G399" s="100" t="s">
        <v>588</v>
      </c>
      <c r="H399" s="100" t="s">
        <v>459</v>
      </c>
      <c r="I399" s="100"/>
      <c r="J399" s="96" t="s">
        <v>379</v>
      </c>
      <c r="K399" s="96" t="s">
        <v>63</v>
      </c>
      <c r="L399" s="99">
        <f t="shared" si="14"/>
        <v>327200</v>
      </c>
      <c r="M399" s="98">
        <f t="shared" si="12"/>
        <v>8</v>
      </c>
      <c r="N399" s="98" t="s">
        <v>558</v>
      </c>
      <c r="O399" s="97" t="s">
        <v>472</v>
      </c>
      <c r="P399" s="98"/>
      <c r="Q399" s="98">
        <v>7</v>
      </c>
      <c r="R399" s="98">
        <v>1</v>
      </c>
      <c r="S399" s="96" t="s">
        <v>587</v>
      </c>
      <c r="T399" s="95">
        <v>40900</v>
      </c>
      <c r="U399" s="131" t="s">
        <v>586</v>
      </c>
      <c r="V399" s="125"/>
      <c r="W399" s="125"/>
      <c r="X399" s="125"/>
      <c r="Y399" s="125"/>
      <c r="Z399" s="125"/>
      <c r="AA399" s="125"/>
      <c r="AB399" s="125"/>
      <c r="AC399" s="125"/>
      <c r="AD399" s="125"/>
      <c r="AE399" s="125"/>
      <c r="AF399" s="125"/>
      <c r="AG399" s="125"/>
      <c r="AH399" s="125"/>
      <c r="AI399" s="125"/>
      <c r="AJ399" s="125"/>
      <c r="AK399" s="125"/>
      <c r="AL399" s="125"/>
      <c r="AM399" s="125"/>
      <c r="AN399" s="125"/>
      <c r="AO399" s="125"/>
      <c r="AP399" s="125"/>
      <c r="AQ399" s="125"/>
      <c r="AR399" s="125"/>
      <c r="AS399" s="125"/>
      <c r="AT399" s="125"/>
      <c r="AU399" s="125"/>
      <c r="AV399" s="125"/>
      <c r="AW399" s="125"/>
      <c r="AX399" s="125"/>
      <c r="AY399" s="125"/>
      <c r="AZ399" s="125"/>
      <c r="BA399" s="125"/>
      <c r="BB399" s="125"/>
      <c r="BC399" s="125"/>
      <c r="BD399" s="125"/>
      <c r="BE399" s="125"/>
      <c r="BF399" s="125"/>
      <c r="BG399" s="125"/>
      <c r="BH399" s="125"/>
    </row>
    <row r="400" spans="1:60" s="124" customFormat="1" ht="186">
      <c r="A400" s="127"/>
      <c r="B400" s="101" t="s">
        <v>447</v>
      </c>
      <c r="C400" s="100" t="s">
        <v>555</v>
      </c>
      <c r="D400" s="100" t="s">
        <v>476</v>
      </c>
      <c r="E400" s="100" t="s">
        <v>475</v>
      </c>
      <c r="F400" s="100" t="s">
        <v>474</v>
      </c>
      <c r="G400" s="103" t="s">
        <v>585</v>
      </c>
      <c r="H400" s="100" t="s">
        <v>459</v>
      </c>
      <c r="I400" s="100"/>
      <c r="J400" s="96" t="s">
        <v>379</v>
      </c>
      <c r="K400" s="96" t="s">
        <v>63</v>
      </c>
      <c r="L400" s="99">
        <f t="shared" si="14"/>
        <v>85000</v>
      </c>
      <c r="M400" s="98">
        <f t="shared" si="12"/>
        <v>1</v>
      </c>
      <c r="N400" s="98" t="s">
        <v>584</v>
      </c>
      <c r="O400" s="98"/>
      <c r="P400" s="97" t="s">
        <v>472</v>
      </c>
      <c r="Q400" s="98"/>
      <c r="R400" s="98">
        <v>1</v>
      </c>
      <c r="S400" s="98"/>
      <c r="T400" s="95">
        <v>85000</v>
      </c>
      <c r="U400" s="131" t="s">
        <v>583</v>
      </c>
      <c r="V400" s="125"/>
      <c r="W400" s="125"/>
      <c r="X400" s="125"/>
      <c r="Y400" s="125"/>
      <c r="Z400" s="125"/>
      <c r="AA400" s="125"/>
      <c r="AB400" s="125"/>
      <c r="AC400" s="125"/>
      <c r="AD400" s="125"/>
      <c r="AE400" s="125"/>
      <c r="AF400" s="125"/>
      <c r="AG400" s="125"/>
      <c r="AH400" s="125"/>
      <c r="AI400" s="125"/>
      <c r="AJ400" s="125"/>
      <c r="AK400" s="125"/>
      <c r="AL400" s="125"/>
      <c r="AM400" s="125"/>
      <c r="AN400" s="125"/>
      <c r="AO400" s="125"/>
      <c r="AP400" s="125"/>
      <c r="AQ400" s="125"/>
      <c r="AR400" s="125"/>
      <c r="AS400" s="125"/>
      <c r="AT400" s="125"/>
      <c r="AU400" s="125"/>
      <c r="AV400" s="125"/>
      <c r="AW400" s="125"/>
      <c r="AX400" s="125"/>
      <c r="AY400" s="125"/>
      <c r="AZ400" s="125"/>
      <c r="BA400" s="125"/>
      <c r="BB400" s="125"/>
      <c r="BC400" s="125"/>
      <c r="BD400" s="125"/>
      <c r="BE400" s="125"/>
      <c r="BF400" s="125"/>
      <c r="BG400" s="125"/>
      <c r="BH400" s="125"/>
    </row>
    <row r="401" spans="1:60" s="124" customFormat="1" ht="232.5">
      <c r="A401" s="127"/>
      <c r="B401" s="101" t="s">
        <v>447</v>
      </c>
      <c r="C401" s="100" t="s">
        <v>555</v>
      </c>
      <c r="D401" s="100" t="s">
        <v>476</v>
      </c>
      <c r="E401" s="100" t="s">
        <v>475</v>
      </c>
      <c r="F401" s="100" t="s">
        <v>474</v>
      </c>
      <c r="G401" s="103" t="s">
        <v>582</v>
      </c>
      <c r="H401" s="100" t="s">
        <v>36</v>
      </c>
      <c r="I401" s="100"/>
      <c r="J401" s="100" t="s">
        <v>34</v>
      </c>
      <c r="K401" s="96" t="s">
        <v>13</v>
      </c>
      <c r="L401" s="99">
        <f t="shared" si="14"/>
        <v>29000</v>
      </c>
      <c r="M401" s="98">
        <f t="shared" si="12"/>
        <v>10</v>
      </c>
      <c r="N401" s="96" t="s">
        <v>553</v>
      </c>
      <c r="O401" s="96"/>
      <c r="P401" s="97" t="s">
        <v>472</v>
      </c>
      <c r="Q401" s="96">
        <v>10</v>
      </c>
      <c r="R401" s="96"/>
      <c r="S401" s="96" t="s">
        <v>581</v>
      </c>
      <c r="T401" s="95">
        <v>2900</v>
      </c>
      <c r="U401" s="94" t="s">
        <v>580</v>
      </c>
      <c r="V401" s="125"/>
      <c r="W401" s="125"/>
      <c r="X401" s="125"/>
      <c r="Y401" s="125"/>
      <c r="Z401" s="125"/>
      <c r="AA401" s="125"/>
      <c r="AB401" s="125"/>
      <c r="AC401" s="125"/>
      <c r="AD401" s="125"/>
      <c r="AE401" s="125"/>
      <c r="AF401" s="125"/>
      <c r="AG401" s="125"/>
      <c r="AH401" s="125"/>
      <c r="AI401" s="125"/>
      <c r="AJ401" s="125"/>
      <c r="AK401" s="125"/>
      <c r="AL401" s="125"/>
      <c r="AM401" s="125"/>
      <c r="AN401" s="125"/>
      <c r="AO401" s="125"/>
      <c r="AP401" s="125"/>
      <c r="AQ401" s="125"/>
      <c r="AR401" s="125"/>
      <c r="AS401" s="125"/>
      <c r="AT401" s="125"/>
      <c r="AU401" s="125"/>
      <c r="AV401" s="125"/>
      <c r="AW401" s="125"/>
      <c r="AX401" s="125"/>
      <c r="AY401" s="125"/>
      <c r="AZ401" s="125"/>
      <c r="BA401" s="125"/>
      <c r="BB401" s="125"/>
      <c r="BC401" s="125"/>
      <c r="BD401" s="125"/>
      <c r="BE401" s="125"/>
      <c r="BF401" s="125"/>
      <c r="BG401" s="125"/>
      <c r="BH401" s="125"/>
    </row>
    <row r="402" spans="1:60" s="124" customFormat="1" ht="139.5">
      <c r="A402" s="127"/>
      <c r="B402" s="101" t="s">
        <v>447</v>
      </c>
      <c r="C402" s="100" t="s">
        <v>555</v>
      </c>
      <c r="D402" s="100" t="s">
        <v>476</v>
      </c>
      <c r="E402" s="100" t="s">
        <v>475</v>
      </c>
      <c r="F402" s="100" t="s">
        <v>474</v>
      </c>
      <c r="G402" s="100" t="s">
        <v>579</v>
      </c>
      <c r="H402" s="100" t="s">
        <v>36</v>
      </c>
      <c r="I402" s="100"/>
      <c r="J402" s="100" t="s">
        <v>34</v>
      </c>
      <c r="K402" s="96" t="s">
        <v>13</v>
      </c>
      <c r="L402" s="99">
        <f t="shared" si="14"/>
        <v>107200</v>
      </c>
      <c r="M402" s="98">
        <f t="shared" si="12"/>
        <v>2</v>
      </c>
      <c r="N402" s="96" t="s">
        <v>558</v>
      </c>
      <c r="O402" s="97" t="s">
        <v>472</v>
      </c>
      <c r="P402" s="96"/>
      <c r="Q402" s="96">
        <v>2</v>
      </c>
      <c r="R402" s="96"/>
      <c r="S402" s="96" t="s">
        <v>578</v>
      </c>
      <c r="T402" s="95">
        <v>53600</v>
      </c>
      <c r="U402" s="94" t="s">
        <v>577</v>
      </c>
      <c r="V402" s="125"/>
      <c r="W402" s="125"/>
      <c r="X402" s="125"/>
      <c r="Y402" s="125"/>
      <c r="Z402" s="125"/>
      <c r="AA402" s="125"/>
      <c r="AB402" s="125"/>
      <c r="AC402" s="125"/>
      <c r="AD402" s="125"/>
      <c r="AE402" s="125"/>
      <c r="AF402" s="125"/>
      <c r="AG402" s="125"/>
      <c r="AH402" s="125"/>
      <c r="AI402" s="125"/>
      <c r="AJ402" s="125"/>
      <c r="AK402" s="125"/>
      <c r="AL402" s="125"/>
      <c r="AM402" s="125"/>
      <c r="AN402" s="125"/>
      <c r="AO402" s="125"/>
      <c r="AP402" s="125"/>
      <c r="AQ402" s="125"/>
      <c r="AR402" s="125"/>
      <c r="AS402" s="125"/>
      <c r="AT402" s="125"/>
      <c r="AU402" s="125"/>
      <c r="AV402" s="125"/>
      <c r="AW402" s="125"/>
      <c r="AX402" s="125"/>
      <c r="AY402" s="125"/>
      <c r="AZ402" s="125"/>
      <c r="BA402" s="125"/>
      <c r="BB402" s="125"/>
      <c r="BC402" s="125"/>
      <c r="BD402" s="125"/>
      <c r="BE402" s="125"/>
      <c r="BF402" s="125"/>
      <c r="BG402" s="125"/>
      <c r="BH402" s="125"/>
    </row>
    <row r="403" spans="1:60" s="124" customFormat="1" ht="139.5">
      <c r="A403" s="127"/>
      <c r="B403" s="101" t="s">
        <v>447</v>
      </c>
      <c r="C403" s="100" t="s">
        <v>555</v>
      </c>
      <c r="D403" s="100" t="s">
        <v>476</v>
      </c>
      <c r="E403" s="100" t="s">
        <v>475</v>
      </c>
      <c r="F403" s="100" t="s">
        <v>474</v>
      </c>
      <c r="G403" s="100" t="s">
        <v>576</v>
      </c>
      <c r="H403" s="100" t="s">
        <v>36</v>
      </c>
      <c r="I403" s="100"/>
      <c r="J403" s="100" t="s">
        <v>34</v>
      </c>
      <c r="K403" s="96" t="s">
        <v>13</v>
      </c>
      <c r="L403" s="99">
        <f t="shared" si="14"/>
        <v>134900</v>
      </c>
      <c r="M403" s="98">
        <f t="shared" si="12"/>
        <v>1</v>
      </c>
      <c r="N403" s="96" t="s">
        <v>558</v>
      </c>
      <c r="O403" s="96"/>
      <c r="P403" s="97" t="s">
        <v>472</v>
      </c>
      <c r="Q403" s="96">
        <v>1</v>
      </c>
      <c r="R403" s="96"/>
      <c r="S403" s="96" t="s">
        <v>575</v>
      </c>
      <c r="T403" s="95">
        <v>134900</v>
      </c>
      <c r="U403" s="94" t="s">
        <v>574</v>
      </c>
      <c r="V403" s="125"/>
      <c r="W403" s="125"/>
      <c r="X403" s="125"/>
      <c r="Y403" s="125"/>
      <c r="Z403" s="125"/>
      <c r="AA403" s="125"/>
      <c r="AB403" s="125"/>
      <c r="AC403" s="125"/>
      <c r="AD403" s="125"/>
      <c r="AE403" s="125"/>
      <c r="AF403" s="125"/>
      <c r="AG403" s="125"/>
      <c r="AH403" s="125"/>
      <c r="AI403" s="125"/>
      <c r="AJ403" s="125"/>
      <c r="AK403" s="125"/>
      <c r="AL403" s="125"/>
      <c r="AM403" s="125"/>
      <c r="AN403" s="125"/>
      <c r="AO403" s="125"/>
      <c r="AP403" s="125"/>
      <c r="AQ403" s="125"/>
      <c r="AR403" s="125"/>
      <c r="AS403" s="125"/>
      <c r="AT403" s="125"/>
      <c r="AU403" s="125"/>
      <c r="AV403" s="125"/>
      <c r="AW403" s="125"/>
      <c r="AX403" s="125"/>
      <c r="AY403" s="125"/>
      <c r="AZ403" s="125"/>
      <c r="BA403" s="125"/>
      <c r="BB403" s="125"/>
      <c r="BC403" s="125"/>
      <c r="BD403" s="125"/>
      <c r="BE403" s="125"/>
      <c r="BF403" s="125"/>
      <c r="BG403" s="125"/>
      <c r="BH403" s="125"/>
    </row>
    <row r="404" spans="1:60" s="124" customFormat="1" ht="139.5">
      <c r="A404" s="127"/>
      <c r="B404" s="101" t="s">
        <v>447</v>
      </c>
      <c r="C404" s="100" t="s">
        <v>555</v>
      </c>
      <c r="D404" s="100" t="s">
        <v>476</v>
      </c>
      <c r="E404" s="100" t="s">
        <v>475</v>
      </c>
      <c r="F404" s="100" t="s">
        <v>474</v>
      </c>
      <c r="G404" s="100" t="s">
        <v>573</v>
      </c>
      <c r="H404" s="100" t="s">
        <v>36</v>
      </c>
      <c r="I404" s="100"/>
      <c r="J404" s="100" t="s">
        <v>34</v>
      </c>
      <c r="K404" s="96" t="s">
        <v>13</v>
      </c>
      <c r="L404" s="99">
        <f t="shared" si="14"/>
        <v>25950</v>
      </c>
      <c r="M404" s="98">
        <f t="shared" si="12"/>
        <v>5</v>
      </c>
      <c r="N404" s="96" t="s">
        <v>553</v>
      </c>
      <c r="O404" s="96"/>
      <c r="P404" s="97" t="s">
        <v>472</v>
      </c>
      <c r="Q404" s="96">
        <v>5</v>
      </c>
      <c r="R404" s="96"/>
      <c r="S404" s="96" t="s">
        <v>572</v>
      </c>
      <c r="T404" s="95">
        <v>5190</v>
      </c>
      <c r="U404" s="94" t="s">
        <v>571</v>
      </c>
      <c r="V404" s="125"/>
      <c r="W404" s="125"/>
      <c r="X404" s="125"/>
      <c r="Y404" s="125"/>
      <c r="Z404" s="125"/>
      <c r="AA404" s="125"/>
      <c r="AB404" s="125"/>
      <c r="AC404" s="125"/>
      <c r="AD404" s="125"/>
      <c r="AE404" s="125"/>
      <c r="AF404" s="125"/>
      <c r="AG404" s="125"/>
      <c r="AH404" s="125"/>
      <c r="AI404" s="125"/>
      <c r="AJ404" s="125"/>
      <c r="AK404" s="125"/>
      <c r="AL404" s="125"/>
      <c r="AM404" s="125"/>
      <c r="AN404" s="125"/>
      <c r="AO404" s="125"/>
      <c r="AP404" s="125"/>
      <c r="AQ404" s="125"/>
      <c r="AR404" s="125"/>
      <c r="AS404" s="125"/>
      <c r="AT404" s="125"/>
      <c r="AU404" s="125"/>
      <c r="AV404" s="125"/>
      <c r="AW404" s="125"/>
      <c r="AX404" s="125"/>
      <c r="AY404" s="125"/>
      <c r="AZ404" s="125"/>
      <c r="BA404" s="125"/>
      <c r="BB404" s="125"/>
      <c r="BC404" s="125"/>
      <c r="BD404" s="125"/>
      <c r="BE404" s="125"/>
      <c r="BF404" s="125"/>
      <c r="BG404" s="125"/>
      <c r="BH404" s="125"/>
    </row>
    <row r="405" spans="1:60" s="124" customFormat="1" ht="139.5">
      <c r="A405" s="127"/>
      <c r="B405" s="101" t="s">
        <v>447</v>
      </c>
      <c r="C405" s="100" t="s">
        <v>555</v>
      </c>
      <c r="D405" s="100" t="s">
        <v>476</v>
      </c>
      <c r="E405" s="100" t="s">
        <v>475</v>
      </c>
      <c r="F405" s="100" t="s">
        <v>474</v>
      </c>
      <c r="G405" s="100" t="s">
        <v>570</v>
      </c>
      <c r="H405" s="100" t="s">
        <v>26</v>
      </c>
      <c r="I405" s="100"/>
      <c r="J405" s="96" t="s">
        <v>22</v>
      </c>
      <c r="K405" s="96" t="s">
        <v>13</v>
      </c>
      <c r="L405" s="99">
        <f t="shared" si="14"/>
        <v>3900</v>
      </c>
      <c r="M405" s="98">
        <f t="shared" si="12"/>
        <v>1</v>
      </c>
      <c r="N405" s="96" t="s">
        <v>553</v>
      </c>
      <c r="O405" s="130"/>
      <c r="P405" s="97" t="s">
        <v>472</v>
      </c>
      <c r="Q405" s="96"/>
      <c r="R405" s="96">
        <v>1</v>
      </c>
      <c r="S405" s="96"/>
      <c r="T405" s="95">
        <v>3900</v>
      </c>
      <c r="U405" s="303" t="s">
        <v>501</v>
      </c>
      <c r="V405" s="125"/>
      <c r="W405" s="125"/>
      <c r="X405" s="125"/>
      <c r="Y405" s="125"/>
      <c r="Z405" s="125"/>
      <c r="AA405" s="125"/>
      <c r="AB405" s="125"/>
      <c r="AC405" s="125"/>
      <c r="AD405" s="125"/>
      <c r="AE405" s="125"/>
      <c r="AF405" s="125"/>
      <c r="AG405" s="125"/>
      <c r="AH405" s="125"/>
      <c r="AI405" s="125"/>
      <c r="AJ405" s="125"/>
      <c r="AK405" s="125"/>
      <c r="AL405" s="125"/>
      <c r="AM405" s="125"/>
      <c r="AN405" s="125"/>
      <c r="AO405" s="125"/>
      <c r="AP405" s="125"/>
      <c r="AQ405" s="125"/>
      <c r="AR405" s="125"/>
      <c r="AS405" s="125"/>
      <c r="AT405" s="125"/>
      <c r="AU405" s="125"/>
      <c r="AV405" s="125"/>
      <c r="AW405" s="125"/>
      <c r="AX405" s="125"/>
      <c r="AY405" s="125"/>
      <c r="AZ405" s="125"/>
      <c r="BA405" s="125"/>
      <c r="BB405" s="125"/>
      <c r="BC405" s="125"/>
      <c r="BD405" s="125"/>
      <c r="BE405" s="125"/>
      <c r="BF405" s="125"/>
      <c r="BG405" s="125"/>
      <c r="BH405" s="125"/>
    </row>
    <row r="406" spans="1:60" s="124" customFormat="1" ht="139.5">
      <c r="A406" s="127"/>
      <c r="B406" s="101" t="s">
        <v>447</v>
      </c>
      <c r="C406" s="100" t="s">
        <v>555</v>
      </c>
      <c r="D406" s="100" t="s">
        <v>476</v>
      </c>
      <c r="E406" s="100" t="s">
        <v>475</v>
      </c>
      <c r="F406" s="100" t="s">
        <v>474</v>
      </c>
      <c r="G406" s="100" t="s">
        <v>569</v>
      </c>
      <c r="H406" s="100" t="s">
        <v>26</v>
      </c>
      <c r="I406" s="100"/>
      <c r="J406" s="96" t="s">
        <v>22</v>
      </c>
      <c r="K406" s="96" t="s">
        <v>13</v>
      </c>
      <c r="L406" s="99">
        <f t="shared" si="14"/>
        <v>37000</v>
      </c>
      <c r="M406" s="98">
        <f t="shared" si="12"/>
        <v>10</v>
      </c>
      <c r="N406" s="96" t="s">
        <v>553</v>
      </c>
      <c r="O406" s="130"/>
      <c r="P406" s="97" t="s">
        <v>472</v>
      </c>
      <c r="Q406" s="96"/>
      <c r="R406" s="96">
        <v>10</v>
      </c>
      <c r="S406" s="96"/>
      <c r="T406" s="95">
        <v>3700</v>
      </c>
      <c r="U406" s="304"/>
      <c r="V406" s="125"/>
      <c r="W406" s="125"/>
      <c r="X406" s="125"/>
      <c r="Y406" s="125"/>
      <c r="Z406" s="125"/>
      <c r="AA406" s="125"/>
      <c r="AB406" s="125"/>
      <c r="AC406" s="125"/>
      <c r="AD406" s="125"/>
      <c r="AE406" s="125"/>
      <c r="AF406" s="125"/>
      <c r="AG406" s="125"/>
      <c r="AH406" s="125"/>
      <c r="AI406" s="125"/>
      <c r="AJ406" s="125"/>
      <c r="AK406" s="125"/>
      <c r="AL406" s="125"/>
      <c r="AM406" s="125"/>
      <c r="AN406" s="125"/>
      <c r="AO406" s="125"/>
      <c r="AP406" s="125"/>
      <c r="AQ406" s="125"/>
      <c r="AR406" s="125"/>
      <c r="AS406" s="125"/>
      <c r="AT406" s="125"/>
      <c r="AU406" s="125"/>
      <c r="AV406" s="125"/>
      <c r="AW406" s="125"/>
      <c r="AX406" s="125"/>
      <c r="AY406" s="125"/>
      <c r="AZ406" s="125"/>
      <c r="BA406" s="125"/>
      <c r="BB406" s="125"/>
      <c r="BC406" s="125"/>
      <c r="BD406" s="125"/>
      <c r="BE406" s="125"/>
      <c r="BF406" s="125"/>
      <c r="BG406" s="125"/>
      <c r="BH406" s="125"/>
    </row>
    <row r="407" spans="1:60" s="124" customFormat="1" ht="139.5">
      <c r="A407" s="127"/>
      <c r="B407" s="101" t="s">
        <v>447</v>
      </c>
      <c r="C407" s="100" t="s">
        <v>555</v>
      </c>
      <c r="D407" s="100" t="s">
        <v>476</v>
      </c>
      <c r="E407" s="100" t="s">
        <v>475</v>
      </c>
      <c r="F407" s="100" t="s">
        <v>474</v>
      </c>
      <c r="G407" s="100" t="s">
        <v>568</v>
      </c>
      <c r="H407" s="100" t="s">
        <v>26</v>
      </c>
      <c r="I407" s="100"/>
      <c r="J407" s="96" t="s">
        <v>22</v>
      </c>
      <c r="K407" s="96" t="s">
        <v>13</v>
      </c>
      <c r="L407" s="99">
        <f t="shared" si="14"/>
        <v>5000</v>
      </c>
      <c r="M407" s="98">
        <f t="shared" si="12"/>
        <v>2</v>
      </c>
      <c r="N407" s="96" t="s">
        <v>553</v>
      </c>
      <c r="O407" s="130"/>
      <c r="P407" s="97" t="s">
        <v>472</v>
      </c>
      <c r="Q407" s="96"/>
      <c r="R407" s="96">
        <v>2</v>
      </c>
      <c r="S407" s="96"/>
      <c r="T407" s="95">
        <v>2500</v>
      </c>
      <c r="U407" s="304"/>
      <c r="V407" s="125"/>
      <c r="W407" s="125"/>
      <c r="X407" s="125"/>
      <c r="Y407" s="125"/>
      <c r="Z407" s="125"/>
      <c r="AA407" s="125"/>
      <c r="AB407" s="125"/>
      <c r="AC407" s="125"/>
      <c r="AD407" s="125"/>
      <c r="AE407" s="125"/>
      <c r="AF407" s="125"/>
      <c r="AG407" s="125"/>
      <c r="AH407" s="125"/>
      <c r="AI407" s="125"/>
      <c r="AJ407" s="125"/>
      <c r="AK407" s="125"/>
      <c r="AL407" s="125"/>
      <c r="AM407" s="125"/>
      <c r="AN407" s="125"/>
      <c r="AO407" s="125"/>
      <c r="AP407" s="125"/>
      <c r="AQ407" s="125"/>
      <c r="AR407" s="125"/>
      <c r="AS407" s="125"/>
      <c r="AT407" s="125"/>
      <c r="AU407" s="125"/>
      <c r="AV407" s="125"/>
      <c r="AW407" s="125"/>
      <c r="AX407" s="125"/>
      <c r="AY407" s="125"/>
      <c r="AZ407" s="125"/>
      <c r="BA407" s="125"/>
      <c r="BB407" s="125"/>
      <c r="BC407" s="125"/>
      <c r="BD407" s="125"/>
      <c r="BE407" s="125"/>
      <c r="BF407" s="125"/>
      <c r="BG407" s="125"/>
      <c r="BH407" s="125"/>
    </row>
    <row r="408" spans="1:60" s="124" customFormat="1" ht="139.5">
      <c r="A408" s="127"/>
      <c r="B408" s="101" t="s">
        <v>447</v>
      </c>
      <c r="C408" s="100" t="s">
        <v>555</v>
      </c>
      <c r="D408" s="100" t="s">
        <v>476</v>
      </c>
      <c r="E408" s="100" t="s">
        <v>475</v>
      </c>
      <c r="F408" s="100" t="s">
        <v>474</v>
      </c>
      <c r="G408" s="100" t="s">
        <v>567</v>
      </c>
      <c r="H408" s="100" t="s">
        <v>26</v>
      </c>
      <c r="I408" s="100"/>
      <c r="J408" s="96" t="s">
        <v>22</v>
      </c>
      <c r="K408" s="96" t="s">
        <v>13</v>
      </c>
      <c r="L408" s="99">
        <f t="shared" si="14"/>
        <v>5900</v>
      </c>
      <c r="M408" s="98">
        <f t="shared" si="12"/>
        <v>1</v>
      </c>
      <c r="N408" s="96" t="s">
        <v>553</v>
      </c>
      <c r="O408" s="130"/>
      <c r="P408" s="97" t="s">
        <v>472</v>
      </c>
      <c r="Q408" s="96"/>
      <c r="R408" s="96">
        <v>1</v>
      </c>
      <c r="S408" s="96"/>
      <c r="T408" s="95">
        <v>5900</v>
      </c>
      <c r="U408" s="304"/>
      <c r="V408" s="125"/>
      <c r="W408" s="125"/>
      <c r="X408" s="125"/>
      <c r="Y408" s="125"/>
      <c r="Z408" s="125"/>
      <c r="AA408" s="125"/>
      <c r="AB408" s="125"/>
      <c r="AC408" s="125"/>
      <c r="AD408" s="125"/>
      <c r="AE408" s="125"/>
      <c r="AF408" s="125"/>
      <c r="AG408" s="125"/>
      <c r="AH408" s="125"/>
      <c r="AI408" s="125"/>
      <c r="AJ408" s="125"/>
      <c r="AK408" s="125"/>
      <c r="AL408" s="125"/>
      <c r="AM408" s="125"/>
      <c r="AN408" s="125"/>
      <c r="AO408" s="125"/>
      <c r="AP408" s="125"/>
      <c r="AQ408" s="125"/>
      <c r="AR408" s="125"/>
      <c r="AS408" s="125"/>
      <c r="AT408" s="125"/>
      <c r="AU408" s="125"/>
      <c r="AV408" s="125"/>
      <c r="AW408" s="125"/>
      <c r="AX408" s="125"/>
      <c r="AY408" s="125"/>
      <c r="AZ408" s="125"/>
      <c r="BA408" s="125"/>
      <c r="BB408" s="125"/>
      <c r="BC408" s="125"/>
      <c r="BD408" s="125"/>
      <c r="BE408" s="125"/>
      <c r="BF408" s="125"/>
      <c r="BG408" s="125"/>
      <c r="BH408" s="125"/>
    </row>
    <row r="409" spans="1:60" s="124" customFormat="1" ht="139.5">
      <c r="A409" s="127"/>
      <c r="B409" s="101" t="s">
        <v>447</v>
      </c>
      <c r="C409" s="100" t="s">
        <v>555</v>
      </c>
      <c r="D409" s="100" t="s">
        <v>476</v>
      </c>
      <c r="E409" s="100" t="s">
        <v>475</v>
      </c>
      <c r="F409" s="100" t="s">
        <v>474</v>
      </c>
      <c r="G409" s="100" t="s">
        <v>566</v>
      </c>
      <c r="H409" s="100" t="s">
        <v>26</v>
      </c>
      <c r="I409" s="100"/>
      <c r="J409" s="96" t="s">
        <v>22</v>
      </c>
      <c r="K409" s="96" t="s">
        <v>13</v>
      </c>
      <c r="L409" s="99">
        <f t="shared" si="14"/>
        <v>45800</v>
      </c>
      <c r="M409" s="98">
        <f t="shared" si="12"/>
        <v>20</v>
      </c>
      <c r="N409" s="96" t="s">
        <v>553</v>
      </c>
      <c r="O409" s="130"/>
      <c r="P409" s="97" t="s">
        <v>472</v>
      </c>
      <c r="Q409" s="96"/>
      <c r="R409" s="96">
        <v>20</v>
      </c>
      <c r="S409" s="96"/>
      <c r="T409" s="95">
        <v>2290</v>
      </c>
      <c r="U409" s="304"/>
      <c r="V409" s="125"/>
      <c r="W409" s="125"/>
      <c r="X409" s="125"/>
      <c r="Y409" s="125"/>
      <c r="Z409" s="125"/>
      <c r="AA409" s="125"/>
      <c r="AB409" s="125"/>
      <c r="AC409" s="125"/>
      <c r="AD409" s="125"/>
      <c r="AE409" s="125"/>
      <c r="AF409" s="125"/>
      <c r="AG409" s="125"/>
      <c r="AH409" s="125"/>
      <c r="AI409" s="125"/>
      <c r="AJ409" s="125"/>
      <c r="AK409" s="125"/>
      <c r="AL409" s="125"/>
      <c r="AM409" s="125"/>
      <c r="AN409" s="125"/>
      <c r="AO409" s="125"/>
      <c r="AP409" s="125"/>
      <c r="AQ409" s="125"/>
      <c r="AR409" s="125"/>
      <c r="AS409" s="125"/>
      <c r="AT409" s="125"/>
      <c r="AU409" s="125"/>
      <c r="AV409" s="125"/>
      <c r="AW409" s="125"/>
      <c r="AX409" s="125"/>
      <c r="AY409" s="125"/>
      <c r="AZ409" s="125"/>
      <c r="BA409" s="125"/>
      <c r="BB409" s="125"/>
      <c r="BC409" s="125"/>
      <c r="BD409" s="125"/>
      <c r="BE409" s="125"/>
      <c r="BF409" s="125"/>
      <c r="BG409" s="125"/>
      <c r="BH409" s="125"/>
    </row>
    <row r="410" spans="1:60" s="124" customFormat="1" ht="139.5">
      <c r="A410" s="127"/>
      <c r="B410" s="101" t="s">
        <v>447</v>
      </c>
      <c r="C410" s="100" t="s">
        <v>555</v>
      </c>
      <c r="D410" s="100" t="s">
        <v>476</v>
      </c>
      <c r="E410" s="100" t="s">
        <v>475</v>
      </c>
      <c r="F410" s="100" t="s">
        <v>474</v>
      </c>
      <c r="G410" s="100" t="s">
        <v>565</v>
      </c>
      <c r="H410" s="100" t="s">
        <v>26</v>
      </c>
      <c r="I410" s="100"/>
      <c r="J410" s="96" t="s">
        <v>22</v>
      </c>
      <c r="K410" s="96" t="s">
        <v>13</v>
      </c>
      <c r="L410" s="99">
        <f t="shared" si="14"/>
        <v>33800</v>
      </c>
      <c r="M410" s="98">
        <f t="shared" si="12"/>
        <v>20</v>
      </c>
      <c r="N410" s="96" t="s">
        <v>553</v>
      </c>
      <c r="O410" s="130"/>
      <c r="P410" s="97" t="s">
        <v>472</v>
      </c>
      <c r="Q410" s="96"/>
      <c r="R410" s="96">
        <v>20</v>
      </c>
      <c r="S410" s="96"/>
      <c r="T410" s="95">
        <v>1690</v>
      </c>
      <c r="U410" s="305"/>
      <c r="V410" s="125"/>
      <c r="W410" s="125"/>
      <c r="X410" s="125"/>
      <c r="Y410" s="125"/>
      <c r="Z410" s="125"/>
      <c r="AA410" s="125"/>
      <c r="AB410" s="125"/>
      <c r="AC410" s="125"/>
      <c r="AD410" s="125"/>
      <c r="AE410" s="125"/>
      <c r="AF410" s="125"/>
      <c r="AG410" s="125"/>
      <c r="AH410" s="125"/>
      <c r="AI410" s="125"/>
      <c r="AJ410" s="125"/>
      <c r="AK410" s="125"/>
      <c r="AL410" s="125"/>
      <c r="AM410" s="125"/>
      <c r="AN410" s="125"/>
      <c r="AO410" s="125"/>
      <c r="AP410" s="125"/>
      <c r="AQ410" s="125"/>
      <c r="AR410" s="125"/>
      <c r="AS410" s="125"/>
      <c r="AT410" s="125"/>
      <c r="AU410" s="125"/>
      <c r="AV410" s="125"/>
      <c r="AW410" s="125"/>
      <c r="AX410" s="125"/>
      <c r="AY410" s="125"/>
      <c r="AZ410" s="125"/>
      <c r="BA410" s="125"/>
      <c r="BB410" s="125"/>
      <c r="BC410" s="125"/>
      <c r="BD410" s="125"/>
      <c r="BE410" s="125"/>
      <c r="BF410" s="125"/>
      <c r="BG410" s="125"/>
      <c r="BH410" s="125"/>
    </row>
    <row r="411" spans="1:60" s="124" customFormat="1" ht="139.5">
      <c r="A411" s="127"/>
      <c r="B411" s="101" t="s">
        <v>447</v>
      </c>
      <c r="C411" s="100" t="s">
        <v>555</v>
      </c>
      <c r="D411" s="100" t="s">
        <v>476</v>
      </c>
      <c r="E411" s="100" t="s">
        <v>475</v>
      </c>
      <c r="F411" s="100" t="s">
        <v>474</v>
      </c>
      <c r="G411" s="100" t="s">
        <v>564</v>
      </c>
      <c r="H411" s="100" t="s">
        <v>174</v>
      </c>
      <c r="I411" s="100"/>
      <c r="J411" s="96" t="s">
        <v>172</v>
      </c>
      <c r="K411" s="96" t="s">
        <v>149</v>
      </c>
      <c r="L411" s="99">
        <f t="shared" si="14"/>
        <v>236000</v>
      </c>
      <c r="M411" s="98">
        <f t="shared" si="12"/>
        <v>5</v>
      </c>
      <c r="N411" s="96" t="s">
        <v>558</v>
      </c>
      <c r="O411" s="97" t="s">
        <v>472</v>
      </c>
      <c r="P411" s="97"/>
      <c r="Q411" s="96"/>
      <c r="R411" s="96">
        <v>5</v>
      </c>
      <c r="S411" s="96"/>
      <c r="T411" s="95">
        <v>47200</v>
      </c>
      <c r="U411" s="94" t="s">
        <v>563</v>
      </c>
      <c r="V411" s="125"/>
      <c r="W411" s="125"/>
      <c r="X411" s="125"/>
      <c r="Y411" s="125"/>
      <c r="Z411" s="125"/>
      <c r="AA411" s="125"/>
      <c r="AB411" s="125"/>
      <c r="AC411" s="125"/>
      <c r="AD411" s="125"/>
      <c r="AE411" s="125"/>
      <c r="AF411" s="125"/>
      <c r="AG411" s="125"/>
      <c r="AH411" s="125"/>
      <c r="AI411" s="125"/>
      <c r="AJ411" s="125"/>
      <c r="AK411" s="125"/>
      <c r="AL411" s="125"/>
      <c r="AM411" s="125"/>
      <c r="AN411" s="125"/>
      <c r="AO411" s="125"/>
      <c r="AP411" s="125"/>
      <c r="AQ411" s="125"/>
      <c r="AR411" s="125"/>
      <c r="AS411" s="125"/>
      <c r="AT411" s="125"/>
      <c r="AU411" s="125"/>
      <c r="AV411" s="125"/>
      <c r="AW411" s="125"/>
      <c r="AX411" s="125"/>
      <c r="AY411" s="125"/>
      <c r="AZ411" s="125"/>
      <c r="BA411" s="125"/>
      <c r="BB411" s="125"/>
      <c r="BC411" s="125"/>
      <c r="BD411" s="125"/>
      <c r="BE411" s="125"/>
      <c r="BF411" s="125"/>
      <c r="BG411" s="125"/>
      <c r="BH411" s="125"/>
    </row>
    <row r="412" spans="1:60" s="124" customFormat="1" ht="139.5">
      <c r="A412" s="127"/>
      <c r="B412" s="101" t="s">
        <v>447</v>
      </c>
      <c r="C412" s="100" t="s">
        <v>555</v>
      </c>
      <c r="D412" s="100" t="s">
        <v>476</v>
      </c>
      <c r="E412" s="100" t="s">
        <v>475</v>
      </c>
      <c r="F412" s="100" t="s">
        <v>474</v>
      </c>
      <c r="G412" s="100" t="s">
        <v>562</v>
      </c>
      <c r="H412" s="100" t="s">
        <v>174</v>
      </c>
      <c r="I412" s="100"/>
      <c r="J412" s="96" t="s">
        <v>172</v>
      </c>
      <c r="K412" s="96" t="s">
        <v>149</v>
      </c>
      <c r="L412" s="99">
        <f t="shared" si="14"/>
        <v>6500</v>
      </c>
      <c r="M412" s="98">
        <f t="shared" si="12"/>
        <v>1</v>
      </c>
      <c r="N412" s="96" t="s">
        <v>561</v>
      </c>
      <c r="O412" s="130"/>
      <c r="P412" s="97" t="s">
        <v>472</v>
      </c>
      <c r="Q412" s="96"/>
      <c r="R412" s="96">
        <v>1</v>
      </c>
      <c r="S412" s="96"/>
      <c r="T412" s="95">
        <v>6500</v>
      </c>
      <c r="U412" s="94" t="s">
        <v>560</v>
      </c>
      <c r="V412" s="125"/>
      <c r="W412" s="125"/>
      <c r="X412" s="125"/>
      <c r="Y412" s="125"/>
      <c r="Z412" s="125"/>
      <c r="AA412" s="125"/>
      <c r="AB412" s="125"/>
      <c r="AC412" s="125"/>
      <c r="AD412" s="125"/>
      <c r="AE412" s="125"/>
      <c r="AF412" s="125"/>
      <c r="AG412" s="125"/>
      <c r="AH412" s="125"/>
      <c r="AI412" s="125"/>
      <c r="AJ412" s="125"/>
      <c r="AK412" s="125"/>
      <c r="AL412" s="125"/>
      <c r="AM412" s="125"/>
      <c r="AN412" s="125"/>
      <c r="AO412" s="125"/>
      <c r="AP412" s="125"/>
      <c r="AQ412" s="125"/>
      <c r="AR412" s="125"/>
      <c r="AS412" s="125"/>
      <c r="AT412" s="125"/>
      <c r="AU412" s="125"/>
      <c r="AV412" s="125"/>
      <c r="AW412" s="125"/>
      <c r="AX412" s="125"/>
      <c r="AY412" s="125"/>
      <c r="AZ412" s="125"/>
      <c r="BA412" s="125"/>
      <c r="BB412" s="125"/>
      <c r="BC412" s="125"/>
      <c r="BD412" s="125"/>
      <c r="BE412" s="125"/>
      <c r="BF412" s="125"/>
      <c r="BG412" s="125"/>
      <c r="BH412" s="125"/>
    </row>
    <row r="413" spans="1:60" s="124" customFormat="1" ht="232.5">
      <c r="A413" s="127"/>
      <c r="B413" s="101" t="s">
        <v>447</v>
      </c>
      <c r="C413" s="100" t="s">
        <v>555</v>
      </c>
      <c r="D413" s="100" t="s">
        <v>476</v>
      </c>
      <c r="E413" s="100" t="s">
        <v>475</v>
      </c>
      <c r="F413" s="100" t="s">
        <v>474</v>
      </c>
      <c r="G413" s="100" t="s">
        <v>559</v>
      </c>
      <c r="H413" s="100" t="s">
        <v>466</v>
      </c>
      <c r="I413" s="100"/>
      <c r="J413" s="96" t="s">
        <v>166</v>
      </c>
      <c r="K413" s="96" t="s">
        <v>149</v>
      </c>
      <c r="L413" s="99">
        <f t="shared" si="14"/>
        <v>336000</v>
      </c>
      <c r="M413" s="98">
        <f t="shared" si="12"/>
        <v>6</v>
      </c>
      <c r="N413" s="96" t="s">
        <v>558</v>
      </c>
      <c r="O413" s="97" t="s">
        <v>472</v>
      </c>
      <c r="P413" s="130"/>
      <c r="Q413" s="96">
        <v>5</v>
      </c>
      <c r="R413" s="96">
        <v>1</v>
      </c>
      <c r="S413" s="96" t="s">
        <v>557</v>
      </c>
      <c r="T413" s="95">
        <v>56000</v>
      </c>
      <c r="U413" s="94" t="s">
        <v>556</v>
      </c>
      <c r="V413" s="125"/>
      <c r="W413" s="125"/>
      <c r="X413" s="125"/>
      <c r="Y413" s="125"/>
      <c r="Z413" s="125"/>
      <c r="AA413" s="125"/>
      <c r="AB413" s="125"/>
      <c r="AC413" s="125"/>
      <c r="AD413" s="125"/>
      <c r="AE413" s="125"/>
      <c r="AF413" s="125"/>
      <c r="AG413" s="125"/>
      <c r="AH413" s="125"/>
      <c r="AI413" s="125"/>
      <c r="AJ413" s="125"/>
      <c r="AK413" s="125"/>
      <c r="AL413" s="125"/>
      <c r="AM413" s="125"/>
      <c r="AN413" s="125"/>
      <c r="AO413" s="125"/>
      <c r="AP413" s="125"/>
      <c r="AQ413" s="125"/>
      <c r="AR413" s="125"/>
      <c r="AS413" s="125"/>
      <c r="AT413" s="125"/>
      <c r="AU413" s="125"/>
      <c r="AV413" s="125"/>
      <c r="AW413" s="125"/>
      <c r="AX413" s="125"/>
      <c r="AY413" s="125"/>
      <c r="AZ413" s="125"/>
      <c r="BA413" s="125"/>
      <c r="BB413" s="125"/>
      <c r="BC413" s="125"/>
      <c r="BD413" s="125"/>
      <c r="BE413" s="125"/>
      <c r="BF413" s="125"/>
      <c r="BG413" s="125"/>
      <c r="BH413" s="125"/>
    </row>
    <row r="414" spans="1:60" s="124" customFormat="1" ht="139.5">
      <c r="A414" s="127"/>
      <c r="B414" s="101" t="s">
        <v>447</v>
      </c>
      <c r="C414" s="100" t="s">
        <v>555</v>
      </c>
      <c r="D414" s="100" t="s">
        <v>476</v>
      </c>
      <c r="E414" s="100" t="s">
        <v>475</v>
      </c>
      <c r="F414" s="100" t="s">
        <v>474</v>
      </c>
      <c r="G414" s="100" t="s">
        <v>554</v>
      </c>
      <c r="H414" s="100" t="s">
        <v>466</v>
      </c>
      <c r="I414" s="100"/>
      <c r="J414" s="96" t="s">
        <v>166</v>
      </c>
      <c r="K414" s="96" t="s">
        <v>149</v>
      </c>
      <c r="L414" s="99">
        <f t="shared" si="14"/>
        <v>18420</v>
      </c>
      <c r="M414" s="98">
        <f t="shared" si="12"/>
        <v>1</v>
      </c>
      <c r="N414" s="96" t="s">
        <v>553</v>
      </c>
      <c r="O414" s="130"/>
      <c r="P414" s="97" t="s">
        <v>472</v>
      </c>
      <c r="Q414" s="96">
        <v>1</v>
      </c>
      <c r="R414" s="96"/>
      <c r="S414" s="96" t="s">
        <v>552</v>
      </c>
      <c r="T414" s="95">
        <v>18420</v>
      </c>
      <c r="U414" s="94" t="s">
        <v>551</v>
      </c>
      <c r="V414" s="125"/>
      <c r="W414" s="125"/>
      <c r="X414" s="125"/>
      <c r="Y414" s="125"/>
      <c r="Z414" s="125"/>
      <c r="AA414" s="125"/>
      <c r="AB414" s="125"/>
      <c r="AC414" s="125"/>
      <c r="AD414" s="125"/>
      <c r="AE414" s="125"/>
      <c r="AF414" s="125"/>
      <c r="AG414" s="125"/>
      <c r="AH414" s="125"/>
      <c r="AI414" s="125"/>
      <c r="AJ414" s="125"/>
      <c r="AK414" s="125"/>
      <c r="AL414" s="125"/>
      <c r="AM414" s="125"/>
      <c r="AN414" s="125"/>
      <c r="AO414" s="125"/>
      <c r="AP414" s="125"/>
      <c r="AQ414" s="125"/>
      <c r="AR414" s="125"/>
      <c r="AS414" s="125"/>
      <c r="AT414" s="125"/>
      <c r="AU414" s="125"/>
      <c r="AV414" s="125"/>
      <c r="AW414" s="125"/>
      <c r="AX414" s="125"/>
      <c r="AY414" s="125"/>
      <c r="AZ414" s="125"/>
      <c r="BA414" s="125"/>
      <c r="BB414" s="125"/>
      <c r="BC414" s="125"/>
      <c r="BD414" s="125"/>
      <c r="BE414" s="125"/>
      <c r="BF414" s="125"/>
      <c r="BG414" s="125"/>
      <c r="BH414" s="125"/>
    </row>
    <row r="415" spans="1:60" s="124" customFormat="1" ht="232.5">
      <c r="A415" s="127"/>
      <c r="B415" s="101" t="s">
        <v>447</v>
      </c>
      <c r="C415" s="103" t="s">
        <v>538</v>
      </c>
      <c r="D415" s="100" t="s">
        <v>476</v>
      </c>
      <c r="E415" s="100" t="s">
        <v>475</v>
      </c>
      <c r="F415" s="100" t="s">
        <v>474</v>
      </c>
      <c r="G415" s="103" t="s">
        <v>545</v>
      </c>
      <c r="H415" s="100" t="s">
        <v>112</v>
      </c>
      <c r="I415" s="100"/>
      <c r="J415" s="96" t="s">
        <v>110</v>
      </c>
      <c r="K415" s="96" t="s">
        <v>63</v>
      </c>
      <c r="L415" s="99">
        <f t="shared" si="14"/>
        <v>47500</v>
      </c>
      <c r="M415" s="98">
        <f t="shared" si="12"/>
        <v>5</v>
      </c>
      <c r="N415" s="96"/>
      <c r="O415" s="97" t="s">
        <v>472</v>
      </c>
      <c r="P415" s="129"/>
      <c r="Q415" s="96">
        <v>5</v>
      </c>
      <c r="R415" s="96"/>
      <c r="S415" s="96" t="s">
        <v>550</v>
      </c>
      <c r="T415" s="95">
        <v>9500</v>
      </c>
      <c r="U415" s="94" t="s">
        <v>549</v>
      </c>
      <c r="V415" s="125"/>
      <c r="W415" s="125"/>
      <c r="X415" s="125"/>
      <c r="Y415" s="125"/>
      <c r="Z415" s="125"/>
      <c r="AA415" s="125"/>
      <c r="AB415" s="125"/>
      <c r="AC415" s="125"/>
      <c r="AD415" s="125"/>
      <c r="AE415" s="125"/>
      <c r="AF415" s="125"/>
      <c r="AG415" s="125"/>
      <c r="AH415" s="125"/>
      <c r="AI415" s="125"/>
      <c r="AJ415" s="125"/>
      <c r="AK415" s="125"/>
      <c r="AL415" s="125"/>
      <c r="AM415" s="125"/>
      <c r="AN415" s="125"/>
      <c r="AO415" s="125"/>
      <c r="AP415" s="125"/>
      <c r="AQ415" s="125"/>
      <c r="AR415" s="125"/>
      <c r="AS415" s="125"/>
      <c r="AT415" s="125"/>
      <c r="AU415" s="125"/>
      <c r="AV415" s="125"/>
      <c r="AW415" s="125"/>
      <c r="AX415" s="125"/>
      <c r="AY415" s="125"/>
      <c r="AZ415" s="125"/>
      <c r="BA415" s="125"/>
      <c r="BB415" s="125"/>
      <c r="BC415" s="125"/>
      <c r="BD415" s="125"/>
      <c r="BE415" s="125"/>
      <c r="BF415" s="125"/>
      <c r="BG415" s="125"/>
      <c r="BH415" s="125"/>
    </row>
    <row r="416" spans="1:60" s="124" customFormat="1" ht="139.5">
      <c r="A416" s="127"/>
      <c r="B416" s="101" t="s">
        <v>447</v>
      </c>
      <c r="C416" s="100" t="s">
        <v>538</v>
      </c>
      <c r="D416" s="100" t="s">
        <v>476</v>
      </c>
      <c r="E416" s="100" t="s">
        <v>475</v>
      </c>
      <c r="F416" s="100" t="s">
        <v>474</v>
      </c>
      <c r="G416" s="100" t="s">
        <v>548</v>
      </c>
      <c r="H416" s="100" t="s">
        <v>48</v>
      </c>
      <c r="I416" s="100"/>
      <c r="J416" s="96" t="s">
        <v>46</v>
      </c>
      <c r="K416" s="96" t="s">
        <v>40</v>
      </c>
      <c r="L416" s="99">
        <f t="shared" si="14"/>
        <v>8990</v>
      </c>
      <c r="M416" s="98">
        <f t="shared" si="12"/>
        <v>1</v>
      </c>
      <c r="N416" s="96"/>
      <c r="O416" s="97"/>
      <c r="P416" s="108" t="s">
        <v>472</v>
      </c>
      <c r="Q416" s="96">
        <v>1</v>
      </c>
      <c r="R416" s="96"/>
      <c r="S416" s="96" t="s">
        <v>547</v>
      </c>
      <c r="T416" s="95">
        <v>8990</v>
      </c>
      <c r="U416" s="94" t="s">
        <v>546</v>
      </c>
      <c r="V416" s="125"/>
      <c r="W416" s="125"/>
      <c r="X416" s="125"/>
      <c r="Y416" s="125"/>
      <c r="Z416" s="125"/>
      <c r="AA416" s="125"/>
      <c r="AB416" s="125"/>
      <c r="AC416" s="125"/>
      <c r="AD416" s="125"/>
      <c r="AE416" s="125"/>
      <c r="AF416" s="125"/>
      <c r="AG416" s="125"/>
      <c r="AH416" s="125"/>
      <c r="AI416" s="125"/>
      <c r="AJ416" s="125"/>
      <c r="AK416" s="125"/>
      <c r="AL416" s="125"/>
      <c r="AM416" s="125"/>
      <c r="AN416" s="125"/>
      <c r="AO416" s="125"/>
      <c r="AP416" s="125"/>
      <c r="AQ416" s="125"/>
      <c r="AR416" s="125"/>
      <c r="AS416" s="125"/>
      <c r="AT416" s="125"/>
      <c r="AU416" s="125"/>
      <c r="AV416" s="125"/>
      <c r="AW416" s="125"/>
      <c r="AX416" s="125"/>
      <c r="AY416" s="125"/>
      <c r="AZ416" s="125"/>
      <c r="BA416" s="125"/>
      <c r="BB416" s="125"/>
      <c r="BC416" s="125"/>
      <c r="BD416" s="125"/>
      <c r="BE416" s="125"/>
      <c r="BF416" s="125"/>
      <c r="BG416" s="125"/>
      <c r="BH416" s="125"/>
    </row>
    <row r="417" spans="1:60" s="124" customFormat="1" ht="139.5">
      <c r="A417" s="127"/>
      <c r="B417" s="101" t="s">
        <v>447</v>
      </c>
      <c r="C417" s="100" t="s">
        <v>538</v>
      </c>
      <c r="D417" s="100" t="s">
        <v>476</v>
      </c>
      <c r="E417" s="100" t="s">
        <v>475</v>
      </c>
      <c r="F417" s="100" t="s">
        <v>474</v>
      </c>
      <c r="G417" s="103" t="s">
        <v>545</v>
      </c>
      <c r="H417" s="100" t="s">
        <v>48</v>
      </c>
      <c r="I417" s="100"/>
      <c r="J417" s="96" t="s">
        <v>46</v>
      </c>
      <c r="K417" s="96" t="s">
        <v>40</v>
      </c>
      <c r="L417" s="99">
        <f t="shared" si="14"/>
        <v>9500</v>
      </c>
      <c r="M417" s="98">
        <f t="shared" si="12"/>
        <v>1</v>
      </c>
      <c r="N417" s="96"/>
      <c r="O417" s="97" t="s">
        <v>472</v>
      </c>
      <c r="P417" s="129"/>
      <c r="Q417" s="96">
        <v>1</v>
      </c>
      <c r="R417" s="96"/>
      <c r="S417" s="96" t="s">
        <v>544</v>
      </c>
      <c r="T417" s="95">
        <v>9500</v>
      </c>
      <c r="U417" s="94" t="s">
        <v>543</v>
      </c>
      <c r="V417" s="125"/>
      <c r="W417" s="125"/>
      <c r="X417" s="125"/>
      <c r="Y417" s="125"/>
      <c r="Z417" s="125"/>
      <c r="AA417" s="125"/>
      <c r="AB417" s="125"/>
      <c r="AC417" s="125"/>
      <c r="AD417" s="125"/>
      <c r="AE417" s="125"/>
      <c r="AF417" s="125"/>
      <c r="AG417" s="125"/>
      <c r="AH417" s="125"/>
      <c r="AI417" s="125"/>
      <c r="AJ417" s="125"/>
      <c r="AK417" s="125"/>
      <c r="AL417" s="125"/>
      <c r="AM417" s="125"/>
      <c r="AN417" s="125"/>
      <c r="AO417" s="125"/>
      <c r="AP417" s="125"/>
      <c r="AQ417" s="125"/>
      <c r="AR417" s="125"/>
      <c r="AS417" s="125"/>
      <c r="AT417" s="125"/>
      <c r="AU417" s="125"/>
      <c r="AV417" s="125"/>
      <c r="AW417" s="125"/>
      <c r="AX417" s="125"/>
      <c r="AY417" s="125"/>
      <c r="AZ417" s="125"/>
      <c r="BA417" s="125"/>
      <c r="BB417" s="125"/>
      <c r="BC417" s="125"/>
      <c r="BD417" s="125"/>
      <c r="BE417" s="125"/>
      <c r="BF417" s="125"/>
      <c r="BG417" s="125"/>
      <c r="BH417" s="125"/>
    </row>
    <row r="418" spans="1:60" s="124" customFormat="1" ht="139.5">
      <c r="A418" s="127"/>
      <c r="B418" s="101" t="s">
        <v>447</v>
      </c>
      <c r="C418" s="103" t="s">
        <v>538</v>
      </c>
      <c r="D418" s="100" t="s">
        <v>476</v>
      </c>
      <c r="E418" s="100" t="s">
        <v>475</v>
      </c>
      <c r="F418" s="100" t="s">
        <v>474</v>
      </c>
      <c r="G418" s="103" t="s">
        <v>540</v>
      </c>
      <c r="H418" s="100" t="s">
        <v>411</v>
      </c>
      <c r="I418" s="100"/>
      <c r="J418" s="96" t="s">
        <v>317</v>
      </c>
      <c r="K418" s="96" t="s">
        <v>40</v>
      </c>
      <c r="L418" s="99">
        <f t="shared" si="14"/>
        <v>17400</v>
      </c>
      <c r="M418" s="98">
        <f t="shared" si="12"/>
        <v>1</v>
      </c>
      <c r="N418" s="96"/>
      <c r="O418" s="97" t="s">
        <v>472</v>
      </c>
      <c r="P418" s="129"/>
      <c r="Q418" s="96"/>
      <c r="R418" s="96">
        <v>1</v>
      </c>
      <c r="S418" s="96"/>
      <c r="T418" s="95">
        <v>17400</v>
      </c>
      <c r="U418" s="94" t="s">
        <v>542</v>
      </c>
      <c r="V418" s="125"/>
      <c r="W418" s="125"/>
      <c r="X418" s="125"/>
      <c r="Y418" s="125"/>
      <c r="Z418" s="125"/>
      <c r="AA418" s="125"/>
      <c r="AB418" s="125"/>
      <c r="AC418" s="125"/>
      <c r="AD418" s="125"/>
      <c r="AE418" s="125"/>
      <c r="AF418" s="125"/>
      <c r="AG418" s="125"/>
      <c r="AH418" s="125"/>
      <c r="AI418" s="125"/>
      <c r="AJ418" s="125"/>
      <c r="AK418" s="125"/>
      <c r="AL418" s="125"/>
      <c r="AM418" s="125"/>
      <c r="AN418" s="125"/>
      <c r="AO418" s="125"/>
      <c r="AP418" s="125"/>
      <c r="AQ418" s="125"/>
      <c r="AR418" s="125"/>
      <c r="AS418" s="125"/>
      <c r="AT418" s="125"/>
      <c r="AU418" s="125"/>
      <c r="AV418" s="125"/>
      <c r="AW418" s="125"/>
      <c r="AX418" s="125"/>
      <c r="AY418" s="125"/>
      <c r="AZ418" s="125"/>
      <c r="BA418" s="125"/>
      <c r="BB418" s="125"/>
      <c r="BC418" s="125"/>
      <c r="BD418" s="125"/>
      <c r="BE418" s="125"/>
      <c r="BF418" s="125"/>
      <c r="BG418" s="125"/>
      <c r="BH418" s="125"/>
    </row>
    <row r="419" spans="1:60" s="124" customFormat="1" ht="139.5">
      <c r="A419" s="127"/>
      <c r="B419" s="101" t="s">
        <v>447</v>
      </c>
      <c r="C419" s="100" t="s">
        <v>538</v>
      </c>
      <c r="D419" s="100" t="s">
        <v>476</v>
      </c>
      <c r="E419" s="100" t="s">
        <v>475</v>
      </c>
      <c r="F419" s="100" t="s">
        <v>474</v>
      </c>
      <c r="G419" s="100" t="s">
        <v>540</v>
      </c>
      <c r="H419" s="100" t="s">
        <v>26</v>
      </c>
      <c r="I419" s="100"/>
      <c r="J419" s="96" t="s">
        <v>22</v>
      </c>
      <c r="K419" s="96" t="s">
        <v>13</v>
      </c>
      <c r="L419" s="99">
        <f t="shared" si="14"/>
        <v>17400</v>
      </c>
      <c r="M419" s="98">
        <f t="shared" si="12"/>
        <v>1</v>
      </c>
      <c r="N419" s="96"/>
      <c r="O419" s="97" t="s">
        <v>472</v>
      </c>
      <c r="P419" s="129"/>
      <c r="Q419" s="128"/>
      <c r="R419" s="107">
        <v>1</v>
      </c>
      <c r="S419" s="96"/>
      <c r="T419" s="95">
        <v>17400</v>
      </c>
      <c r="U419" s="94" t="s">
        <v>541</v>
      </c>
      <c r="V419" s="125"/>
      <c r="W419" s="125"/>
      <c r="X419" s="125"/>
      <c r="Y419" s="125"/>
      <c r="Z419" s="125"/>
      <c r="AA419" s="125"/>
      <c r="AB419" s="125"/>
      <c r="AC419" s="125"/>
      <c r="AD419" s="125"/>
      <c r="AE419" s="125"/>
      <c r="AF419" s="125"/>
      <c r="AG419" s="125"/>
      <c r="AH419" s="125"/>
      <c r="AI419" s="125"/>
      <c r="AJ419" s="125"/>
      <c r="AK419" s="125"/>
      <c r="AL419" s="125"/>
      <c r="AM419" s="125"/>
      <c r="AN419" s="125"/>
      <c r="AO419" s="125"/>
      <c r="AP419" s="125"/>
      <c r="AQ419" s="125"/>
      <c r="AR419" s="125"/>
      <c r="AS419" s="125"/>
      <c r="AT419" s="125"/>
      <c r="AU419" s="125"/>
      <c r="AV419" s="125"/>
      <c r="AW419" s="125"/>
      <c r="AX419" s="125"/>
      <c r="AY419" s="125"/>
      <c r="AZ419" s="125"/>
      <c r="BA419" s="125"/>
      <c r="BB419" s="125"/>
      <c r="BC419" s="125"/>
      <c r="BD419" s="125"/>
      <c r="BE419" s="125"/>
      <c r="BF419" s="125"/>
      <c r="BG419" s="125"/>
      <c r="BH419" s="125"/>
    </row>
    <row r="420" spans="1:60" s="124" customFormat="1" ht="139.5">
      <c r="A420" s="127"/>
      <c r="B420" s="101" t="s">
        <v>447</v>
      </c>
      <c r="C420" s="100" t="s">
        <v>538</v>
      </c>
      <c r="D420" s="100" t="s">
        <v>476</v>
      </c>
      <c r="E420" s="100" t="s">
        <v>475</v>
      </c>
      <c r="F420" s="100" t="s">
        <v>474</v>
      </c>
      <c r="G420" s="126" t="s">
        <v>540</v>
      </c>
      <c r="H420" s="126" t="s">
        <v>174</v>
      </c>
      <c r="I420" s="126"/>
      <c r="J420" s="96" t="s">
        <v>172</v>
      </c>
      <c r="K420" s="96" t="s">
        <v>149</v>
      </c>
      <c r="L420" s="99">
        <f t="shared" si="14"/>
        <v>34800</v>
      </c>
      <c r="M420" s="98">
        <f t="shared" si="12"/>
        <v>2</v>
      </c>
      <c r="N420" s="96"/>
      <c r="O420" s="97" t="s">
        <v>472</v>
      </c>
      <c r="P420" s="97"/>
      <c r="Q420" s="96"/>
      <c r="R420" s="96">
        <v>2</v>
      </c>
      <c r="S420" s="96"/>
      <c r="T420" s="95">
        <v>17400</v>
      </c>
      <c r="U420" s="94" t="s">
        <v>539</v>
      </c>
      <c r="V420" s="125"/>
      <c r="W420" s="125"/>
      <c r="X420" s="125"/>
      <c r="Y420" s="125"/>
      <c r="Z420" s="125"/>
      <c r="AA420" s="125"/>
      <c r="AB420" s="125"/>
      <c r="AC420" s="125"/>
      <c r="AD420" s="125"/>
      <c r="AE420" s="125"/>
      <c r="AF420" s="125"/>
      <c r="AG420" s="125"/>
      <c r="AH420" s="125"/>
      <c r="AI420" s="125"/>
      <c r="AJ420" s="125"/>
      <c r="AK420" s="125"/>
      <c r="AL420" s="125"/>
      <c r="AM420" s="125"/>
      <c r="AN420" s="125"/>
      <c r="AO420" s="125"/>
      <c r="AP420" s="125"/>
      <c r="AQ420" s="125"/>
      <c r="AR420" s="125"/>
      <c r="AS420" s="125"/>
      <c r="AT420" s="125"/>
      <c r="AU420" s="125"/>
      <c r="AV420" s="125"/>
      <c r="AW420" s="125"/>
      <c r="AX420" s="125"/>
      <c r="AY420" s="125"/>
      <c r="AZ420" s="125"/>
      <c r="BA420" s="125"/>
      <c r="BB420" s="125"/>
      <c r="BC420" s="125"/>
      <c r="BD420" s="125"/>
      <c r="BE420" s="125"/>
      <c r="BF420" s="125"/>
      <c r="BG420" s="125"/>
      <c r="BH420" s="125"/>
    </row>
    <row r="421" spans="1:60" s="92" customFormat="1" ht="162.75">
      <c r="A421" s="98" t="s">
        <v>447</v>
      </c>
      <c r="B421" s="101" t="s">
        <v>447</v>
      </c>
      <c r="C421" s="103" t="s">
        <v>538</v>
      </c>
      <c r="D421" s="100" t="s">
        <v>476</v>
      </c>
      <c r="E421" s="100" t="s">
        <v>475</v>
      </c>
      <c r="F421" s="100" t="s">
        <v>474</v>
      </c>
      <c r="G421" s="100" t="s">
        <v>537</v>
      </c>
      <c r="H421" s="100" t="s">
        <v>466</v>
      </c>
      <c r="I421" s="100"/>
      <c r="J421" s="96" t="s">
        <v>166</v>
      </c>
      <c r="K421" s="96" t="s">
        <v>149</v>
      </c>
      <c r="L421" s="99">
        <f t="shared" ref="L421:L452" si="15">T421*M421</f>
        <v>34000</v>
      </c>
      <c r="M421" s="98">
        <f t="shared" si="12"/>
        <v>2</v>
      </c>
      <c r="N421" s="96"/>
      <c r="O421" s="97" t="s">
        <v>472</v>
      </c>
      <c r="P421" s="97"/>
      <c r="Q421" s="96">
        <v>1</v>
      </c>
      <c r="R421" s="96">
        <v>1</v>
      </c>
      <c r="S421" s="96" t="s">
        <v>536</v>
      </c>
      <c r="T421" s="95">
        <v>17000</v>
      </c>
      <c r="U421" s="94" t="s">
        <v>535</v>
      </c>
      <c r="V421" s="93"/>
      <c r="W421" s="93"/>
      <c r="X421" s="93"/>
      <c r="Y421" s="93"/>
      <c r="Z421" s="93"/>
      <c r="AA421" s="93"/>
      <c r="AB421" s="93"/>
      <c r="AC421" s="93"/>
      <c r="AD421" s="93"/>
      <c r="AE421" s="93"/>
      <c r="AF421" s="93"/>
      <c r="AG421" s="93"/>
      <c r="AH421" s="93"/>
      <c r="AI421" s="93"/>
      <c r="AJ421" s="93"/>
      <c r="AK421" s="93"/>
      <c r="AL421" s="93"/>
      <c r="AM421" s="93"/>
      <c r="AN421" s="93"/>
      <c r="AO421" s="93"/>
      <c r="AP421" s="93"/>
      <c r="AQ421" s="93"/>
      <c r="AR421" s="93"/>
      <c r="AS421" s="93"/>
      <c r="AT421" s="93"/>
      <c r="AU421" s="93"/>
      <c r="AV421" s="93"/>
      <c r="AW421" s="93"/>
      <c r="AX421" s="93"/>
      <c r="AY421" s="93"/>
      <c r="AZ421" s="93"/>
      <c r="BA421" s="93"/>
      <c r="BB421" s="93"/>
      <c r="BC421" s="93"/>
      <c r="BD421" s="93"/>
      <c r="BE421" s="93"/>
      <c r="BF421" s="93"/>
      <c r="BG421" s="93"/>
      <c r="BH421" s="93"/>
    </row>
    <row r="422" spans="1:60" s="110" customFormat="1" ht="147">
      <c r="A422" s="98" t="s">
        <v>447</v>
      </c>
      <c r="B422" s="119" t="s">
        <v>447</v>
      </c>
      <c r="C422" s="118" t="s">
        <v>527</v>
      </c>
      <c r="D422" s="118" t="s">
        <v>476</v>
      </c>
      <c r="E422" s="118" t="s">
        <v>475</v>
      </c>
      <c r="F422" s="118" t="s">
        <v>474</v>
      </c>
      <c r="G422" s="118" t="s">
        <v>534</v>
      </c>
      <c r="H422" s="118" t="s">
        <v>462</v>
      </c>
      <c r="I422" s="118"/>
      <c r="J422" s="113" t="s">
        <v>439</v>
      </c>
      <c r="K422" s="113" t="s">
        <v>63</v>
      </c>
      <c r="L422" s="121">
        <f t="shared" si="15"/>
        <v>1498000</v>
      </c>
      <c r="M422" s="116">
        <f t="shared" si="12"/>
        <v>1</v>
      </c>
      <c r="N422" s="113" t="s">
        <v>533</v>
      </c>
      <c r="O422" s="123"/>
      <c r="P422" s="122" t="s">
        <v>472</v>
      </c>
      <c r="Q422" s="113">
        <v>1</v>
      </c>
      <c r="R422" s="113"/>
      <c r="S422" s="113" t="s">
        <v>532</v>
      </c>
      <c r="T422" s="112">
        <v>1498000</v>
      </c>
      <c r="U422" s="111" t="s">
        <v>531</v>
      </c>
      <c r="V422" s="76"/>
      <c r="W422" s="76"/>
      <c r="X422" s="76"/>
      <c r="Y422" s="76"/>
      <c r="Z422" s="76"/>
      <c r="AA422" s="76"/>
      <c r="AB422" s="76"/>
      <c r="AC422" s="76"/>
      <c r="AD422" s="76"/>
      <c r="AE422" s="76"/>
      <c r="AF422" s="76"/>
      <c r="AG422" s="76"/>
      <c r="AH422" s="76"/>
      <c r="AI422" s="76"/>
      <c r="AJ422" s="76"/>
      <c r="AK422" s="76"/>
      <c r="AL422" s="76"/>
      <c r="AM422" s="76"/>
      <c r="AN422" s="76"/>
      <c r="AO422" s="76"/>
      <c r="AP422" s="76"/>
      <c r="AQ422" s="76"/>
      <c r="AR422" s="76"/>
      <c r="AS422" s="76"/>
      <c r="AT422" s="76"/>
      <c r="AU422" s="76"/>
      <c r="AV422" s="76"/>
      <c r="AW422" s="76"/>
      <c r="AX422" s="76"/>
      <c r="AY422" s="76"/>
      <c r="AZ422" s="76"/>
      <c r="BA422" s="76"/>
      <c r="BB422" s="76"/>
      <c r="BC422" s="76"/>
      <c r="BD422" s="76"/>
      <c r="BE422" s="76"/>
      <c r="BF422" s="76"/>
      <c r="BG422" s="76"/>
      <c r="BH422" s="76"/>
    </row>
    <row r="423" spans="1:60" s="110" customFormat="1" ht="147">
      <c r="A423" s="98" t="s">
        <v>447</v>
      </c>
      <c r="B423" s="119" t="s">
        <v>447</v>
      </c>
      <c r="C423" s="118" t="s">
        <v>527</v>
      </c>
      <c r="D423" s="118" t="s">
        <v>476</v>
      </c>
      <c r="E423" s="118" t="s">
        <v>475</v>
      </c>
      <c r="F423" s="118" t="s">
        <v>474</v>
      </c>
      <c r="G423" s="118" t="s">
        <v>530</v>
      </c>
      <c r="H423" s="118" t="s">
        <v>174</v>
      </c>
      <c r="I423" s="118"/>
      <c r="J423" s="113" t="s">
        <v>172</v>
      </c>
      <c r="K423" s="113" t="s">
        <v>149</v>
      </c>
      <c r="L423" s="121">
        <f t="shared" si="15"/>
        <v>970900</v>
      </c>
      <c r="M423" s="116">
        <f t="shared" si="12"/>
        <v>1</v>
      </c>
      <c r="N423" s="113"/>
      <c r="O423" s="114" t="s">
        <v>472</v>
      </c>
      <c r="P423" s="115"/>
      <c r="Q423" s="113">
        <v>1</v>
      </c>
      <c r="R423" s="113"/>
      <c r="S423" s="113" t="s">
        <v>529</v>
      </c>
      <c r="T423" s="120">
        <v>970900</v>
      </c>
      <c r="U423" s="111" t="s">
        <v>528</v>
      </c>
      <c r="V423" s="76"/>
      <c r="W423" s="76"/>
      <c r="X423" s="76"/>
      <c r="Y423" s="76"/>
      <c r="Z423" s="76"/>
      <c r="AA423" s="76"/>
      <c r="AB423" s="76"/>
      <c r="AC423" s="76"/>
      <c r="AD423" s="76"/>
      <c r="AE423" s="76"/>
      <c r="AF423" s="76"/>
      <c r="AG423" s="76"/>
      <c r="AH423" s="76"/>
      <c r="AI423" s="76"/>
      <c r="AJ423" s="76"/>
      <c r="AK423" s="76"/>
      <c r="AL423" s="76"/>
      <c r="AM423" s="76"/>
      <c r="AN423" s="76"/>
      <c r="AO423" s="76"/>
      <c r="AP423" s="76"/>
      <c r="AQ423" s="76"/>
      <c r="AR423" s="76"/>
      <c r="AS423" s="76"/>
      <c r="AT423" s="76"/>
      <c r="AU423" s="76"/>
      <c r="AV423" s="76"/>
      <c r="AW423" s="76"/>
      <c r="AX423" s="76"/>
      <c r="AY423" s="76"/>
      <c r="AZ423" s="76"/>
      <c r="BA423" s="76"/>
      <c r="BB423" s="76"/>
      <c r="BC423" s="76"/>
      <c r="BD423" s="76"/>
      <c r="BE423" s="76"/>
      <c r="BF423" s="76"/>
      <c r="BG423" s="76"/>
      <c r="BH423" s="76"/>
    </row>
    <row r="424" spans="1:60" s="110" customFormat="1" ht="147">
      <c r="A424" s="98" t="s">
        <v>447</v>
      </c>
      <c r="B424" s="119" t="s">
        <v>447</v>
      </c>
      <c r="C424" s="118" t="s">
        <v>527</v>
      </c>
      <c r="D424" s="118" t="s">
        <v>476</v>
      </c>
      <c r="E424" s="118" t="s">
        <v>475</v>
      </c>
      <c r="F424" s="118" t="s">
        <v>474</v>
      </c>
      <c r="G424" s="118" t="s">
        <v>526</v>
      </c>
      <c r="H424" s="118" t="s">
        <v>466</v>
      </c>
      <c r="I424" s="118"/>
      <c r="J424" s="113" t="s">
        <v>166</v>
      </c>
      <c r="K424" s="113" t="s">
        <v>149</v>
      </c>
      <c r="L424" s="117">
        <f t="shared" si="15"/>
        <v>1498000</v>
      </c>
      <c r="M424" s="116">
        <f t="shared" si="12"/>
        <v>1</v>
      </c>
      <c r="N424" s="113"/>
      <c r="O424" s="115"/>
      <c r="P424" s="114" t="s">
        <v>472</v>
      </c>
      <c r="Q424" s="113">
        <v>1</v>
      </c>
      <c r="R424" s="113"/>
      <c r="S424" s="113" t="s">
        <v>525</v>
      </c>
      <c r="T424" s="112">
        <v>1498000</v>
      </c>
      <c r="U424" s="111" t="s">
        <v>524</v>
      </c>
      <c r="V424" s="76"/>
      <c r="W424" s="76"/>
      <c r="X424" s="76"/>
      <c r="Y424" s="76"/>
      <c r="Z424" s="76"/>
      <c r="AA424" s="76"/>
      <c r="AB424" s="76"/>
      <c r="AC424" s="76"/>
      <c r="AD424" s="76"/>
      <c r="AE424" s="76"/>
      <c r="AF424" s="76"/>
      <c r="AG424" s="76"/>
      <c r="AH424" s="76"/>
      <c r="AI424" s="76"/>
      <c r="AJ424" s="76"/>
      <c r="AK424" s="76"/>
      <c r="AL424" s="76"/>
      <c r="AM424" s="76"/>
      <c r="AN424" s="76"/>
      <c r="AO424" s="76"/>
      <c r="AP424" s="76"/>
      <c r="AQ424" s="76"/>
      <c r="AR424" s="76"/>
      <c r="AS424" s="76"/>
      <c r="AT424" s="76"/>
      <c r="AU424" s="76"/>
      <c r="AV424" s="76"/>
      <c r="AW424" s="76"/>
      <c r="AX424" s="76"/>
      <c r="AY424" s="76"/>
      <c r="AZ424" s="76"/>
      <c r="BA424" s="76"/>
      <c r="BB424" s="76"/>
      <c r="BC424" s="76"/>
      <c r="BD424" s="76"/>
      <c r="BE424" s="76"/>
      <c r="BF424" s="76"/>
      <c r="BG424" s="76"/>
      <c r="BH424" s="76"/>
    </row>
    <row r="425" spans="1:60" s="92" customFormat="1" ht="139.5">
      <c r="A425" s="98"/>
      <c r="B425" s="101" t="s">
        <v>447</v>
      </c>
      <c r="C425" s="100" t="s">
        <v>477</v>
      </c>
      <c r="D425" s="100" t="s">
        <v>476</v>
      </c>
      <c r="E425" s="100" t="s">
        <v>475</v>
      </c>
      <c r="F425" s="100" t="s">
        <v>474</v>
      </c>
      <c r="G425" s="100" t="s">
        <v>523</v>
      </c>
      <c r="H425" s="100" t="s">
        <v>112</v>
      </c>
      <c r="I425" s="100"/>
      <c r="J425" s="96" t="s">
        <v>110</v>
      </c>
      <c r="K425" s="96" t="s">
        <v>63</v>
      </c>
      <c r="L425" s="106">
        <f t="shared" si="15"/>
        <v>50290</v>
      </c>
      <c r="M425" s="98">
        <f t="shared" si="12"/>
        <v>1</v>
      </c>
      <c r="N425" s="98"/>
      <c r="O425" s="102"/>
      <c r="P425" s="97" t="s">
        <v>472</v>
      </c>
      <c r="Q425" s="98"/>
      <c r="R425" s="98">
        <v>1</v>
      </c>
      <c r="S425" s="98"/>
      <c r="T425" s="95">
        <v>50290</v>
      </c>
      <c r="U425" s="109" t="s">
        <v>522</v>
      </c>
      <c r="V425" s="93"/>
      <c r="W425" s="93"/>
      <c r="X425" s="93"/>
      <c r="Y425" s="93"/>
      <c r="Z425" s="93"/>
      <c r="AA425" s="93"/>
      <c r="AB425" s="93"/>
      <c r="AC425" s="93"/>
      <c r="AD425" s="93"/>
      <c r="AE425" s="93"/>
      <c r="AF425" s="93"/>
      <c r="AG425" s="93"/>
      <c r="AH425" s="93"/>
      <c r="AI425" s="93"/>
      <c r="AJ425" s="93"/>
      <c r="AK425" s="93"/>
      <c r="AL425" s="93"/>
      <c r="AM425" s="93"/>
      <c r="AN425" s="93"/>
      <c r="AO425" s="93"/>
      <c r="AP425" s="93"/>
      <c r="AQ425" s="93"/>
      <c r="AR425" s="93"/>
      <c r="AS425" s="93"/>
      <c r="AT425" s="93"/>
      <c r="AU425" s="93"/>
      <c r="AV425" s="93"/>
      <c r="AW425" s="93"/>
      <c r="AX425" s="93"/>
      <c r="AY425" s="93"/>
      <c r="AZ425" s="93"/>
      <c r="BA425" s="93"/>
      <c r="BB425" s="93"/>
      <c r="BC425" s="93"/>
      <c r="BD425" s="93"/>
      <c r="BE425" s="93"/>
      <c r="BF425" s="93"/>
      <c r="BG425" s="93"/>
      <c r="BH425" s="93"/>
    </row>
    <row r="426" spans="1:60" s="92" customFormat="1" ht="139.5">
      <c r="A426" s="98" t="s">
        <v>447</v>
      </c>
      <c r="B426" s="101" t="s">
        <v>447</v>
      </c>
      <c r="C426" s="103" t="s">
        <v>488</v>
      </c>
      <c r="D426" s="100" t="s">
        <v>476</v>
      </c>
      <c r="E426" s="100" t="s">
        <v>475</v>
      </c>
      <c r="F426" s="100" t="s">
        <v>474</v>
      </c>
      <c r="G426" s="100" t="s">
        <v>521</v>
      </c>
      <c r="H426" s="100" t="s">
        <v>48</v>
      </c>
      <c r="I426" s="100"/>
      <c r="J426" s="96" t="s">
        <v>46</v>
      </c>
      <c r="K426" s="96" t="s">
        <v>40</v>
      </c>
      <c r="L426" s="99">
        <f t="shared" si="15"/>
        <v>40730</v>
      </c>
      <c r="M426" s="98">
        <f t="shared" si="12"/>
        <v>1</v>
      </c>
      <c r="N426" s="96"/>
      <c r="O426" s="102"/>
      <c r="P426" s="97" t="s">
        <v>472</v>
      </c>
      <c r="Q426" s="96">
        <v>1</v>
      </c>
      <c r="R426" s="96"/>
      <c r="S426" s="96" t="s">
        <v>520</v>
      </c>
      <c r="T426" s="95">
        <v>40730</v>
      </c>
      <c r="U426" s="94" t="s">
        <v>519</v>
      </c>
      <c r="V426" s="93"/>
      <c r="W426" s="93"/>
      <c r="X426" s="93"/>
      <c r="Y426" s="93"/>
      <c r="Z426" s="93"/>
      <c r="AA426" s="93"/>
      <c r="AB426" s="93"/>
      <c r="AC426" s="93"/>
      <c r="AD426" s="93"/>
      <c r="AE426" s="93"/>
      <c r="AF426" s="93"/>
      <c r="AG426" s="93"/>
      <c r="AH426" s="93"/>
      <c r="AI426" s="93"/>
      <c r="AJ426" s="93"/>
      <c r="AK426" s="93"/>
      <c r="AL426" s="93"/>
      <c r="AM426" s="93"/>
      <c r="AN426" s="93"/>
      <c r="AO426" s="93"/>
      <c r="AP426" s="93"/>
      <c r="AQ426" s="93"/>
      <c r="AR426" s="93"/>
      <c r="AS426" s="93"/>
      <c r="AT426" s="93"/>
      <c r="AU426" s="93"/>
      <c r="AV426" s="93"/>
      <c r="AW426" s="93"/>
      <c r="AX426" s="93"/>
      <c r="AY426" s="93"/>
      <c r="AZ426" s="93"/>
      <c r="BA426" s="93"/>
      <c r="BB426" s="93"/>
      <c r="BC426" s="93"/>
      <c r="BD426" s="93"/>
      <c r="BE426" s="93"/>
      <c r="BF426" s="93"/>
      <c r="BG426" s="93"/>
      <c r="BH426" s="93"/>
    </row>
    <row r="427" spans="1:60" s="92" customFormat="1" ht="139.5">
      <c r="A427" s="98" t="s">
        <v>447</v>
      </c>
      <c r="B427" s="101" t="s">
        <v>447</v>
      </c>
      <c r="C427" s="103" t="s">
        <v>488</v>
      </c>
      <c r="D427" s="100" t="s">
        <v>476</v>
      </c>
      <c r="E427" s="100" t="s">
        <v>475</v>
      </c>
      <c r="F427" s="100" t="s">
        <v>474</v>
      </c>
      <c r="G427" s="100" t="s">
        <v>518</v>
      </c>
      <c r="H427" s="100" t="s">
        <v>48</v>
      </c>
      <c r="I427" s="100"/>
      <c r="J427" s="96" t="s">
        <v>46</v>
      </c>
      <c r="K427" s="96" t="s">
        <v>40</v>
      </c>
      <c r="L427" s="99">
        <f t="shared" si="15"/>
        <v>47000</v>
      </c>
      <c r="M427" s="98">
        <f t="shared" si="12"/>
        <v>2</v>
      </c>
      <c r="N427" s="96"/>
      <c r="O427" s="102"/>
      <c r="P427" s="97" t="s">
        <v>472</v>
      </c>
      <c r="Q427" s="96">
        <v>2</v>
      </c>
      <c r="R427" s="96"/>
      <c r="S427" s="96" t="s">
        <v>517</v>
      </c>
      <c r="T427" s="95">
        <v>23500</v>
      </c>
      <c r="U427" s="94" t="s">
        <v>516</v>
      </c>
      <c r="V427" s="302"/>
      <c r="W427" s="105"/>
      <c r="X427" s="93"/>
      <c r="Y427" s="93"/>
      <c r="Z427" s="93"/>
      <c r="AA427" s="93"/>
      <c r="AB427" s="93"/>
      <c r="AC427" s="93"/>
      <c r="AD427" s="93"/>
      <c r="AE427" s="93"/>
      <c r="AF427" s="93"/>
      <c r="AG427" s="93"/>
      <c r="AH427" s="93"/>
      <c r="AI427" s="93"/>
      <c r="AJ427" s="93"/>
      <c r="AK427" s="93"/>
      <c r="AL427" s="93"/>
      <c r="AM427" s="93"/>
      <c r="AN427" s="93"/>
      <c r="AO427" s="93"/>
      <c r="AP427" s="93"/>
      <c r="AQ427" s="93"/>
      <c r="AR427" s="93"/>
      <c r="AS427" s="93"/>
      <c r="AT427" s="93"/>
      <c r="AU427" s="93"/>
      <c r="AV427" s="93"/>
      <c r="AW427" s="93"/>
      <c r="AX427" s="93"/>
      <c r="AY427" s="93"/>
      <c r="AZ427" s="93"/>
      <c r="BA427" s="93"/>
      <c r="BB427" s="93"/>
      <c r="BC427" s="93"/>
      <c r="BD427" s="93"/>
      <c r="BE427" s="93"/>
      <c r="BF427" s="93"/>
      <c r="BG427" s="93"/>
      <c r="BH427" s="93"/>
    </row>
    <row r="428" spans="1:60" s="92" customFormat="1" ht="139.5">
      <c r="A428" s="98" t="s">
        <v>447</v>
      </c>
      <c r="B428" s="101" t="s">
        <v>447</v>
      </c>
      <c r="C428" s="100" t="s">
        <v>477</v>
      </c>
      <c r="D428" s="100" t="s">
        <v>476</v>
      </c>
      <c r="E428" s="100" t="s">
        <v>475</v>
      </c>
      <c r="F428" s="100" t="s">
        <v>474</v>
      </c>
      <c r="G428" s="100" t="s">
        <v>515</v>
      </c>
      <c r="H428" s="100" t="s">
        <v>48</v>
      </c>
      <c r="I428" s="100"/>
      <c r="J428" s="96" t="s">
        <v>46</v>
      </c>
      <c r="K428" s="96" t="s">
        <v>40</v>
      </c>
      <c r="L428" s="99">
        <f t="shared" si="15"/>
        <v>35890</v>
      </c>
      <c r="M428" s="98">
        <f t="shared" si="12"/>
        <v>1</v>
      </c>
      <c r="N428" s="96"/>
      <c r="O428" s="102"/>
      <c r="P428" s="108" t="s">
        <v>472</v>
      </c>
      <c r="Q428" s="96"/>
      <c r="R428" s="96">
        <v>1</v>
      </c>
      <c r="S428" s="96"/>
      <c r="T428" s="95">
        <v>35890</v>
      </c>
      <c r="U428" s="94" t="s">
        <v>514</v>
      </c>
      <c r="V428" s="302"/>
      <c r="W428" s="93"/>
      <c r="X428" s="93"/>
      <c r="Y428" s="93"/>
      <c r="Z428" s="93"/>
      <c r="AA428" s="93"/>
      <c r="AB428" s="93"/>
      <c r="AC428" s="93"/>
      <c r="AD428" s="93"/>
      <c r="AE428" s="93"/>
      <c r="AF428" s="93"/>
      <c r="AG428" s="93"/>
      <c r="AH428" s="93"/>
      <c r="AI428" s="93"/>
      <c r="AJ428" s="93"/>
      <c r="AK428" s="93"/>
      <c r="AL428" s="93"/>
      <c r="AM428" s="93"/>
      <c r="AN428" s="93"/>
      <c r="AO428" s="93"/>
      <c r="AP428" s="93"/>
      <c r="AQ428" s="93"/>
      <c r="AR428" s="93"/>
      <c r="AS428" s="93"/>
      <c r="AT428" s="93"/>
      <c r="AU428" s="93"/>
      <c r="AV428" s="93"/>
      <c r="AW428" s="93"/>
      <c r="AX428" s="93"/>
      <c r="AY428" s="93"/>
      <c r="AZ428" s="93"/>
      <c r="BA428" s="93"/>
      <c r="BB428" s="93"/>
      <c r="BC428" s="93"/>
      <c r="BD428" s="93"/>
      <c r="BE428" s="93"/>
      <c r="BF428" s="93"/>
      <c r="BG428" s="93"/>
      <c r="BH428" s="93"/>
    </row>
    <row r="429" spans="1:60" s="92" customFormat="1" ht="139.5">
      <c r="A429" s="98" t="s">
        <v>447</v>
      </c>
      <c r="B429" s="101" t="s">
        <v>447</v>
      </c>
      <c r="C429" s="103" t="s">
        <v>477</v>
      </c>
      <c r="D429" s="100" t="s">
        <v>476</v>
      </c>
      <c r="E429" s="100" t="s">
        <v>475</v>
      </c>
      <c r="F429" s="100" t="s">
        <v>474</v>
      </c>
      <c r="G429" s="100" t="s">
        <v>513</v>
      </c>
      <c r="H429" s="100" t="s">
        <v>411</v>
      </c>
      <c r="I429" s="100"/>
      <c r="J429" s="96" t="s">
        <v>317</v>
      </c>
      <c r="K429" s="96" t="s">
        <v>40</v>
      </c>
      <c r="L429" s="99">
        <f t="shared" si="15"/>
        <v>38000</v>
      </c>
      <c r="M429" s="98">
        <f t="shared" si="12"/>
        <v>1</v>
      </c>
      <c r="N429" s="96"/>
      <c r="O429" s="102"/>
      <c r="P429" s="97" t="s">
        <v>472</v>
      </c>
      <c r="Q429" s="96">
        <v>1</v>
      </c>
      <c r="R429" s="96"/>
      <c r="S429" s="96" t="s">
        <v>512</v>
      </c>
      <c r="T429" s="95">
        <v>38000</v>
      </c>
      <c r="U429" s="94" t="s">
        <v>509</v>
      </c>
      <c r="V429" s="302"/>
      <c r="W429" s="93"/>
      <c r="X429" s="93"/>
      <c r="Y429" s="93"/>
      <c r="Z429" s="93"/>
      <c r="AA429" s="93"/>
      <c r="AB429" s="93"/>
      <c r="AC429" s="93"/>
      <c r="AD429" s="93"/>
      <c r="AE429" s="93"/>
      <c r="AF429" s="93"/>
      <c r="AG429" s="93"/>
      <c r="AH429" s="93"/>
      <c r="AI429" s="93"/>
      <c r="AJ429" s="93"/>
      <c r="AK429" s="93"/>
      <c r="AL429" s="93"/>
      <c r="AM429" s="93"/>
      <c r="AN429" s="93"/>
      <c r="AO429" s="93"/>
      <c r="AP429" s="93"/>
      <c r="AQ429" s="93"/>
      <c r="AR429" s="93"/>
      <c r="AS429" s="93"/>
      <c r="AT429" s="93"/>
      <c r="AU429" s="93"/>
      <c r="AV429" s="93"/>
      <c r="AW429" s="93"/>
      <c r="AX429" s="93"/>
      <c r="AY429" s="93"/>
      <c r="AZ429" s="93"/>
      <c r="BA429" s="93"/>
      <c r="BB429" s="93"/>
      <c r="BC429" s="93"/>
      <c r="BD429" s="93"/>
      <c r="BE429" s="93"/>
      <c r="BF429" s="93"/>
      <c r="BG429" s="93"/>
      <c r="BH429" s="93"/>
    </row>
    <row r="430" spans="1:60" s="92" customFormat="1" ht="139.5">
      <c r="A430" s="98" t="s">
        <v>447</v>
      </c>
      <c r="B430" s="101" t="s">
        <v>447</v>
      </c>
      <c r="C430" s="103" t="s">
        <v>477</v>
      </c>
      <c r="D430" s="100" t="s">
        <v>476</v>
      </c>
      <c r="E430" s="100" t="s">
        <v>475</v>
      </c>
      <c r="F430" s="100" t="s">
        <v>474</v>
      </c>
      <c r="G430" s="100" t="s">
        <v>511</v>
      </c>
      <c r="H430" s="100" t="s">
        <v>411</v>
      </c>
      <c r="I430" s="100"/>
      <c r="J430" s="96" t="s">
        <v>317</v>
      </c>
      <c r="K430" s="96" t="s">
        <v>40</v>
      </c>
      <c r="L430" s="99">
        <f t="shared" si="15"/>
        <v>62000</v>
      </c>
      <c r="M430" s="98">
        <f t="shared" si="12"/>
        <v>1</v>
      </c>
      <c r="N430" s="96"/>
      <c r="O430" s="102"/>
      <c r="P430" s="97" t="s">
        <v>472</v>
      </c>
      <c r="Q430" s="96">
        <v>1</v>
      </c>
      <c r="R430" s="96"/>
      <c r="S430" s="96" t="s">
        <v>510</v>
      </c>
      <c r="T430" s="95">
        <v>62000</v>
      </c>
      <c r="U430" s="94" t="s">
        <v>509</v>
      </c>
      <c r="V430" s="302"/>
      <c r="W430" s="93"/>
      <c r="X430" s="93"/>
      <c r="Y430" s="93"/>
      <c r="Z430" s="93"/>
      <c r="AA430" s="93"/>
      <c r="AB430" s="93"/>
      <c r="AC430" s="93"/>
      <c r="AD430" s="93"/>
      <c r="AE430" s="93"/>
      <c r="AF430" s="93"/>
      <c r="AG430" s="93"/>
      <c r="AH430" s="93"/>
      <c r="AI430" s="93"/>
      <c r="AJ430" s="93"/>
      <c r="AK430" s="93"/>
      <c r="AL430" s="93"/>
      <c r="AM430" s="93"/>
      <c r="AN430" s="93"/>
      <c r="AO430" s="93"/>
      <c r="AP430" s="93"/>
      <c r="AQ430" s="93"/>
      <c r="AR430" s="93"/>
      <c r="AS430" s="93"/>
      <c r="AT430" s="93"/>
      <c r="AU430" s="93"/>
      <c r="AV430" s="93"/>
      <c r="AW430" s="93"/>
      <c r="AX430" s="93"/>
      <c r="AY430" s="93"/>
      <c r="AZ430" s="93"/>
      <c r="BA430" s="93"/>
      <c r="BB430" s="93"/>
      <c r="BC430" s="93"/>
      <c r="BD430" s="93"/>
      <c r="BE430" s="93"/>
      <c r="BF430" s="93"/>
      <c r="BG430" s="93"/>
      <c r="BH430" s="93"/>
    </row>
    <row r="431" spans="1:60" s="92" customFormat="1" ht="139.5">
      <c r="A431" s="98" t="s">
        <v>447</v>
      </c>
      <c r="B431" s="101" t="s">
        <v>447</v>
      </c>
      <c r="C431" s="103" t="s">
        <v>477</v>
      </c>
      <c r="D431" s="100" t="s">
        <v>476</v>
      </c>
      <c r="E431" s="100" t="s">
        <v>475</v>
      </c>
      <c r="F431" s="100" t="s">
        <v>474</v>
      </c>
      <c r="G431" s="100" t="s">
        <v>508</v>
      </c>
      <c r="H431" s="100" t="s">
        <v>411</v>
      </c>
      <c r="I431" s="100"/>
      <c r="J431" s="96" t="s">
        <v>317</v>
      </c>
      <c r="K431" s="96" t="s">
        <v>40</v>
      </c>
      <c r="L431" s="99">
        <f t="shared" si="15"/>
        <v>43100</v>
      </c>
      <c r="M431" s="98">
        <f t="shared" si="12"/>
        <v>1</v>
      </c>
      <c r="N431" s="96"/>
      <c r="O431" s="97" t="s">
        <v>472</v>
      </c>
      <c r="P431" s="97"/>
      <c r="Q431" s="107">
        <v>1</v>
      </c>
      <c r="R431" s="96"/>
      <c r="S431" s="96" t="s">
        <v>507</v>
      </c>
      <c r="T431" s="95">
        <v>43100</v>
      </c>
      <c r="U431" s="94" t="s">
        <v>506</v>
      </c>
      <c r="V431" s="302"/>
      <c r="W431" s="93"/>
      <c r="X431" s="93"/>
      <c r="Y431" s="93"/>
      <c r="Z431" s="93"/>
      <c r="AA431" s="93"/>
      <c r="AB431" s="93"/>
      <c r="AC431" s="93"/>
      <c r="AD431" s="93"/>
      <c r="AE431" s="93"/>
      <c r="AF431" s="93"/>
      <c r="AG431" s="93"/>
      <c r="AH431" s="93"/>
      <c r="AI431" s="93"/>
      <c r="AJ431" s="93"/>
      <c r="AK431" s="93"/>
      <c r="AL431" s="93"/>
      <c r="AM431" s="93"/>
      <c r="AN431" s="93"/>
      <c r="AO431" s="93"/>
      <c r="AP431" s="93"/>
      <c r="AQ431" s="93"/>
      <c r="AR431" s="93"/>
      <c r="AS431" s="93"/>
      <c r="AT431" s="93"/>
      <c r="AU431" s="93"/>
      <c r="AV431" s="93"/>
      <c r="AW431" s="93"/>
      <c r="AX431" s="93"/>
      <c r="AY431" s="93"/>
      <c r="AZ431" s="93"/>
      <c r="BA431" s="93"/>
      <c r="BB431" s="93"/>
      <c r="BC431" s="93"/>
      <c r="BD431" s="93"/>
      <c r="BE431" s="93"/>
      <c r="BF431" s="93"/>
      <c r="BG431" s="93"/>
      <c r="BH431" s="93"/>
    </row>
    <row r="432" spans="1:60" s="92" customFormat="1" ht="139.5">
      <c r="A432" s="98" t="s">
        <v>447</v>
      </c>
      <c r="B432" s="101" t="s">
        <v>447</v>
      </c>
      <c r="C432" s="103" t="s">
        <v>488</v>
      </c>
      <c r="D432" s="100" t="s">
        <v>476</v>
      </c>
      <c r="E432" s="100" t="s">
        <v>475</v>
      </c>
      <c r="F432" s="100" t="s">
        <v>474</v>
      </c>
      <c r="G432" s="100" t="s">
        <v>505</v>
      </c>
      <c r="H432" s="100" t="s">
        <v>43</v>
      </c>
      <c r="I432" s="100"/>
      <c r="J432" s="96" t="s">
        <v>41</v>
      </c>
      <c r="K432" s="96" t="s">
        <v>40</v>
      </c>
      <c r="L432" s="106">
        <f t="shared" si="15"/>
        <v>247400</v>
      </c>
      <c r="M432" s="98">
        <f t="shared" si="12"/>
        <v>1</v>
      </c>
      <c r="N432" s="96"/>
      <c r="O432" s="102"/>
      <c r="P432" s="97" t="s">
        <v>472</v>
      </c>
      <c r="Q432" s="96">
        <v>1</v>
      </c>
      <c r="R432" s="96"/>
      <c r="S432" s="96" t="s">
        <v>504</v>
      </c>
      <c r="T432" s="104">
        <v>247400</v>
      </c>
      <c r="U432" s="94" t="s">
        <v>503</v>
      </c>
      <c r="V432" s="302"/>
      <c r="W432" s="93"/>
      <c r="X432" s="93"/>
      <c r="Y432" s="93"/>
      <c r="Z432" s="93"/>
      <c r="AA432" s="93"/>
      <c r="AB432" s="93"/>
      <c r="AC432" s="93"/>
      <c r="AD432" s="93"/>
      <c r="AE432" s="93"/>
      <c r="AF432" s="93"/>
      <c r="AG432" s="93"/>
      <c r="AH432" s="93"/>
      <c r="AI432" s="93"/>
      <c r="AJ432" s="93"/>
      <c r="AK432" s="93"/>
      <c r="AL432" s="93"/>
      <c r="AM432" s="93"/>
      <c r="AN432" s="93"/>
      <c r="AO432" s="93"/>
      <c r="AP432" s="93"/>
      <c r="AQ432" s="93"/>
      <c r="AR432" s="93"/>
      <c r="AS432" s="93"/>
      <c r="AT432" s="93"/>
      <c r="AU432" s="93"/>
      <c r="AV432" s="93"/>
      <c r="AW432" s="93"/>
      <c r="AX432" s="93"/>
      <c r="AY432" s="93"/>
      <c r="AZ432" s="93"/>
      <c r="BA432" s="93"/>
      <c r="BB432" s="93"/>
      <c r="BC432" s="93"/>
      <c r="BD432" s="93"/>
      <c r="BE432" s="93"/>
      <c r="BF432" s="93"/>
      <c r="BG432" s="93"/>
      <c r="BH432" s="93"/>
    </row>
    <row r="433" spans="1:60" s="92" customFormat="1" ht="139.5">
      <c r="A433" s="98" t="s">
        <v>447</v>
      </c>
      <c r="B433" s="101" t="s">
        <v>447</v>
      </c>
      <c r="C433" s="100" t="s">
        <v>488</v>
      </c>
      <c r="D433" s="100" t="s">
        <v>476</v>
      </c>
      <c r="E433" s="100" t="s">
        <v>475</v>
      </c>
      <c r="F433" s="100" t="s">
        <v>474</v>
      </c>
      <c r="G433" s="103" t="s">
        <v>502</v>
      </c>
      <c r="H433" s="103" t="s">
        <v>26</v>
      </c>
      <c r="I433" s="103"/>
      <c r="J433" s="96" t="s">
        <v>22</v>
      </c>
      <c r="K433" s="96" t="s">
        <v>13</v>
      </c>
      <c r="L433" s="99">
        <f t="shared" si="15"/>
        <v>35900</v>
      </c>
      <c r="M433" s="98">
        <f t="shared" ref="M433:M455" si="16">Q433+R433</f>
        <v>1</v>
      </c>
      <c r="N433" s="96"/>
      <c r="O433" s="102"/>
      <c r="P433" s="97" t="s">
        <v>472</v>
      </c>
      <c r="Q433" s="96"/>
      <c r="R433" s="96">
        <v>1</v>
      </c>
      <c r="S433" s="96"/>
      <c r="T433" s="95">
        <v>35900</v>
      </c>
      <c r="U433" s="303" t="s">
        <v>501</v>
      </c>
      <c r="V433" s="302"/>
      <c r="W433" s="93"/>
      <c r="X433" s="93"/>
      <c r="Y433" s="93"/>
      <c r="Z433" s="93"/>
      <c r="AA433" s="93"/>
      <c r="AB433" s="93"/>
      <c r="AC433" s="93"/>
      <c r="AD433" s="93"/>
      <c r="AE433" s="93"/>
      <c r="AF433" s="93"/>
      <c r="AG433" s="93"/>
      <c r="AH433" s="93"/>
      <c r="AI433" s="93"/>
      <c r="AJ433" s="93"/>
      <c r="AK433" s="93"/>
      <c r="AL433" s="93"/>
      <c r="AM433" s="93"/>
      <c r="AN433" s="93"/>
      <c r="AO433" s="93"/>
      <c r="AP433" s="93"/>
      <c r="AQ433" s="93"/>
      <c r="AR433" s="93"/>
      <c r="AS433" s="93"/>
      <c r="AT433" s="93"/>
      <c r="AU433" s="93"/>
      <c r="AV433" s="93"/>
      <c r="AW433" s="93"/>
      <c r="AX433" s="93"/>
      <c r="AY433" s="93"/>
      <c r="AZ433" s="93"/>
      <c r="BA433" s="93"/>
      <c r="BB433" s="93"/>
      <c r="BC433" s="93"/>
      <c r="BD433" s="93"/>
      <c r="BE433" s="93"/>
      <c r="BF433" s="93"/>
      <c r="BG433" s="93"/>
      <c r="BH433" s="93"/>
    </row>
    <row r="434" spans="1:60" s="92" customFormat="1" ht="139.5">
      <c r="A434" s="98" t="s">
        <v>447</v>
      </c>
      <c r="B434" s="101" t="s">
        <v>447</v>
      </c>
      <c r="C434" s="100" t="s">
        <v>488</v>
      </c>
      <c r="D434" s="100" t="s">
        <v>476</v>
      </c>
      <c r="E434" s="100" t="s">
        <v>475</v>
      </c>
      <c r="F434" s="100" t="s">
        <v>474</v>
      </c>
      <c r="G434" s="103" t="s">
        <v>500</v>
      </c>
      <c r="H434" s="103" t="s">
        <v>26</v>
      </c>
      <c r="I434" s="103"/>
      <c r="J434" s="96" t="s">
        <v>22</v>
      </c>
      <c r="K434" s="96" t="s">
        <v>13</v>
      </c>
      <c r="L434" s="99">
        <f t="shared" si="15"/>
        <v>12900</v>
      </c>
      <c r="M434" s="98">
        <f t="shared" si="16"/>
        <v>1</v>
      </c>
      <c r="N434" s="96"/>
      <c r="O434" s="102"/>
      <c r="P434" s="97" t="s">
        <v>472</v>
      </c>
      <c r="Q434" s="96"/>
      <c r="R434" s="96">
        <v>1</v>
      </c>
      <c r="S434" s="96"/>
      <c r="T434" s="95">
        <v>12900</v>
      </c>
      <c r="U434" s="304"/>
      <c r="V434" s="302"/>
      <c r="W434" s="93"/>
      <c r="X434" s="93"/>
      <c r="Y434" s="93"/>
      <c r="Z434" s="93"/>
      <c r="AA434" s="93"/>
      <c r="AB434" s="93"/>
      <c r="AC434" s="93"/>
      <c r="AD434" s="93"/>
      <c r="AE434" s="93"/>
      <c r="AF434" s="93"/>
      <c r="AG434" s="93"/>
      <c r="AH434" s="93"/>
      <c r="AI434" s="93"/>
      <c r="AJ434" s="93"/>
      <c r="AK434" s="93"/>
      <c r="AL434" s="93"/>
      <c r="AM434" s="93"/>
      <c r="AN434" s="93"/>
      <c r="AO434" s="93"/>
      <c r="AP434" s="93"/>
      <c r="AQ434" s="93"/>
      <c r="AR434" s="93"/>
      <c r="AS434" s="93"/>
      <c r="AT434" s="93"/>
      <c r="AU434" s="93"/>
      <c r="AV434" s="93"/>
      <c r="AW434" s="93"/>
      <c r="AX434" s="93"/>
      <c r="AY434" s="93"/>
      <c r="AZ434" s="93"/>
      <c r="BA434" s="93"/>
      <c r="BB434" s="93"/>
      <c r="BC434" s="93"/>
      <c r="BD434" s="93"/>
      <c r="BE434" s="93"/>
      <c r="BF434" s="93"/>
      <c r="BG434" s="93"/>
      <c r="BH434" s="93"/>
    </row>
    <row r="435" spans="1:60" s="92" customFormat="1" ht="139.5">
      <c r="A435" s="98" t="s">
        <v>447</v>
      </c>
      <c r="B435" s="101" t="s">
        <v>447</v>
      </c>
      <c r="C435" s="100" t="s">
        <v>488</v>
      </c>
      <c r="D435" s="100" t="s">
        <v>476</v>
      </c>
      <c r="E435" s="100" t="s">
        <v>475</v>
      </c>
      <c r="F435" s="100" t="s">
        <v>474</v>
      </c>
      <c r="G435" s="103" t="s">
        <v>499</v>
      </c>
      <c r="H435" s="103" t="s">
        <v>26</v>
      </c>
      <c r="I435" s="103"/>
      <c r="J435" s="96" t="s">
        <v>22</v>
      </c>
      <c r="K435" s="96" t="s">
        <v>13</v>
      </c>
      <c r="L435" s="99">
        <f t="shared" si="15"/>
        <v>12800</v>
      </c>
      <c r="M435" s="98">
        <f t="shared" si="16"/>
        <v>4</v>
      </c>
      <c r="N435" s="96"/>
      <c r="O435" s="102"/>
      <c r="P435" s="97" t="s">
        <v>472</v>
      </c>
      <c r="Q435" s="96"/>
      <c r="R435" s="96">
        <v>4</v>
      </c>
      <c r="S435" s="96"/>
      <c r="T435" s="95">
        <v>3200</v>
      </c>
      <c r="U435" s="304"/>
      <c r="V435" s="302"/>
      <c r="W435" s="93"/>
      <c r="X435" s="93"/>
      <c r="Y435" s="93"/>
      <c r="Z435" s="93"/>
      <c r="AA435" s="93"/>
      <c r="AB435" s="93"/>
      <c r="AC435" s="93"/>
      <c r="AD435" s="93"/>
      <c r="AE435" s="93"/>
      <c r="AF435" s="93"/>
      <c r="AG435" s="93"/>
      <c r="AH435" s="93"/>
      <c r="AI435" s="93"/>
      <c r="AJ435" s="93"/>
      <c r="AK435" s="93"/>
      <c r="AL435" s="93"/>
      <c r="AM435" s="93"/>
      <c r="AN435" s="93"/>
      <c r="AO435" s="93"/>
      <c r="AP435" s="93"/>
      <c r="AQ435" s="93"/>
      <c r="AR435" s="93"/>
      <c r="AS435" s="93"/>
      <c r="AT435" s="93"/>
      <c r="AU435" s="93"/>
      <c r="AV435" s="93"/>
      <c r="AW435" s="93"/>
      <c r="AX435" s="93"/>
      <c r="AY435" s="93"/>
      <c r="AZ435" s="93"/>
      <c r="BA435" s="93"/>
      <c r="BB435" s="93"/>
      <c r="BC435" s="93"/>
      <c r="BD435" s="93"/>
      <c r="BE435" s="93"/>
      <c r="BF435" s="93"/>
      <c r="BG435" s="93"/>
      <c r="BH435" s="93"/>
    </row>
    <row r="436" spans="1:60" s="92" customFormat="1" ht="139.5">
      <c r="A436" s="98" t="s">
        <v>447</v>
      </c>
      <c r="B436" s="101" t="s">
        <v>447</v>
      </c>
      <c r="C436" s="100" t="s">
        <v>488</v>
      </c>
      <c r="D436" s="100" t="s">
        <v>476</v>
      </c>
      <c r="E436" s="100" t="s">
        <v>475</v>
      </c>
      <c r="F436" s="100" t="s">
        <v>474</v>
      </c>
      <c r="G436" s="103" t="s">
        <v>498</v>
      </c>
      <c r="H436" s="103" t="s">
        <v>26</v>
      </c>
      <c r="I436" s="103"/>
      <c r="J436" s="96" t="s">
        <v>22</v>
      </c>
      <c r="K436" s="96" t="s">
        <v>13</v>
      </c>
      <c r="L436" s="99">
        <f t="shared" si="15"/>
        <v>5980</v>
      </c>
      <c r="M436" s="98">
        <f t="shared" si="16"/>
        <v>2</v>
      </c>
      <c r="N436" s="98"/>
      <c r="O436" s="102"/>
      <c r="P436" s="97" t="s">
        <v>472</v>
      </c>
      <c r="Q436" s="98"/>
      <c r="R436" s="98">
        <v>2</v>
      </c>
      <c r="S436" s="98"/>
      <c r="T436" s="95">
        <v>2990</v>
      </c>
      <c r="U436" s="304"/>
      <c r="V436" s="302"/>
      <c r="W436" s="93"/>
      <c r="X436" s="93"/>
      <c r="Y436" s="93"/>
      <c r="Z436" s="93"/>
      <c r="AA436" s="93"/>
      <c r="AB436" s="93"/>
      <c r="AC436" s="93"/>
      <c r="AD436" s="93"/>
      <c r="AE436" s="93"/>
      <c r="AF436" s="93"/>
      <c r="AG436" s="93"/>
      <c r="AH436" s="93"/>
      <c r="AI436" s="93"/>
      <c r="AJ436" s="93"/>
      <c r="AK436" s="93"/>
      <c r="AL436" s="93"/>
      <c r="AM436" s="93"/>
      <c r="AN436" s="93"/>
      <c r="AO436" s="93"/>
      <c r="AP436" s="93"/>
      <c r="AQ436" s="93"/>
      <c r="AR436" s="93"/>
      <c r="AS436" s="93"/>
      <c r="AT436" s="93"/>
      <c r="AU436" s="93"/>
      <c r="AV436" s="93"/>
      <c r="AW436" s="93"/>
      <c r="AX436" s="93"/>
      <c r="AY436" s="93"/>
      <c r="AZ436" s="93"/>
      <c r="BA436" s="93"/>
      <c r="BB436" s="93"/>
      <c r="BC436" s="93"/>
      <c r="BD436" s="93"/>
      <c r="BE436" s="93"/>
      <c r="BF436" s="93"/>
      <c r="BG436" s="93"/>
      <c r="BH436" s="93"/>
    </row>
    <row r="437" spans="1:60" s="92" customFormat="1" ht="139.5">
      <c r="A437" s="98" t="s">
        <v>447</v>
      </c>
      <c r="B437" s="101" t="s">
        <v>447</v>
      </c>
      <c r="C437" s="100" t="s">
        <v>488</v>
      </c>
      <c r="D437" s="100" t="s">
        <v>476</v>
      </c>
      <c r="E437" s="100" t="s">
        <v>475</v>
      </c>
      <c r="F437" s="100" t="s">
        <v>474</v>
      </c>
      <c r="G437" s="103" t="s">
        <v>497</v>
      </c>
      <c r="H437" s="103" t="s">
        <v>26</v>
      </c>
      <c r="I437" s="103"/>
      <c r="J437" s="96" t="s">
        <v>22</v>
      </c>
      <c r="K437" s="96" t="s">
        <v>13</v>
      </c>
      <c r="L437" s="99">
        <f t="shared" si="15"/>
        <v>4700</v>
      </c>
      <c r="M437" s="98">
        <f t="shared" si="16"/>
        <v>1</v>
      </c>
      <c r="N437" s="96"/>
      <c r="O437" s="102"/>
      <c r="P437" s="97" t="s">
        <v>472</v>
      </c>
      <c r="Q437" s="96"/>
      <c r="R437" s="96">
        <v>1</v>
      </c>
      <c r="S437" s="96"/>
      <c r="T437" s="95">
        <v>4700</v>
      </c>
      <c r="U437" s="304"/>
      <c r="V437" s="302"/>
      <c r="W437" s="105"/>
      <c r="X437" s="93"/>
      <c r="Y437" s="93"/>
      <c r="Z437" s="93"/>
      <c r="AA437" s="93"/>
      <c r="AB437" s="93"/>
      <c r="AC437" s="93"/>
      <c r="AD437" s="93"/>
      <c r="AE437" s="93"/>
      <c r="AF437" s="93"/>
      <c r="AG437" s="93"/>
      <c r="AH437" s="93"/>
      <c r="AI437" s="93"/>
      <c r="AJ437" s="93"/>
      <c r="AK437" s="93"/>
      <c r="AL437" s="93"/>
      <c r="AM437" s="93"/>
      <c r="AN437" s="93"/>
      <c r="AO437" s="93"/>
      <c r="AP437" s="93"/>
      <c r="AQ437" s="93"/>
      <c r="AR437" s="93"/>
      <c r="AS437" s="93"/>
      <c r="AT437" s="93"/>
      <c r="AU437" s="93"/>
      <c r="AV437" s="93"/>
      <c r="AW437" s="93"/>
      <c r="AX437" s="93"/>
      <c r="AY437" s="93"/>
      <c r="AZ437" s="93"/>
      <c r="BA437" s="93"/>
      <c r="BB437" s="93"/>
      <c r="BC437" s="93"/>
      <c r="BD437" s="93"/>
      <c r="BE437" s="93"/>
      <c r="BF437" s="93"/>
      <c r="BG437" s="93"/>
      <c r="BH437" s="93"/>
    </row>
    <row r="438" spans="1:60" s="92" customFormat="1" ht="139.5">
      <c r="A438" s="98" t="s">
        <v>447</v>
      </c>
      <c r="B438" s="101" t="s">
        <v>447</v>
      </c>
      <c r="C438" s="100" t="s">
        <v>488</v>
      </c>
      <c r="D438" s="100" t="s">
        <v>476</v>
      </c>
      <c r="E438" s="100" t="s">
        <v>475</v>
      </c>
      <c r="F438" s="100" t="s">
        <v>474</v>
      </c>
      <c r="G438" s="103" t="s">
        <v>496</v>
      </c>
      <c r="H438" s="103" t="s">
        <v>26</v>
      </c>
      <c r="I438" s="103"/>
      <c r="J438" s="96" t="s">
        <v>22</v>
      </c>
      <c r="K438" s="96" t="s">
        <v>13</v>
      </c>
      <c r="L438" s="99">
        <f t="shared" si="15"/>
        <v>9900</v>
      </c>
      <c r="M438" s="98">
        <f t="shared" si="16"/>
        <v>1</v>
      </c>
      <c r="N438" s="98"/>
      <c r="O438" s="102"/>
      <c r="P438" s="97" t="s">
        <v>472</v>
      </c>
      <c r="Q438" s="98"/>
      <c r="R438" s="98">
        <v>1</v>
      </c>
      <c r="S438" s="98"/>
      <c r="T438" s="95">
        <v>9900</v>
      </c>
      <c r="U438" s="304"/>
      <c r="V438" s="302"/>
      <c r="W438" s="93"/>
      <c r="X438" s="93"/>
      <c r="Y438" s="93"/>
      <c r="Z438" s="93"/>
      <c r="AA438" s="93"/>
      <c r="AB438" s="93"/>
      <c r="AC438" s="93"/>
      <c r="AD438" s="93"/>
      <c r="AE438" s="93"/>
      <c r="AF438" s="93"/>
      <c r="AG438" s="93"/>
      <c r="AH438" s="93"/>
      <c r="AI438" s="93"/>
      <c r="AJ438" s="93"/>
      <c r="AK438" s="93"/>
      <c r="AL438" s="93"/>
      <c r="AM438" s="93"/>
      <c r="AN438" s="93"/>
      <c r="AO438" s="93"/>
      <c r="AP438" s="93"/>
      <c r="AQ438" s="93"/>
      <c r="AR438" s="93"/>
      <c r="AS438" s="93"/>
      <c r="AT438" s="93"/>
      <c r="AU438" s="93"/>
      <c r="AV438" s="93"/>
      <c r="AW438" s="93"/>
      <c r="AX438" s="93"/>
      <c r="AY438" s="93"/>
      <c r="AZ438" s="93"/>
      <c r="BA438" s="93"/>
      <c r="BB438" s="93"/>
      <c r="BC438" s="93"/>
      <c r="BD438" s="93"/>
      <c r="BE438" s="93"/>
      <c r="BF438" s="93"/>
      <c r="BG438" s="93"/>
      <c r="BH438" s="93"/>
    </row>
    <row r="439" spans="1:60" s="92" customFormat="1" ht="139.5">
      <c r="A439" s="98" t="s">
        <v>447</v>
      </c>
      <c r="B439" s="101" t="s">
        <v>447</v>
      </c>
      <c r="C439" s="100" t="s">
        <v>488</v>
      </c>
      <c r="D439" s="100" t="s">
        <v>476</v>
      </c>
      <c r="E439" s="100" t="s">
        <v>475</v>
      </c>
      <c r="F439" s="100" t="s">
        <v>474</v>
      </c>
      <c r="G439" s="103" t="s">
        <v>495</v>
      </c>
      <c r="H439" s="103" t="s">
        <v>26</v>
      </c>
      <c r="I439" s="103"/>
      <c r="J439" s="96" t="s">
        <v>22</v>
      </c>
      <c r="K439" s="96" t="s">
        <v>13</v>
      </c>
      <c r="L439" s="99">
        <f t="shared" si="15"/>
        <v>27900</v>
      </c>
      <c r="M439" s="98">
        <f t="shared" si="16"/>
        <v>1</v>
      </c>
      <c r="N439" s="96"/>
      <c r="O439" s="102"/>
      <c r="P439" s="97" t="s">
        <v>472</v>
      </c>
      <c r="Q439" s="96"/>
      <c r="R439" s="96">
        <v>1</v>
      </c>
      <c r="S439" s="96"/>
      <c r="T439" s="95">
        <v>27900</v>
      </c>
      <c r="U439" s="304"/>
      <c r="V439" s="302"/>
      <c r="W439" s="93"/>
      <c r="X439" s="93"/>
      <c r="Y439" s="93"/>
      <c r="Z439" s="93"/>
      <c r="AA439" s="93"/>
      <c r="AB439" s="93"/>
      <c r="AC439" s="93"/>
      <c r="AD439" s="93"/>
      <c r="AE439" s="93"/>
      <c r="AF439" s="93"/>
      <c r="AG439" s="93"/>
      <c r="AH439" s="93"/>
      <c r="AI439" s="93"/>
      <c r="AJ439" s="93"/>
      <c r="AK439" s="93"/>
      <c r="AL439" s="93"/>
      <c r="AM439" s="93"/>
      <c r="AN439" s="93"/>
      <c r="AO439" s="93"/>
      <c r="AP439" s="93"/>
      <c r="AQ439" s="93"/>
      <c r="AR439" s="93"/>
      <c r="AS439" s="93"/>
      <c r="AT439" s="93"/>
      <c r="AU439" s="93"/>
      <c r="AV439" s="93"/>
      <c r="AW439" s="93"/>
      <c r="AX439" s="93"/>
      <c r="AY439" s="93"/>
      <c r="AZ439" s="93"/>
      <c r="BA439" s="93"/>
      <c r="BB439" s="93"/>
      <c r="BC439" s="93"/>
      <c r="BD439" s="93"/>
      <c r="BE439" s="93"/>
      <c r="BF439" s="93"/>
      <c r="BG439" s="93"/>
      <c r="BH439" s="93"/>
    </row>
    <row r="440" spans="1:60" s="92" customFormat="1" ht="139.5">
      <c r="A440" s="98" t="s">
        <v>447</v>
      </c>
      <c r="B440" s="101" t="s">
        <v>447</v>
      </c>
      <c r="C440" s="100" t="s">
        <v>488</v>
      </c>
      <c r="D440" s="100" t="s">
        <v>476</v>
      </c>
      <c r="E440" s="100" t="s">
        <v>475</v>
      </c>
      <c r="F440" s="100" t="s">
        <v>474</v>
      </c>
      <c r="G440" s="103" t="s">
        <v>494</v>
      </c>
      <c r="H440" s="103" t="s">
        <v>26</v>
      </c>
      <c r="I440" s="103"/>
      <c r="J440" s="96" t="s">
        <v>22</v>
      </c>
      <c r="K440" s="96" t="s">
        <v>13</v>
      </c>
      <c r="L440" s="99">
        <f t="shared" si="15"/>
        <v>350</v>
      </c>
      <c r="M440" s="98">
        <f t="shared" si="16"/>
        <v>1</v>
      </c>
      <c r="N440" s="96"/>
      <c r="O440" s="102"/>
      <c r="P440" s="97" t="s">
        <v>472</v>
      </c>
      <c r="Q440" s="96"/>
      <c r="R440" s="96">
        <v>1</v>
      </c>
      <c r="S440" s="96"/>
      <c r="T440" s="95">
        <v>350</v>
      </c>
      <c r="U440" s="304"/>
      <c r="V440" s="302"/>
      <c r="W440" s="93"/>
      <c r="X440" s="93"/>
      <c r="Y440" s="93"/>
      <c r="Z440" s="93"/>
      <c r="AA440" s="93"/>
      <c r="AB440" s="93"/>
      <c r="AC440" s="93"/>
      <c r="AD440" s="93"/>
      <c r="AE440" s="93"/>
      <c r="AF440" s="93"/>
      <c r="AG440" s="93"/>
      <c r="AH440" s="93"/>
      <c r="AI440" s="93"/>
      <c r="AJ440" s="93"/>
      <c r="AK440" s="93"/>
      <c r="AL440" s="93"/>
      <c r="AM440" s="93"/>
      <c r="AN440" s="93"/>
      <c r="AO440" s="93"/>
      <c r="AP440" s="93"/>
      <c r="AQ440" s="93"/>
      <c r="AR440" s="93"/>
      <c r="AS440" s="93"/>
      <c r="AT440" s="93"/>
      <c r="AU440" s="93"/>
      <c r="AV440" s="93"/>
      <c r="AW440" s="93"/>
      <c r="AX440" s="93"/>
      <c r="AY440" s="93"/>
      <c r="AZ440" s="93"/>
      <c r="BA440" s="93"/>
      <c r="BB440" s="93"/>
      <c r="BC440" s="93"/>
      <c r="BD440" s="93"/>
      <c r="BE440" s="93"/>
      <c r="BF440" s="93"/>
      <c r="BG440" s="93"/>
      <c r="BH440" s="93"/>
    </row>
    <row r="441" spans="1:60" s="92" customFormat="1" ht="139.5">
      <c r="A441" s="98" t="s">
        <v>447</v>
      </c>
      <c r="B441" s="101" t="s">
        <v>447</v>
      </c>
      <c r="C441" s="100" t="s">
        <v>488</v>
      </c>
      <c r="D441" s="100" t="s">
        <v>476</v>
      </c>
      <c r="E441" s="100" t="s">
        <v>475</v>
      </c>
      <c r="F441" s="100" t="s">
        <v>474</v>
      </c>
      <c r="G441" s="103" t="s">
        <v>493</v>
      </c>
      <c r="H441" s="103" t="s">
        <v>26</v>
      </c>
      <c r="I441" s="103"/>
      <c r="J441" s="96" t="s">
        <v>22</v>
      </c>
      <c r="K441" s="96" t="s">
        <v>13</v>
      </c>
      <c r="L441" s="99">
        <f t="shared" si="15"/>
        <v>23900</v>
      </c>
      <c r="M441" s="98">
        <f t="shared" si="16"/>
        <v>1</v>
      </c>
      <c r="N441" s="96"/>
      <c r="O441" s="102"/>
      <c r="P441" s="97" t="s">
        <v>472</v>
      </c>
      <c r="Q441" s="96"/>
      <c r="R441" s="96">
        <v>1</v>
      </c>
      <c r="S441" s="96"/>
      <c r="T441" s="95">
        <v>23900</v>
      </c>
      <c r="U441" s="304"/>
      <c r="V441" s="302"/>
      <c r="W441" s="93"/>
      <c r="X441" s="93"/>
      <c r="Y441" s="93"/>
      <c r="Z441" s="93"/>
      <c r="AA441" s="93"/>
      <c r="AB441" s="93"/>
      <c r="AC441" s="93"/>
      <c r="AD441" s="93"/>
      <c r="AE441" s="93"/>
      <c r="AF441" s="93"/>
      <c r="AG441" s="93"/>
      <c r="AH441" s="93"/>
      <c r="AI441" s="93"/>
      <c r="AJ441" s="93"/>
      <c r="AK441" s="93"/>
      <c r="AL441" s="93"/>
      <c r="AM441" s="93"/>
      <c r="AN441" s="93"/>
      <c r="AO441" s="93"/>
      <c r="AP441" s="93"/>
      <c r="AQ441" s="93"/>
      <c r="AR441" s="93"/>
      <c r="AS441" s="93"/>
      <c r="AT441" s="93"/>
      <c r="AU441" s="93"/>
      <c r="AV441" s="93"/>
      <c r="AW441" s="93"/>
      <c r="AX441" s="93"/>
      <c r="AY441" s="93"/>
      <c r="AZ441" s="93"/>
      <c r="BA441" s="93"/>
      <c r="BB441" s="93"/>
      <c r="BC441" s="93"/>
      <c r="BD441" s="93"/>
      <c r="BE441" s="93"/>
      <c r="BF441" s="93"/>
      <c r="BG441" s="93"/>
      <c r="BH441" s="93"/>
    </row>
    <row r="442" spans="1:60" s="92" customFormat="1" ht="139.5">
      <c r="A442" s="98" t="s">
        <v>447</v>
      </c>
      <c r="B442" s="101" t="s">
        <v>447</v>
      </c>
      <c r="C442" s="100" t="s">
        <v>488</v>
      </c>
      <c r="D442" s="100" t="s">
        <v>476</v>
      </c>
      <c r="E442" s="100" t="s">
        <v>475</v>
      </c>
      <c r="F442" s="100" t="s">
        <v>474</v>
      </c>
      <c r="G442" s="103" t="s">
        <v>492</v>
      </c>
      <c r="H442" s="103" t="s">
        <v>26</v>
      </c>
      <c r="I442" s="103"/>
      <c r="J442" s="96" t="s">
        <v>22</v>
      </c>
      <c r="K442" s="96" t="s">
        <v>13</v>
      </c>
      <c r="L442" s="99">
        <f t="shared" si="15"/>
        <v>458000</v>
      </c>
      <c r="M442" s="98">
        <f t="shared" si="16"/>
        <v>20</v>
      </c>
      <c r="N442" s="96"/>
      <c r="O442" s="102"/>
      <c r="P442" s="97" t="s">
        <v>472</v>
      </c>
      <c r="Q442" s="96"/>
      <c r="R442" s="96">
        <v>20</v>
      </c>
      <c r="S442" s="96"/>
      <c r="T442" s="104">
        <v>22900</v>
      </c>
      <c r="U442" s="304"/>
      <c r="V442" s="93"/>
      <c r="W442" s="93"/>
      <c r="X442" s="93"/>
      <c r="Y442" s="93"/>
      <c r="Z442" s="93"/>
      <c r="AA442" s="93"/>
      <c r="AB442" s="93"/>
      <c r="AC442" s="93"/>
      <c r="AD442" s="93"/>
      <c r="AE442" s="93"/>
      <c r="AF442" s="93"/>
      <c r="AG442" s="93"/>
      <c r="AH442" s="93"/>
      <c r="AI442" s="93"/>
      <c r="AJ442" s="93"/>
      <c r="AK442" s="93"/>
      <c r="AL442" s="93"/>
      <c r="AM442" s="93"/>
      <c r="AN442" s="93"/>
      <c r="AO442" s="93"/>
      <c r="AP442" s="93"/>
      <c r="AQ442" s="93"/>
      <c r="AR442" s="93"/>
      <c r="AS442" s="93"/>
      <c r="AT442" s="93"/>
      <c r="AU442" s="93"/>
      <c r="AV442" s="93"/>
      <c r="AW442" s="93"/>
      <c r="AX442" s="93"/>
      <c r="AY442" s="93"/>
      <c r="AZ442" s="93"/>
      <c r="BA442" s="93"/>
      <c r="BB442" s="93"/>
      <c r="BC442" s="93"/>
      <c r="BD442" s="93"/>
      <c r="BE442" s="93"/>
      <c r="BF442" s="93"/>
      <c r="BG442" s="93"/>
      <c r="BH442" s="93"/>
    </row>
    <row r="443" spans="1:60" s="92" customFormat="1" ht="139.5">
      <c r="A443" s="98"/>
      <c r="B443" s="101" t="s">
        <v>447</v>
      </c>
      <c r="C443" s="100" t="s">
        <v>488</v>
      </c>
      <c r="D443" s="100" t="s">
        <v>476</v>
      </c>
      <c r="E443" s="100" t="s">
        <v>475</v>
      </c>
      <c r="F443" s="100" t="s">
        <v>474</v>
      </c>
      <c r="G443" s="103" t="s">
        <v>491</v>
      </c>
      <c r="H443" s="103" t="s">
        <v>26</v>
      </c>
      <c r="I443" s="103"/>
      <c r="J443" s="96" t="s">
        <v>22</v>
      </c>
      <c r="K443" s="96" t="s">
        <v>13</v>
      </c>
      <c r="L443" s="99">
        <f t="shared" si="15"/>
        <v>99900</v>
      </c>
      <c r="M443" s="98">
        <f t="shared" si="16"/>
        <v>1</v>
      </c>
      <c r="N443" s="98"/>
      <c r="O443" s="102"/>
      <c r="P443" s="97" t="s">
        <v>472</v>
      </c>
      <c r="Q443" s="98"/>
      <c r="R443" s="98">
        <v>1</v>
      </c>
      <c r="S443" s="98"/>
      <c r="T443" s="95">
        <v>99900</v>
      </c>
      <c r="U443" s="304"/>
      <c r="V443" s="93"/>
      <c r="W443" s="93"/>
      <c r="X443" s="93"/>
      <c r="Y443" s="93"/>
      <c r="Z443" s="93"/>
      <c r="AA443" s="93"/>
      <c r="AB443" s="93"/>
      <c r="AC443" s="93"/>
      <c r="AD443" s="93"/>
      <c r="AE443" s="93"/>
      <c r="AF443" s="93"/>
      <c r="AG443" s="93"/>
      <c r="AH443" s="93"/>
      <c r="AI443" s="93"/>
      <c r="AJ443" s="93"/>
      <c r="AK443" s="93"/>
      <c r="AL443" s="93"/>
      <c r="AM443" s="93"/>
      <c r="AN443" s="93"/>
      <c r="AO443" s="93"/>
      <c r="AP443" s="93"/>
      <c r="AQ443" s="93"/>
      <c r="AR443" s="93"/>
      <c r="AS443" s="93"/>
      <c r="AT443" s="93"/>
      <c r="AU443" s="93"/>
      <c r="AV443" s="93"/>
      <c r="AW443" s="93"/>
      <c r="AX443" s="93"/>
      <c r="AY443" s="93"/>
      <c r="AZ443" s="93"/>
      <c r="BA443" s="93"/>
      <c r="BB443" s="93"/>
      <c r="BC443" s="93"/>
      <c r="BD443" s="93"/>
      <c r="BE443" s="93"/>
      <c r="BF443" s="93"/>
      <c r="BG443" s="93"/>
      <c r="BH443" s="93"/>
    </row>
    <row r="444" spans="1:60" s="92" customFormat="1" ht="139.5">
      <c r="A444" s="98" t="s">
        <v>447</v>
      </c>
      <c r="B444" s="101" t="s">
        <v>447</v>
      </c>
      <c r="C444" s="100" t="s">
        <v>488</v>
      </c>
      <c r="D444" s="100" t="s">
        <v>476</v>
      </c>
      <c r="E444" s="100" t="s">
        <v>475</v>
      </c>
      <c r="F444" s="100" t="s">
        <v>474</v>
      </c>
      <c r="G444" s="103" t="s">
        <v>490</v>
      </c>
      <c r="H444" s="103" t="s">
        <v>26</v>
      </c>
      <c r="I444" s="103"/>
      <c r="J444" s="96" t="s">
        <v>22</v>
      </c>
      <c r="K444" s="96" t="s">
        <v>13</v>
      </c>
      <c r="L444" s="99">
        <f t="shared" si="15"/>
        <v>24000</v>
      </c>
      <c r="M444" s="98">
        <f t="shared" si="16"/>
        <v>1</v>
      </c>
      <c r="N444" s="98"/>
      <c r="O444" s="102"/>
      <c r="P444" s="97" t="s">
        <v>472</v>
      </c>
      <c r="Q444" s="98"/>
      <c r="R444" s="98">
        <v>1</v>
      </c>
      <c r="S444" s="98"/>
      <c r="T444" s="95">
        <v>24000</v>
      </c>
      <c r="U444" s="304"/>
      <c r="V444" s="93"/>
      <c r="W444" s="93"/>
      <c r="X444" s="93"/>
      <c r="Y444" s="93"/>
      <c r="Z444" s="93"/>
      <c r="AA444" s="93"/>
      <c r="AB444" s="93"/>
      <c r="AC444" s="93"/>
      <c r="AD444" s="93"/>
      <c r="AE444" s="93"/>
      <c r="AF444" s="93"/>
      <c r="AG444" s="93"/>
      <c r="AH444" s="93"/>
      <c r="AI444" s="93"/>
      <c r="AJ444" s="93"/>
      <c r="AK444" s="93"/>
      <c r="AL444" s="93"/>
      <c r="AM444" s="93"/>
      <c r="AN444" s="93"/>
      <c r="AO444" s="93"/>
      <c r="AP444" s="93"/>
      <c r="AQ444" s="93"/>
      <c r="AR444" s="93"/>
      <c r="AS444" s="93"/>
      <c r="AT444" s="93"/>
      <c r="AU444" s="93"/>
      <c r="AV444" s="93"/>
      <c r="AW444" s="93"/>
      <c r="AX444" s="93"/>
      <c r="AY444" s="93"/>
      <c r="AZ444" s="93"/>
      <c r="BA444" s="93"/>
      <c r="BB444" s="93"/>
      <c r="BC444" s="93"/>
      <c r="BD444" s="93"/>
      <c r="BE444" s="93"/>
      <c r="BF444" s="93"/>
      <c r="BG444" s="93"/>
      <c r="BH444" s="93"/>
    </row>
    <row r="445" spans="1:60" s="92" customFormat="1" ht="139.5">
      <c r="A445" s="98" t="s">
        <v>447</v>
      </c>
      <c r="B445" s="101" t="s">
        <v>447</v>
      </c>
      <c r="C445" s="100" t="s">
        <v>488</v>
      </c>
      <c r="D445" s="100" t="s">
        <v>476</v>
      </c>
      <c r="E445" s="100" t="s">
        <v>475</v>
      </c>
      <c r="F445" s="100" t="s">
        <v>474</v>
      </c>
      <c r="G445" s="103" t="s">
        <v>489</v>
      </c>
      <c r="H445" s="103" t="s">
        <v>26</v>
      </c>
      <c r="I445" s="103"/>
      <c r="J445" s="96" t="s">
        <v>22</v>
      </c>
      <c r="K445" s="96" t="s">
        <v>13</v>
      </c>
      <c r="L445" s="99">
        <f t="shared" si="15"/>
        <v>20930</v>
      </c>
      <c r="M445" s="98">
        <f t="shared" si="16"/>
        <v>7</v>
      </c>
      <c r="N445" s="98"/>
      <c r="O445" s="102"/>
      <c r="P445" s="97" t="s">
        <v>472</v>
      </c>
      <c r="Q445" s="98"/>
      <c r="R445" s="98">
        <v>7</v>
      </c>
      <c r="S445" s="98"/>
      <c r="T445" s="95">
        <v>2990</v>
      </c>
      <c r="U445" s="304"/>
      <c r="V445" s="93"/>
      <c r="W445" s="93"/>
      <c r="X445" s="93"/>
      <c r="Y445" s="93"/>
      <c r="Z445" s="93"/>
      <c r="AA445" s="93"/>
      <c r="AB445" s="93"/>
      <c r="AC445" s="93"/>
      <c r="AD445" s="93"/>
      <c r="AE445" s="93"/>
      <c r="AF445" s="93"/>
      <c r="AG445" s="93"/>
      <c r="AH445" s="93"/>
      <c r="AI445" s="93"/>
      <c r="AJ445" s="93"/>
      <c r="AK445" s="93"/>
      <c r="AL445" s="93"/>
      <c r="AM445" s="93"/>
      <c r="AN445" s="93"/>
      <c r="AO445" s="93"/>
      <c r="AP445" s="93"/>
      <c r="AQ445" s="93"/>
      <c r="AR445" s="93"/>
      <c r="AS445" s="93"/>
      <c r="AT445" s="93"/>
      <c r="AU445" s="93"/>
      <c r="AV445" s="93"/>
      <c r="AW445" s="93"/>
      <c r="AX445" s="93"/>
      <c r="AY445" s="93"/>
      <c r="AZ445" s="93"/>
      <c r="BA445" s="93"/>
      <c r="BB445" s="93"/>
      <c r="BC445" s="93"/>
      <c r="BD445" s="93"/>
      <c r="BE445" s="93"/>
      <c r="BF445" s="93"/>
      <c r="BG445" s="93"/>
      <c r="BH445" s="93"/>
    </row>
    <row r="446" spans="1:60" s="92" customFormat="1" ht="139.5">
      <c r="A446" s="98" t="s">
        <v>447</v>
      </c>
      <c r="B446" s="101" t="s">
        <v>447</v>
      </c>
      <c r="C446" s="100" t="s">
        <v>488</v>
      </c>
      <c r="D446" s="100" t="s">
        <v>476</v>
      </c>
      <c r="E446" s="100" t="s">
        <v>475</v>
      </c>
      <c r="F446" s="100" t="s">
        <v>474</v>
      </c>
      <c r="G446" s="103" t="s">
        <v>487</v>
      </c>
      <c r="H446" s="103" t="s">
        <v>26</v>
      </c>
      <c r="I446" s="103"/>
      <c r="J446" s="96" t="s">
        <v>22</v>
      </c>
      <c r="K446" s="96" t="s">
        <v>13</v>
      </c>
      <c r="L446" s="99">
        <f t="shared" si="15"/>
        <v>11340</v>
      </c>
      <c r="M446" s="98">
        <f t="shared" si="16"/>
        <v>6</v>
      </c>
      <c r="N446" s="98"/>
      <c r="O446" s="102"/>
      <c r="P446" s="97" t="s">
        <v>472</v>
      </c>
      <c r="Q446" s="98"/>
      <c r="R446" s="98">
        <v>6</v>
      </c>
      <c r="S446" s="98"/>
      <c r="T446" s="95">
        <v>1890</v>
      </c>
      <c r="U446" s="304"/>
      <c r="V446" s="93"/>
      <c r="W446" s="93"/>
      <c r="X446" s="93"/>
      <c r="Y446" s="93"/>
      <c r="Z446" s="93"/>
      <c r="AA446" s="93"/>
      <c r="AB446" s="93"/>
      <c r="AC446" s="93"/>
      <c r="AD446" s="93"/>
      <c r="AE446" s="93"/>
      <c r="AF446" s="93"/>
      <c r="AG446" s="93"/>
      <c r="AH446" s="93"/>
      <c r="AI446" s="93"/>
      <c r="AJ446" s="93"/>
      <c r="AK446" s="93"/>
      <c r="AL446" s="93"/>
      <c r="AM446" s="93"/>
      <c r="AN446" s="93"/>
      <c r="AO446" s="93"/>
      <c r="AP446" s="93"/>
      <c r="AQ446" s="93"/>
      <c r="AR446" s="93"/>
      <c r="AS446" s="93"/>
      <c r="AT446" s="93"/>
      <c r="AU446" s="93"/>
      <c r="AV446" s="93"/>
      <c r="AW446" s="93"/>
      <c r="AX446" s="93"/>
      <c r="AY446" s="93"/>
      <c r="AZ446" s="93"/>
      <c r="BA446" s="93"/>
      <c r="BB446" s="93"/>
      <c r="BC446" s="93"/>
      <c r="BD446" s="93"/>
      <c r="BE446" s="93"/>
      <c r="BF446" s="93"/>
      <c r="BG446" s="93"/>
      <c r="BH446" s="93"/>
    </row>
    <row r="447" spans="1:60" s="92" customFormat="1" ht="139.5">
      <c r="A447" s="98" t="s">
        <v>447</v>
      </c>
      <c r="B447" s="101" t="s">
        <v>447</v>
      </c>
      <c r="C447" s="100" t="s">
        <v>477</v>
      </c>
      <c r="D447" s="100" t="s">
        <v>476</v>
      </c>
      <c r="E447" s="100" t="s">
        <v>475</v>
      </c>
      <c r="F447" s="100" t="s">
        <v>474</v>
      </c>
      <c r="G447" s="103" t="s">
        <v>486</v>
      </c>
      <c r="H447" s="103" t="s">
        <v>26</v>
      </c>
      <c r="I447" s="103"/>
      <c r="J447" s="96" t="s">
        <v>22</v>
      </c>
      <c r="K447" s="96" t="s">
        <v>13</v>
      </c>
      <c r="L447" s="99">
        <f t="shared" si="15"/>
        <v>43800</v>
      </c>
      <c r="M447" s="98">
        <f t="shared" si="16"/>
        <v>2</v>
      </c>
      <c r="N447" s="96"/>
      <c r="O447" s="102"/>
      <c r="P447" s="97" t="s">
        <v>472</v>
      </c>
      <c r="Q447" s="96"/>
      <c r="R447" s="96">
        <v>2</v>
      </c>
      <c r="S447" s="96"/>
      <c r="T447" s="95">
        <v>21900</v>
      </c>
      <c r="U447" s="304"/>
      <c r="V447" s="93"/>
      <c r="W447" s="93"/>
      <c r="X447" s="93"/>
      <c r="Y447" s="93"/>
      <c r="Z447" s="93"/>
      <c r="AA447" s="93"/>
      <c r="AB447" s="93"/>
      <c r="AC447" s="93"/>
      <c r="AD447" s="93"/>
      <c r="AE447" s="93"/>
      <c r="AF447" s="93"/>
      <c r="AG447" s="93"/>
      <c r="AH447" s="93"/>
      <c r="AI447" s="93"/>
      <c r="AJ447" s="93"/>
      <c r="AK447" s="93"/>
      <c r="AL447" s="93"/>
      <c r="AM447" s="93"/>
      <c r="AN447" s="93"/>
      <c r="AO447" s="93"/>
      <c r="AP447" s="93"/>
      <c r="AQ447" s="93"/>
      <c r="AR447" s="93"/>
      <c r="AS447" s="93"/>
      <c r="AT447" s="93"/>
      <c r="AU447" s="93"/>
      <c r="AV447" s="93"/>
      <c r="AW447" s="93"/>
      <c r="AX447" s="93"/>
      <c r="AY447" s="93"/>
      <c r="AZ447" s="93"/>
      <c r="BA447" s="93"/>
      <c r="BB447" s="93"/>
      <c r="BC447" s="93"/>
      <c r="BD447" s="93"/>
      <c r="BE447" s="93"/>
      <c r="BF447" s="93"/>
      <c r="BG447" s="93"/>
      <c r="BH447" s="93"/>
    </row>
    <row r="448" spans="1:60" s="92" customFormat="1" ht="139.5">
      <c r="A448" s="98" t="s">
        <v>447</v>
      </c>
      <c r="B448" s="101" t="s">
        <v>447</v>
      </c>
      <c r="C448" s="100" t="s">
        <v>477</v>
      </c>
      <c r="D448" s="100" t="s">
        <v>476</v>
      </c>
      <c r="E448" s="100" t="s">
        <v>475</v>
      </c>
      <c r="F448" s="100" t="s">
        <v>474</v>
      </c>
      <c r="G448" s="103" t="s">
        <v>485</v>
      </c>
      <c r="H448" s="103" t="s">
        <v>26</v>
      </c>
      <c r="I448" s="103"/>
      <c r="J448" s="96" t="s">
        <v>22</v>
      </c>
      <c r="K448" s="96" t="s">
        <v>13</v>
      </c>
      <c r="L448" s="99">
        <f t="shared" si="15"/>
        <v>20000</v>
      </c>
      <c r="M448" s="98">
        <f t="shared" si="16"/>
        <v>2</v>
      </c>
      <c r="N448" s="98"/>
      <c r="O448" s="102"/>
      <c r="P448" s="97" t="s">
        <v>472</v>
      </c>
      <c r="Q448" s="98"/>
      <c r="R448" s="98">
        <v>2</v>
      </c>
      <c r="S448" s="98"/>
      <c r="T448" s="95">
        <v>10000</v>
      </c>
      <c r="U448" s="304"/>
      <c r="V448" s="93"/>
      <c r="W448" s="93"/>
      <c r="X448" s="93"/>
      <c r="Y448" s="93"/>
      <c r="Z448" s="93"/>
      <c r="AA448" s="93"/>
      <c r="AB448" s="93"/>
      <c r="AC448" s="93"/>
      <c r="AD448" s="93"/>
      <c r="AE448" s="93"/>
      <c r="AF448" s="93"/>
      <c r="AG448" s="93"/>
      <c r="AH448" s="93"/>
      <c r="AI448" s="93"/>
      <c r="AJ448" s="93"/>
      <c r="AK448" s="93"/>
      <c r="AL448" s="93"/>
      <c r="AM448" s="93"/>
      <c r="AN448" s="93"/>
      <c r="AO448" s="93"/>
      <c r="AP448" s="93"/>
      <c r="AQ448" s="93"/>
      <c r="AR448" s="93"/>
      <c r="AS448" s="93"/>
      <c r="AT448" s="93"/>
      <c r="AU448" s="93"/>
      <c r="AV448" s="93"/>
      <c r="AW448" s="93"/>
      <c r="AX448" s="93"/>
      <c r="AY448" s="93"/>
      <c r="AZ448" s="93"/>
      <c r="BA448" s="93"/>
      <c r="BB448" s="93"/>
      <c r="BC448" s="93"/>
      <c r="BD448" s="93"/>
      <c r="BE448" s="93"/>
      <c r="BF448" s="93"/>
      <c r="BG448" s="93"/>
      <c r="BH448" s="93"/>
    </row>
    <row r="449" spans="1:60" s="92" customFormat="1" ht="139.5">
      <c r="A449" s="98" t="s">
        <v>447</v>
      </c>
      <c r="B449" s="101" t="s">
        <v>447</v>
      </c>
      <c r="C449" s="100" t="s">
        <v>479</v>
      </c>
      <c r="D449" s="100" t="s">
        <v>476</v>
      </c>
      <c r="E449" s="100" t="s">
        <v>475</v>
      </c>
      <c r="F449" s="100" t="s">
        <v>474</v>
      </c>
      <c r="G449" s="103" t="s">
        <v>484</v>
      </c>
      <c r="H449" s="103" t="s">
        <v>26</v>
      </c>
      <c r="I449" s="103"/>
      <c r="J449" s="96" t="s">
        <v>22</v>
      </c>
      <c r="K449" s="96" t="s">
        <v>13</v>
      </c>
      <c r="L449" s="99">
        <f t="shared" si="15"/>
        <v>26900</v>
      </c>
      <c r="M449" s="98">
        <f t="shared" si="16"/>
        <v>1</v>
      </c>
      <c r="N449" s="96"/>
      <c r="O449" s="102"/>
      <c r="P449" s="97" t="s">
        <v>472</v>
      </c>
      <c r="Q449" s="96"/>
      <c r="R449" s="96">
        <v>1</v>
      </c>
      <c r="S449" s="96"/>
      <c r="T449" s="95">
        <v>26900</v>
      </c>
      <c r="U449" s="304"/>
      <c r="V449" s="93"/>
      <c r="W449" s="93"/>
      <c r="X449" s="93"/>
      <c r="Y449" s="93"/>
      <c r="Z449" s="93"/>
      <c r="AA449" s="93"/>
      <c r="AB449" s="93"/>
      <c r="AC449" s="93"/>
      <c r="AD449" s="93"/>
      <c r="AE449" s="93"/>
      <c r="AF449" s="93"/>
      <c r="AG449" s="93"/>
      <c r="AH449" s="93"/>
      <c r="AI449" s="93"/>
      <c r="AJ449" s="93"/>
      <c r="AK449" s="93"/>
      <c r="AL449" s="93"/>
      <c r="AM449" s="93"/>
      <c r="AN449" s="93"/>
      <c r="AO449" s="93"/>
      <c r="AP449" s="93"/>
      <c r="AQ449" s="93"/>
      <c r="AR449" s="93"/>
      <c r="AS449" s="93"/>
      <c r="AT449" s="93"/>
      <c r="AU449" s="93"/>
      <c r="AV449" s="93"/>
      <c r="AW449" s="93"/>
      <c r="AX449" s="93"/>
      <c r="AY449" s="93"/>
      <c r="AZ449" s="93"/>
      <c r="BA449" s="93"/>
      <c r="BB449" s="93"/>
      <c r="BC449" s="93"/>
      <c r="BD449" s="93"/>
      <c r="BE449" s="93"/>
      <c r="BF449" s="93"/>
      <c r="BG449" s="93"/>
      <c r="BH449" s="93"/>
    </row>
    <row r="450" spans="1:60" s="92" customFormat="1" ht="139.5">
      <c r="A450" s="98" t="s">
        <v>447</v>
      </c>
      <c r="B450" s="101" t="s">
        <v>447</v>
      </c>
      <c r="C450" s="100" t="s">
        <v>479</v>
      </c>
      <c r="D450" s="100" t="s">
        <v>476</v>
      </c>
      <c r="E450" s="100" t="s">
        <v>475</v>
      </c>
      <c r="F450" s="100" t="s">
        <v>474</v>
      </c>
      <c r="G450" s="103" t="s">
        <v>483</v>
      </c>
      <c r="H450" s="103" t="s">
        <v>26</v>
      </c>
      <c r="I450" s="103"/>
      <c r="J450" s="96" t="s">
        <v>22</v>
      </c>
      <c r="K450" s="96" t="s">
        <v>13</v>
      </c>
      <c r="L450" s="99">
        <f t="shared" si="15"/>
        <v>43890</v>
      </c>
      <c r="M450" s="98">
        <f t="shared" si="16"/>
        <v>11</v>
      </c>
      <c r="N450" s="98"/>
      <c r="O450" s="102"/>
      <c r="P450" s="97" t="s">
        <v>472</v>
      </c>
      <c r="Q450" s="98"/>
      <c r="R450" s="98">
        <v>11</v>
      </c>
      <c r="S450" s="98"/>
      <c r="T450" s="95">
        <v>3990</v>
      </c>
      <c r="U450" s="304"/>
      <c r="V450" s="93"/>
      <c r="W450" s="93"/>
      <c r="X450" s="93"/>
      <c r="Y450" s="93"/>
      <c r="Z450" s="93"/>
      <c r="AA450" s="93"/>
      <c r="AB450" s="93"/>
      <c r="AC450" s="93"/>
      <c r="AD450" s="93"/>
      <c r="AE450" s="93"/>
      <c r="AF450" s="93"/>
      <c r="AG450" s="93"/>
      <c r="AH450" s="93"/>
      <c r="AI450" s="93"/>
      <c r="AJ450" s="93"/>
      <c r="AK450" s="93"/>
      <c r="AL450" s="93"/>
      <c r="AM450" s="93"/>
      <c r="AN450" s="93"/>
      <c r="AO450" s="93"/>
      <c r="AP450" s="93"/>
      <c r="AQ450" s="93"/>
      <c r="AR450" s="93"/>
      <c r="AS450" s="93"/>
      <c r="AT450" s="93"/>
      <c r="AU450" s="93"/>
      <c r="AV450" s="93"/>
      <c r="AW450" s="93"/>
      <c r="AX450" s="93"/>
      <c r="AY450" s="93"/>
      <c r="AZ450" s="93"/>
      <c r="BA450" s="93"/>
      <c r="BB450" s="93"/>
      <c r="BC450" s="93"/>
      <c r="BD450" s="93"/>
      <c r="BE450" s="93"/>
      <c r="BF450" s="93"/>
      <c r="BG450" s="93"/>
      <c r="BH450" s="93"/>
    </row>
    <row r="451" spans="1:60" s="92" customFormat="1" ht="139.5">
      <c r="A451" s="98" t="s">
        <v>447</v>
      </c>
      <c r="B451" s="101" t="s">
        <v>447</v>
      </c>
      <c r="C451" s="100" t="s">
        <v>479</v>
      </c>
      <c r="D451" s="100" t="s">
        <v>476</v>
      </c>
      <c r="E451" s="100" t="s">
        <v>475</v>
      </c>
      <c r="F451" s="100" t="s">
        <v>474</v>
      </c>
      <c r="G451" s="103" t="s">
        <v>482</v>
      </c>
      <c r="H451" s="103" t="s">
        <v>26</v>
      </c>
      <c r="I451" s="103"/>
      <c r="J451" s="96" t="s">
        <v>22</v>
      </c>
      <c r="K451" s="96" t="s">
        <v>13</v>
      </c>
      <c r="L451" s="99">
        <f t="shared" si="15"/>
        <v>18590</v>
      </c>
      <c r="M451" s="98">
        <f t="shared" si="16"/>
        <v>11</v>
      </c>
      <c r="N451" s="96"/>
      <c r="O451" s="102"/>
      <c r="P451" s="97" t="s">
        <v>472</v>
      </c>
      <c r="Q451" s="96"/>
      <c r="R451" s="96">
        <v>11</v>
      </c>
      <c r="S451" s="96"/>
      <c r="T451" s="95">
        <v>1690</v>
      </c>
      <c r="U451" s="304"/>
      <c r="V451" s="93"/>
      <c r="W451" s="93"/>
      <c r="X451" s="93"/>
      <c r="Y451" s="93"/>
      <c r="Z451" s="93"/>
      <c r="AA451" s="93"/>
      <c r="AB451" s="93"/>
      <c r="AC451" s="93"/>
      <c r="AD451" s="93"/>
      <c r="AE451" s="93"/>
      <c r="AF451" s="93"/>
      <c r="AG451" s="93"/>
      <c r="AH451" s="93"/>
      <c r="AI451" s="93"/>
      <c r="AJ451" s="93"/>
      <c r="AK451" s="93"/>
      <c r="AL451" s="93"/>
      <c r="AM451" s="93"/>
      <c r="AN451" s="93"/>
      <c r="AO451" s="93"/>
      <c r="AP451" s="93"/>
      <c r="AQ451" s="93"/>
      <c r="AR451" s="93"/>
      <c r="AS451" s="93"/>
      <c r="AT451" s="93"/>
      <c r="AU451" s="93"/>
      <c r="AV451" s="93"/>
      <c r="AW451" s="93"/>
      <c r="AX451" s="93"/>
      <c r="AY451" s="93"/>
      <c r="AZ451" s="93"/>
      <c r="BA451" s="93"/>
      <c r="BB451" s="93"/>
      <c r="BC451" s="93"/>
      <c r="BD451" s="93"/>
      <c r="BE451" s="93"/>
      <c r="BF451" s="93"/>
      <c r="BG451" s="93"/>
      <c r="BH451" s="93"/>
    </row>
    <row r="452" spans="1:60" s="92" customFormat="1" ht="139.5">
      <c r="A452" s="98" t="s">
        <v>447</v>
      </c>
      <c r="B452" s="101" t="s">
        <v>447</v>
      </c>
      <c r="C452" s="100" t="s">
        <v>479</v>
      </c>
      <c r="D452" s="100" t="s">
        <v>476</v>
      </c>
      <c r="E452" s="100" t="s">
        <v>475</v>
      </c>
      <c r="F452" s="100" t="s">
        <v>474</v>
      </c>
      <c r="G452" s="103" t="s">
        <v>481</v>
      </c>
      <c r="H452" s="103" t="s">
        <v>26</v>
      </c>
      <c r="I452" s="103"/>
      <c r="J452" s="96" t="s">
        <v>22</v>
      </c>
      <c r="K452" s="96" t="s">
        <v>13</v>
      </c>
      <c r="L452" s="99">
        <f t="shared" si="15"/>
        <v>36000</v>
      </c>
      <c r="M452" s="98">
        <f t="shared" si="16"/>
        <v>1</v>
      </c>
      <c r="N452" s="96"/>
      <c r="O452" s="102"/>
      <c r="P452" s="97" t="s">
        <v>472</v>
      </c>
      <c r="Q452" s="96"/>
      <c r="R452" s="96">
        <v>1</v>
      </c>
      <c r="S452" s="96"/>
      <c r="T452" s="95">
        <v>36000</v>
      </c>
      <c r="U452" s="304"/>
      <c r="V452" s="93"/>
      <c r="W452" s="93"/>
      <c r="X452" s="93"/>
      <c r="Y452" s="93"/>
      <c r="Z452" s="93"/>
      <c r="AA452" s="93"/>
      <c r="AB452" s="93"/>
      <c r="AC452" s="93"/>
      <c r="AD452" s="93"/>
      <c r="AE452" s="93"/>
      <c r="AF452" s="93"/>
      <c r="AG452" s="93"/>
      <c r="AH452" s="93"/>
      <c r="AI452" s="93"/>
      <c r="AJ452" s="93"/>
      <c r="AK452" s="93"/>
      <c r="AL452" s="93"/>
      <c r="AM452" s="93"/>
      <c r="AN452" s="93"/>
      <c r="AO452" s="93"/>
      <c r="AP452" s="93"/>
      <c r="AQ452" s="93"/>
      <c r="AR452" s="93"/>
      <c r="AS452" s="93"/>
      <c r="AT452" s="93"/>
      <c r="AU452" s="93"/>
      <c r="AV452" s="93"/>
      <c r="AW452" s="93"/>
      <c r="AX452" s="93"/>
      <c r="AY452" s="93"/>
      <c r="AZ452" s="93"/>
      <c r="BA452" s="93"/>
      <c r="BB452" s="93"/>
      <c r="BC452" s="93"/>
      <c r="BD452" s="93"/>
      <c r="BE452" s="93"/>
      <c r="BF452" s="93"/>
      <c r="BG452" s="93"/>
      <c r="BH452" s="93"/>
    </row>
    <row r="453" spans="1:60" s="92" customFormat="1" ht="139.5">
      <c r="A453" s="98"/>
      <c r="B453" s="101" t="s">
        <v>447</v>
      </c>
      <c r="C453" s="100" t="s">
        <v>479</v>
      </c>
      <c r="D453" s="100" t="s">
        <v>476</v>
      </c>
      <c r="E453" s="100" t="s">
        <v>475</v>
      </c>
      <c r="F453" s="100" t="s">
        <v>474</v>
      </c>
      <c r="G453" s="103" t="s">
        <v>480</v>
      </c>
      <c r="H453" s="103" t="s">
        <v>26</v>
      </c>
      <c r="I453" s="103"/>
      <c r="J453" s="96" t="s">
        <v>22</v>
      </c>
      <c r="K453" s="96" t="s">
        <v>13</v>
      </c>
      <c r="L453" s="99">
        <f t="shared" ref="L453:L455" si="17">T453*M453</f>
        <v>35900</v>
      </c>
      <c r="M453" s="98">
        <f t="shared" si="16"/>
        <v>1</v>
      </c>
      <c r="N453" s="96"/>
      <c r="O453" s="102"/>
      <c r="P453" s="97" t="s">
        <v>472</v>
      </c>
      <c r="Q453" s="96"/>
      <c r="R453" s="96">
        <v>1</v>
      </c>
      <c r="S453" s="96"/>
      <c r="T453" s="95">
        <v>35900</v>
      </c>
      <c r="U453" s="304"/>
      <c r="V453" s="93"/>
      <c r="W453" s="93"/>
      <c r="X453" s="93"/>
      <c r="Y453" s="93"/>
      <c r="Z453" s="93"/>
      <c r="AA453" s="93"/>
      <c r="AB453" s="93"/>
      <c r="AC453" s="93"/>
      <c r="AD453" s="93"/>
      <c r="AE453" s="93"/>
      <c r="AF453" s="93"/>
      <c r="AG453" s="93"/>
      <c r="AH453" s="93"/>
      <c r="AI453" s="93"/>
      <c r="AJ453" s="93"/>
      <c r="AK453" s="93"/>
      <c r="AL453" s="93"/>
      <c r="AM453" s="93"/>
      <c r="AN453" s="93"/>
      <c r="AO453" s="93"/>
      <c r="AP453" s="93"/>
      <c r="AQ453" s="93"/>
      <c r="AR453" s="93"/>
      <c r="AS453" s="93"/>
      <c r="AT453" s="93"/>
      <c r="AU453" s="93"/>
      <c r="AV453" s="93"/>
      <c r="AW453" s="93"/>
      <c r="AX453" s="93"/>
      <c r="AY453" s="93"/>
      <c r="AZ453" s="93"/>
      <c r="BA453" s="93"/>
      <c r="BB453" s="93"/>
      <c r="BC453" s="93"/>
      <c r="BD453" s="93"/>
      <c r="BE453" s="93"/>
      <c r="BF453" s="93"/>
      <c r="BG453" s="93"/>
      <c r="BH453" s="93"/>
    </row>
    <row r="454" spans="1:60" s="92" customFormat="1" ht="139.5">
      <c r="A454" s="98"/>
      <c r="B454" s="101" t="s">
        <v>447</v>
      </c>
      <c r="C454" s="100" t="s">
        <v>479</v>
      </c>
      <c r="D454" s="100" t="s">
        <v>476</v>
      </c>
      <c r="E454" s="100" t="s">
        <v>475</v>
      </c>
      <c r="F454" s="100" t="s">
        <v>474</v>
      </c>
      <c r="G454" s="103" t="s">
        <v>478</v>
      </c>
      <c r="H454" s="103" t="s">
        <v>26</v>
      </c>
      <c r="I454" s="103"/>
      <c r="J454" s="96" t="s">
        <v>22</v>
      </c>
      <c r="K454" s="96" t="s">
        <v>13</v>
      </c>
      <c r="L454" s="99">
        <f t="shared" si="17"/>
        <v>2900</v>
      </c>
      <c r="M454" s="98">
        <f t="shared" si="16"/>
        <v>1</v>
      </c>
      <c r="N454" s="96"/>
      <c r="O454" s="102"/>
      <c r="P454" s="97" t="s">
        <v>472</v>
      </c>
      <c r="Q454" s="96"/>
      <c r="R454" s="96">
        <v>1</v>
      </c>
      <c r="S454" s="96"/>
      <c r="T454" s="95">
        <v>2900</v>
      </c>
      <c r="U454" s="305"/>
      <c r="V454" s="93"/>
      <c r="W454" s="93"/>
      <c r="X454" s="93"/>
      <c r="Y454" s="93"/>
      <c r="Z454" s="93"/>
      <c r="AA454" s="93"/>
      <c r="AB454" s="93"/>
      <c r="AC454" s="93"/>
      <c r="AD454" s="93"/>
      <c r="AE454" s="93"/>
      <c r="AF454" s="93"/>
      <c r="AG454" s="93"/>
      <c r="AH454" s="93"/>
      <c r="AI454" s="93"/>
      <c r="AJ454" s="93"/>
      <c r="AK454" s="93"/>
      <c r="AL454" s="93"/>
      <c r="AM454" s="93"/>
      <c r="AN454" s="93"/>
      <c r="AO454" s="93"/>
      <c r="AP454" s="93"/>
      <c r="AQ454" s="93"/>
      <c r="AR454" s="93"/>
      <c r="AS454" s="93"/>
      <c r="AT454" s="93"/>
      <c r="AU454" s="93"/>
      <c r="AV454" s="93"/>
      <c r="AW454" s="93"/>
      <c r="AX454" s="93"/>
      <c r="AY454" s="93"/>
      <c r="AZ454" s="93"/>
      <c r="BA454" s="93"/>
      <c r="BB454" s="93"/>
      <c r="BC454" s="93"/>
      <c r="BD454" s="93"/>
      <c r="BE454" s="93"/>
      <c r="BF454" s="93"/>
      <c r="BG454" s="93"/>
      <c r="BH454" s="93"/>
    </row>
    <row r="455" spans="1:60" s="92" customFormat="1" ht="139.5">
      <c r="A455" s="98"/>
      <c r="B455" s="101" t="s">
        <v>447</v>
      </c>
      <c r="C455" s="100" t="s">
        <v>477</v>
      </c>
      <c r="D455" s="100" t="s">
        <v>476</v>
      </c>
      <c r="E455" s="100" t="s">
        <v>475</v>
      </c>
      <c r="F455" s="100" t="s">
        <v>474</v>
      </c>
      <c r="G455" s="100" t="s">
        <v>473</v>
      </c>
      <c r="H455" s="100" t="s">
        <v>174</v>
      </c>
      <c r="I455" s="100"/>
      <c r="J455" s="96" t="s">
        <v>172</v>
      </c>
      <c r="K455" s="96" t="s">
        <v>149</v>
      </c>
      <c r="L455" s="99">
        <f t="shared" si="17"/>
        <v>48600</v>
      </c>
      <c r="M455" s="98">
        <f t="shared" si="16"/>
        <v>1</v>
      </c>
      <c r="N455" s="96"/>
      <c r="O455" s="97" t="s">
        <v>472</v>
      </c>
      <c r="P455" s="97"/>
      <c r="Q455" s="96">
        <v>1</v>
      </c>
      <c r="R455" s="96"/>
      <c r="S455" s="96" t="s">
        <v>471</v>
      </c>
      <c r="T455" s="95">
        <v>48600</v>
      </c>
      <c r="U455" s="94" t="s">
        <v>470</v>
      </c>
      <c r="V455" s="93"/>
      <c r="W455" s="93"/>
      <c r="X455" s="93"/>
      <c r="Y455" s="93"/>
      <c r="Z455" s="93"/>
      <c r="AA455" s="93"/>
      <c r="AB455" s="93"/>
      <c r="AC455" s="93"/>
      <c r="AD455" s="93"/>
      <c r="AE455" s="93"/>
      <c r="AF455" s="93"/>
      <c r="AG455" s="93"/>
      <c r="AH455" s="93"/>
      <c r="AI455" s="93"/>
      <c r="AJ455" s="93"/>
      <c r="AK455" s="93"/>
      <c r="AL455" s="93"/>
      <c r="AM455" s="93"/>
      <c r="AN455" s="93"/>
      <c r="AO455" s="93"/>
      <c r="AP455" s="93"/>
      <c r="AQ455" s="93"/>
      <c r="AR455" s="93"/>
      <c r="AS455" s="93"/>
      <c r="AT455" s="93"/>
      <c r="AU455" s="93"/>
      <c r="AV455" s="93"/>
      <c r="AW455" s="93"/>
      <c r="AX455" s="93"/>
      <c r="AY455" s="93"/>
      <c r="AZ455" s="93"/>
      <c r="BA455" s="93"/>
      <c r="BB455" s="93"/>
      <c r="BC455" s="93"/>
      <c r="BD455" s="93"/>
      <c r="BE455" s="93"/>
      <c r="BF455" s="93"/>
      <c r="BG455" s="93"/>
      <c r="BH455" s="93"/>
    </row>
    <row r="456" spans="1:60" s="84" customFormat="1" ht="42">
      <c r="A456" s="91"/>
      <c r="B456" s="90"/>
      <c r="C456" s="89"/>
      <c r="D456" s="89"/>
      <c r="E456" s="89"/>
      <c r="F456" s="89"/>
      <c r="G456" s="88"/>
      <c r="H456" s="88"/>
      <c r="I456" s="88"/>
      <c r="J456" s="87"/>
      <c r="K456" s="87" t="s">
        <v>469</v>
      </c>
      <c r="L456" s="86">
        <f t="shared" ref="L456:T456" si="18">SUBTOTAL(9,L2:L455)</f>
        <v>189919255</v>
      </c>
      <c r="M456" s="86">
        <f t="shared" si="18"/>
        <v>5457</v>
      </c>
      <c r="N456" s="86">
        <f t="shared" si="18"/>
        <v>0</v>
      </c>
      <c r="O456" s="86">
        <f t="shared" si="18"/>
        <v>0</v>
      </c>
      <c r="P456" s="86">
        <f t="shared" si="18"/>
        <v>0</v>
      </c>
      <c r="Q456" s="86">
        <f t="shared" si="18"/>
        <v>3353</v>
      </c>
      <c r="R456" s="86">
        <f>SUBTOTAL(9,R2:R455)</f>
        <v>2104</v>
      </c>
      <c r="S456" s="86">
        <f t="shared" si="18"/>
        <v>0</v>
      </c>
      <c r="T456" s="86">
        <f t="shared" si="18"/>
        <v>121869471</v>
      </c>
      <c r="U456" s="85"/>
    </row>
  </sheetData>
  <autoFilter ref="A1:W455" xr:uid="{7B9B1B96-3228-4F25-9AC7-9E434C646490}"/>
  <dataConsolidate/>
  <mergeCells count="8">
    <mergeCell ref="V427:V436"/>
    <mergeCell ref="U433:U454"/>
    <mergeCell ref="V437:V441"/>
    <mergeCell ref="S355:S363"/>
    <mergeCell ref="U355:U363"/>
    <mergeCell ref="S364:S369"/>
    <mergeCell ref="U364:U369"/>
    <mergeCell ref="U405:U410"/>
  </mergeCells>
  <printOptions horizontalCentered="1"/>
  <pageMargins left="0" right="0" top="0.55118110236220474" bottom="0.35433070866141736" header="0.31496062992125984" footer="0.31496062992125984"/>
  <pageSetup paperSize="9" scale="40" orientation="landscape" r:id="rId1"/>
  <headerFooter>
    <oddHeader>&amp;Cหน้าที่ &amp;N</oddHeader>
  </headerFooter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EB67D-2688-4C53-93AE-27B969A923A9}">
  <sheetPr>
    <tabColor theme="4" tint="0.39997558519241921"/>
  </sheetPr>
  <dimension ref="A1:I52"/>
  <sheetViews>
    <sheetView zoomScale="75" zoomScaleNormal="75" workbookViewId="0">
      <selection activeCell="I27" sqref="I27"/>
    </sheetView>
  </sheetViews>
  <sheetFormatPr defaultColWidth="9.140625" defaultRowHeight="21"/>
  <cols>
    <col min="1" max="3" width="19.140625" style="1" customWidth="1"/>
    <col min="4" max="4" width="74.85546875" style="1" customWidth="1"/>
    <col min="5" max="5" width="21.7109375" style="1" customWidth="1"/>
    <col min="6" max="6" width="10.28515625" style="1" customWidth="1"/>
    <col min="7" max="7" width="19.5703125" style="38" customWidth="1"/>
    <col min="8" max="8" width="9.140625" style="1"/>
    <col min="9" max="9" width="12.7109375" style="1" bestFit="1" customWidth="1"/>
    <col min="10" max="16384" width="9.140625" style="1"/>
  </cols>
  <sheetData>
    <row r="1" spans="1:9" ht="26.25">
      <c r="A1" s="288" t="s">
        <v>175</v>
      </c>
      <c r="B1" s="288"/>
      <c r="C1" s="288"/>
      <c r="D1" s="288"/>
      <c r="E1" s="288"/>
      <c r="F1" s="288"/>
      <c r="G1" s="288"/>
    </row>
    <row r="2" spans="1:9">
      <c r="A2" s="2"/>
      <c r="B2" s="2"/>
      <c r="C2" s="2"/>
      <c r="D2" s="2"/>
      <c r="E2" s="2"/>
      <c r="F2" s="2"/>
      <c r="G2" s="3"/>
    </row>
    <row r="3" spans="1:9" ht="47.25" customHeight="1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5" t="s">
        <v>7</v>
      </c>
    </row>
    <row r="4" spans="1:9" ht="36" customHeight="1">
      <c r="A4" s="299" t="s">
        <v>8</v>
      </c>
      <c r="B4" s="299"/>
      <c r="C4" s="299"/>
      <c r="D4" s="299"/>
      <c r="E4" s="299"/>
      <c r="F4" s="6">
        <f>SUM(F5:F8)</f>
        <v>25</v>
      </c>
      <c r="G4" s="6">
        <f>SUM(G5:G8)</f>
        <v>67722300</v>
      </c>
      <c r="I4" s="16"/>
    </row>
    <row r="5" spans="1:9" ht="36" customHeight="1">
      <c r="A5" s="298" t="s">
        <v>9</v>
      </c>
      <c r="B5" s="298"/>
      <c r="C5" s="298"/>
      <c r="D5" s="298"/>
      <c r="E5" s="298"/>
      <c r="F5" s="7">
        <f>F9+F11</f>
        <v>2</v>
      </c>
      <c r="G5" s="7">
        <f>G9+G11</f>
        <v>1079000</v>
      </c>
    </row>
    <row r="6" spans="1:9" ht="36" customHeight="1">
      <c r="A6" s="298" t="s">
        <v>10</v>
      </c>
      <c r="B6" s="298"/>
      <c r="C6" s="298"/>
      <c r="D6" s="298"/>
      <c r="E6" s="298"/>
      <c r="F6" s="7">
        <f>F13+F15+F18+F20+F22+F25</f>
        <v>8</v>
      </c>
      <c r="G6" s="7">
        <f>G13+G15+G18+G20+G22+G25</f>
        <v>18429900</v>
      </c>
    </row>
    <row r="7" spans="1:9" ht="36" customHeight="1">
      <c r="A7" s="298" t="s">
        <v>11</v>
      </c>
      <c r="B7" s="298"/>
      <c r="C7" s="298"/>
      <c r="D7" s="298"/>
      <c r="E7" s="298"/>
      <c r="F7" s="7">
        <f>F27+F30+F32+F34+F37+F41+F43+F45+F47</f>
        <v>13</v>
      </c>
      <c r="G7" s="7">
        <f>G27+G30+G32+G34+G37+G41+G43+G45+G47</f>
        <v>43640400</v>
      </c>
    </row>
    <row r="8" spans="1:9" ht="36" customHeight="1">
      <c r="A8" s="298" t="s">
        <v>12</v>
      </c>
      <c r="B8" s="298"/>
      <c r="C8" s="298"/>
      <c r="D8" s="298"/>
      <c r="E8" s="298"/>
      <c r="F8" s="7">
        <f>F49+F51</f>
        <v>2</v>
      </c>
      <c r="G8" s="7">
        <f>G49+G51</f>
        <v>4573000</v>
      </c>
    </row>
    <row r="9" spans="1:9">
      <c r="A9" s="8" t="s">
        <v>13</v>
      </c>
      <c r="B9" s="300" t="s">
        <v>176</v>
      </c>
      <c r="C9" s="301"/>
      <c r="D9" s="296" t="s">
        <v>15</v>
      </c>
      <c r="E9" s="296"/>
      <c r="F9" s="8">
        <f>SUM(F10:F10)</f>
        <v>1</v>
      </c>
      <c r="G9" s="9">
        <f>SUM(G10:G10)</f>
        <v>150000</v>
      </c>
    </row>
    <row r="10" spans="1:9" ht="42">
      <c r="A10" s="10" t="s">
        <v>13</v>
      </c>
      <c r="B10" s="10" t="s">
        <v>176</v>
      </c>
      <c r="C10" s="10" t="s">
        <v>177</v>
      </c>
      <c r="D10" s="11" t="s">
        <v>178</v>
      </c>
      <c r="E10" s="12" t="s">
        <v>179</v>
      </c>
      <c r="F10" s="11">
        <v>1</v>
      </c>
      <c r="G10" s="13">
        <v>150000</v>
      </c>
    </row>
    <row r="11" spans="1:9">
      <c r="A11" s="8" t="s">
        <v>13</v>
      </c>
      <c r="B11" s="300" t="s">
        <v>30</v>
      </c>
      <c r="C11" s="301"/>
      <c r="D11" s="296" t="s">
        <v>15</v>
      </c>
      <c r="E11" s="296"/>
      <c r="F11" s="8">
        <f>SUM(F12:F12)</f>
        <v>1</v>
      </c>
      <c r="G11" s="9">
        <f>SUM(G12:G12)</f>
        <v>929000</v>
      </c>
    </row>
    <row r="12" spans="1:9" ht="45.75" customHeight="1">
      <c r="A12" s="10" t="s">
        <v>13</v>
      </c>
      <c r="B12" s="10" t="s">
        <v>30</v>
      </c>
      <c r="C12" s="10" t="s">
        <v>177</v>
      </c>
      <c r="D12" s="11" t="s">
        <v>180</v>
      </c>
      <c r="E12" s="12" t="s">
        <v>33</v>
      </c>
      <c r="F12" s="11">
        <v>1</v>
      </c>
      <c r="G12" s="13">
        <v>929000</v>
      </c>
    </row>
    <row r="13" spans="1:9">
      <c r="A13" s="17" t="s">
        <v>40</v>
      </c>
      <c r="B13" s="8" t="s">
        <v>41</v>
      </c>
      <c r="C13" s="8"/>
      <c r="D13" s="295" t="s">
        <v>15</v>
      </c>
      <c r="E13" s="295"/>
      <c r="F13" s="14">
        <f>SUM(F14)</f>
        <v>1</v>
      </c>
      <c r="G13" s="15">
        <f>SUM(G14)</f>
        <v>276800</v>
      </c>
    </row>
    <row r="14" spans="1:9" ht="42">
      <c r="A14" s="18" t="s">
        <v>40</v>
      </c>
      <c r="B14" s="19" t="s">
        <v>41</v>
      </c>
      <c r="C14" s="19" t="s">
        <v>177</v>
      </c>
      <c r="D14" s="20" t="s">
        <v>181</v>
      </c>
      <c r="E14" s="21" t="s">
        <v>43</v>
      </c>
      <c r="F14" s="20">
        <v>1</v>
      </c>
      <c r="G14" s="22">
        <v>276800</v>
      </c>
    </row>
    <row r="15" spans="1:9">
      <c r="A15" s="17" t="s">
        <v>40</v>
      </c>
      <c r="B15" s="8" t="s">
        <v>182</v>
      </c>
      <c r="C15" s="8"/>
      <c r="D15" s="295" t="s">
        <v>15</v>
      </c>
      <c r="E15" s="295"/>
      <c r="F15" s="14">
        <f>SUM(F16:F17)</f>
        <v>2</v>
      </c>
      <c r="G15" s="15">
        <f>SUM(G16:G17)</f>
        <v>4535000</v>
      </c>
    </row>
    <row r="16" spans="1:9" ht="68.25" customHeight="1">
      <c r="A16" s="18" t="s">
        <v>40</v>
      </c>
      <c r="B16" s="19" t="s">
        <v>182</v>
      </c>
      <c r="C16" s="19" t="s">
        <v>183</v>
      </c>
      <c r="D16" s="20" t="s">
        <v>184</v>
      </c>
      <c r="E16" s="21" t="s">
        <v>185</v>
      </c>
      <c r="F16" s="20">
        <v>1</v>
      </c>
      <c r="G16" s="22">
        <v>2295000</v>
      </c>
    </row>
    <row r="17" spans="1:7" ht="69" customHeight="1">
      <c r="A17" s="18" t="s">
        <v>40</v>
      </c>
      <c r="B17" s="19" t="s">
        <v>182</v>
      </c>
      <c r="C17" s="19" t="s">
        <v>183</v>
      </c>
      <c r="D17" s="20" t="s">
        <v>186</v>
      </c>
      <c r="E17" s="21" t="s">
        <v>185</v>
      </c>
      <c r="F17" s="20">
        <v>1</v>
      </c>
      <c r="G17" s="22">
        <v>2240000</v>
      </c>
    </row>
    <row r="18" spans="1:7">
      <c r="A18" s="17" t="s">
        <v>40</v>
      </c>
      <c r="B18" s="8" t="s">
        <v>51</v>
      </c>
      <c r="C18" s="8"/>
      <c r="D18" s="295" t="s">
        <v>15</v>
      </c>
      <c r="E18" s="295"/>
      <c r="F18" s="14">
        <f>SUM(F19)</f>
        <v>1</v>
      </c>
      <c r="G18" s="15">
        <f>SUM(G19)</f>
        <v>12239600</v>
      </c>
    </row>
    <row r="19" spans="1:7" ht="63">
      <c r="A19" s="18" t="s">
        <v>40</v>
      </c>
      <c r="B19" s="19" t="s">
        <v>51</v>
      </c>
      <c r="C19" s="19" t="s">
        <v>183</v>
      </c>
      <c r="D19" s="20" t="s">
        <v>187</v>
      </c>
      <c r="E19" s="21" t="s">
        <v>53</v>
      </c>
      <c r="F19" s="20">
        <v>1</v>
      </c>
      <c r="G19" s="22">
        <v>12239600</v>
      </c>
    </row>
    <row r="20" spans="1:7">
      <c r="A20" s="17" t="s">
        <v>40</v>
      </c>
      <c r="B20" s="8" t="s">
        <v>188</v>
      </c>
      <c r="C20" s="8"/>
      <c r="D20" s="295" t="s">
        <v>15</v>
      </c>
      <c r="E20" s="295"/>
      <c r="F20" s="14">
        <f>SUM(F21)</f>
        <v>1</v>
      </c>
      <c r="G20" s="15">
        <f>SUM(G21)</f>
        <v>636000</v>
      </c>
    </row>
    <row r="21" spans="1:7" ht="42">
      <c r="A21" s="18" t="s">
        <v>40</v>
      </c>
      <c r="B21" s="19" t="s">
        <v>188</v>
      </c>
      <c r="C21" s="19" t="s">
        <v>183</v>
      </c>
      <c r="D21" s="20" t="s">
        <v>189</v>
      </c>
      <c r="E21" s="21" t="s">
        <v>190</v>
      </c>
      <c r="F21" s="20">
        <v>1</v>
      </c>
      <c r="G21" s="22">
        <v>636000</v>
      </c>
    </row>
    <row r="22" spans="1:7">
      <c r="A22" s="17" t="s">
        <v>40</v>
      </c>
      <c r="B22" s="8" t="s">
        <v>54</v>
      </c>
      <c r="C22" s="8"/>
      <c r="D22" s="295" t="s">
        <v>15</v>
      </c>
      <c r="E22" s="295"/>
      <c r="F22" s="14">
        <f>SUM(F23:F24)</f>
        <v>2</v>
      </c>
      <c r="G22" s="15">
        <f>SUM(G23:G24)</f>
        <v>600000</v>
      </c>
    </row>
    <row r="23" spans="1:7" ht="42">
      <c r="A23" s="18" t="s">
        <v>40</v>
      </c>
      <c r="B23" s="19" t="s">
        <v>54</v>
      </c>
      <c r="C23" s="19" t="s">
        <v>177</v>
      </c>
      <c r="D23" s="20" t="s">
        <v>191</v>
      </c>
      <c r="E23" s="21" t="s">
        <v>56</v>
      </c>
      <c r="F23" s="20">
        <v>1</v>
      </c>
      <c r="G23" s="22">
        <v>300000</v>
      </c>
    </row>
    <row r="24" spans="1:7" ht="42">
      <c r="A24" s="18" t="s">
        <v>40</v>
      </c>
      <c r="B24" s="19" t="s">
        <v>54</v>
      </c>
      <c r="C24" s="19" t="s">
        <v>177</v>
      </c>
      <c r="D24" s="20" t="s">
        <v>192</v>
      </c>
      <c r="E24" s="21" t="s">
        <v>56</v>
      </c>
      <c r="F24" s="20">
        <v>1</v>
      </c>
      <c r="G24" s="22">
        <v>300000</v>
      </c>
    </row>
    <row r="25" spans="1:7">
      <c r="A25" s="17" t="s">
        <v>40</v>
      </c>
      <c r="B25" s="8" t="s">
        <v>193</v>
      </c>
      <c r="C25" s="8"/>
      <c r="D25" s="295" t="s">
        <v>15</v>
      </c>
      <c r="E25" s="295"/>
      <c r="F25" s="14">
        <f>SUM(F26)</f>
        <v>1</v>
      </c>
      <c r="G25" s="15">
        <f>SUM(G26)</f>
        <v>142500</v>
      </c>
    </row>
    <row r="26" spans="1:7" ht="42">
      <c r="A26" s="18" t="s">
        <v>40</v>
      </c>
      <c r="B26" s="19" t="s">
        <v>193</v>
      </c>
      <c r="C26" s="19" t="s">
        <v>177</v>
      </c>
      <c r="D26" s="20" t="s">
        <v>194</v>
      </c>
      <c r="E26" s="21" t="s">
        <v>195</v>
      </c>
      <c r="F26" s="20">
        <v>1</v>
      </c>
      <c r="G26" s="22">
        <v>142500</v>
      </c>
    </row>
    <row r="27" spans="1:7">
      <c r="A27" s="25" t="s">
        <v>63</v>
      </c>
      <c r="B27" s="25" t="s">
        <v>64</v>
      </c>
      <c r="C27" s="25"/>
      <c r="D27" s="297" t="s">
        <v>15</v>
      </c>
      <c r="E27" s="297"/>
      <c r="F27" s="25">
        <f>SUM(F28:F29)</f>
        <v>2</v>
      </c>
      <c r="G27" s="26">
        <f>SUM(G28:G29)</f>
        <v>2673200</v>
      </c>
    </row>
    <row r="28" spans="1:7" ht="21" customHeight="1">
      <c r="A28" s="27" t="s">
        <v>63</v>
      </c>
      <c r="B28" s="27" t="s">
        <v>64</v>
      </c>
      <c r="C28" s="27" t="s">
        <v>177</v>
      </c>
      <c r="D28" s="28" t="s">
        <v>196</v>
      </c>
      <c r="E28" s="39" t="s">
        <v>68</v>
      </c>
      <c r="F28" s="27">
        <v>1</v>
      </c>
      <c r="G28" s="29">
        <v>2291100</v>
      </c>
    </row>
    <row r="29" spans="1:7" ht="63">
      <c r="A29" s="27" t="s">
        <v>63</v>
      </c>
      <c r="B29" s="27" t="s">
        <v>64</v>
      </c>
      <c r="C29" s="27" t="s">
        <v>177</v>
      </c>
      <c r="D29" s="28" t="s">
        <v>197</v>
      </c>
      <c r="E29" s="39" t="s">
        <v>198</v>
      </c>
      <c r="F29" s="27">
        <v>1</v>
      </c>
      <c r="G29" s="29">
        <v>382100</v>
      </c>
    </row>
    <row r="30" spans="1:7">
      <c r="A30" s="25" t="s">
        <v>63</v>
      </c>
      <c r="B30" s="25" t="s">
        <v>199</v>
      </c>
      <c r="C30" s="25"/>
      <c r="D30" s="297" t="s">
        <v>15</v>
      </c>
      <c r="E30" s="297"/>
      <c r="F30" s="25">
        <f>SUM(F31)</f>
        <v>1</v>
      </c>
      <c r="G30" s="26">
        <f>SUM(G31)</f>
        <v>5439600</v>
      </c>
    </row>
    <row r="31" spans="1:7" ht="42">
      <c r="A31" s="27" t="s">
        <v>63</v>
      </c>
      <c r="B31" s="27" t="s">
        <v>199</v>
      </c>
      <c r="C31" s="27" t="s">
        <v>183</v>
      </c>
      <c r="D31" s="28" t="s">
        <v>200</v>
      </c>
      <c r="E31" s="39" t="s">
        <v>201</v>
      </c>
      <c r="F31" s="27">
        <v>1</v>
      </c>
      <c r="G31" s="29">
        <v>5439600</v>
      </c>
    </row>
    <row r="32" spans="1:7">
      <c r="A32" s="25" t="s">
        <v>63</v>
      </c>
      <c r="B32" s="25" t="s">
        <v>202</v>
      </c>
      <c r="C32" s="25"/>
      <c r="D32" s="297" t="s">
        <v>15</v>
      </c>
      <c r="E32" s="297"/>
      <c r="F32" s="25">
        <f>SUM(F33)</f>
        <v>1</v>
      </c>
      <c r="G32" s="26">
        <f>SUM(G33)</f>
        <v>5158000</v>
      </c>
    </row>
    <row r="33" spans="1:9" ht="42">
      <c r="A33" s="27" t="s">
        <v>63</v>
      </c>
      <c r="B33" s="27" t="s">
        <v>202</v>
      </c>
      <c r="C33" s="27" t="s">
        <v>177</v>
      </c>
      <c r="D33" s="28" t="s">
        <v>203</v>
      </c>
      <c r="E33" s="39" t="s">
        <v>204</v>
      </c>
      <c r="F33" s="27">
        <v>1</v>
      </c>
      <c r="G33" s="29">
        <v>5158000</v>
      </c>
    </row>
    <row r="34" spans="1:9">
      <c r="A34" s="25" t="s">
        <v>63</v>
      </c>
      <c r="B34" s="25" t="s">
        <v>205</v>
      </c>
      <c r="C34" s="25"/>
      <c r="D34" s="297" t="s">
        <v>15</v>
      </c>
      <c r="E34" s="297"/>
      <c r="F34" s="25">
        <f>SUM(F35:F36)</f>
        <v>2</v>
      </c>
      <c r="G34" s="26">
        <f>SUM(G35:G36)</f>
        <v>6880000</v>
      </c>
    </row>
    <row r="35" spans="1:9" ht="42">
      <c r="A35" s="27" t="s">
        <v>63</v>
      </c>
      <c r="B35" s="27" t="s">
        <v>205</v>
      </c>
      <c r="C35" s="27" t="s">
        <v>177</v>
      </c>
      <c r="D35" s="28" t="s">
        <v>206</v>
      </c>
      <c r="E35" s="39" t="s">
        <v>207</v>
      </c>
      <c r="F35" s="27">
        <v>1</v>
      </c>
      <c r="G35" s="29">
        <v>880000</v>
      </c>
    </row>
    <row r="36" spans="1:9" ht="42">
      <c r="A36" s="27" t="s">
        <v>63</v>
      </c>
      <c r="B36" s="27" t="s">
        <v>205</v>
      </c>
      <c r="C36" s="27" t="s">
        <v>177</v>
      </c>
      <c r="D36" s="28" t="s">
        <v>208</v>
      </c>
      <c r="E36" s="39" t="s">
        <v>207</v>
      </c>
      <c r="F36" s="27">
        <v>1</v>
      </c>
      <c r="G36" s="29">
        <v>6000000</v>
      </c>
    </row>
    <row r="37" spans="1:9">
      <c r="A37" s="25" t="s">
        <v>63</v>
      </c>
      <c r="B37" s="25" t="s">
        <v>110</v>
      </c>
      <c r="C37" s="25"/>
      <c r="D37" s="297" t="s">
        <v>15</v>
      </c>
      <c r="E37" s="297"/>
      <c r="F37" s="25">
        <f>SUM(F38:F40)</f>
        <v>3</v>
      </c>
      <c r="G37" s="26">
        <f>SUM(G38:G40)</f>
        <v>17212500</v>
      </c>
    </row>
    <row r="38" spans="1:9" ht="45" customHeight="1">
      <c r="A38" s="27" t="s">
        <v>63</v>
      </c>
      <c r="B38" s="27" t="s">
        <v>110</v>
      </c>
      <c r="C38" s="27" t="s">
        <v>177</v>
      </c>
      <c r="D38" s="28" t="s">
        <v>209</v>
      </c>
      <c r="E38" s="39" t="s">
        <v>117</v>
      </c>
      <c r="F38" s="27">
        <v>1</v>
      </c>
      <c r="G38" s="29">
        <v>15913600</v>
      </c>
      <c r="H38" s="16"/>
      <c r="I38" s="16"/>
    </row>
    <row r="39" spans="1:9" ht="46.5" customHeight="1">
      <c r="A39" s="27" t="s">
        <v>63</v>
      </c>
      <c r="B39" s="27" t="s">
        <v>110</v>
      </c>
      <c r="C39" s="27" t="s">
        <v>177</v>
      </c>
      <c r="D39" s="28" t="s">
        <v>210</v>
      </c>
      <c r="E39" s="39" t="s">
        <v>117</v>
      </c>
      <c r="F39" s="27">
        <v>1</v>
      </c>
      <c r="G39" s="29">
        <v>498900</v>
      </c>
    </row>
    <row r="40" spans="1:9" ht="46.5" customHeight="1">
      <c r="A40" s="27" t="s">
        <v>63</v>
      </c>
      <c r="B40" s="27" t="s">
        <v>110</v>
      </c>
      <c r="C40" s="27" t="s">
        <v>177</v>
      </c>
      <c r="D40" s="28" t="s">
        <v>211</v>
      </c>
      <c r="E40" s="39" t="s">
        <v>112</v>
      </c>
      <c r="F40" s="27">
        <v>1</v>
      </c>
      <c r="G40" s="29">
        <v>800000</v>
      </c>
    </row>
    <row r="41" spans="1:9">
      <c r="A41" s="25" t="s">
        <v>63</v>
      </c>
      <c r="B41" s="25" t="s">
        <v>130</v>
      </c>
      <c r="C41" s="25"/>
      <c r="D41" s="297" t="s">
        <v>15</v>
      </c>
      <c r="E41" s="297"/>
      <c r="F41" s="25">
        <f>SUM(F42)</f>
        <v>1</v>
      </c>
      <c r="G41" s="26">
        <f>SUM(G42)</f>
        <v>1750000</v>
      </c>
    </row>
    <row r="42" spans="1:9" ht="51" customHeight="1">
      <c r="A42" s="27" t="s">
        <v>63</v>
      </c>
      <c r="B42" s="27" t="s">
        <v>130</v>
      </c>
      <c r="C42" s="27" t="s">
        <v>177</v>
      </c>
      <c r="D42" s="28" t="s">
        <v>212</v>
      </c>
      <c r="E42" s="39" t="s">
        <v>213</v>
      </c>
      <c r="F42" s="27">
        <v>1</v>
      </c>
      <c r="G42" s="29">
        <v>1750000</v>
      </c>
    </row>
    <row r="43" spans="1:9">
      <c r="A43" s="25" t="s">
        <v>63</v>
      </c>
      <c r="B43" s="25" t="s">
        <v>214</v>
      </c>
      <c r="C43" s="25"/>
      <c r="D43" s="297" t="s">
        <v>15</v>
      </c>
      <c r="E43" s="297"/>
      <c r="F43" s="25">
        <f>SUM(F44)</f>
        <v>1</v>
      </c>
      <c r="G43" s="26">
        <f>SUM(G44)</f>
        <v>334000</v>
      </c>
    </row>
    <row r="44" spans="1:9" ht="42">
      <c r="A44" s="27" t="s">
        <v>63</v>
      </c>
      <c r="B44" s="27" t="s">
        <v>214</v>
      </c>
      <c r="C44" s="27" t="s">
        <v>177</v>
      </c>
      <c r="D44" s="28" t="s">
        <v>215</v>
      </c>
      <c r="E44" s="39" t="s">
        <v>216</v>
      </c>
      <c r="F44" s="27">
        <v>1</v>
      </c>
      <c r="G44" s="29">
        <v>334000</v>
      </c>
    </row>
    <row r="45" spans="1:9">
      <c r="A45" s="25" t="s">
        <v>63</v>
      </c>
      <c r="B45" s="25" t="s">
        <v>217</v>
      </c>
      <c r="C45" s="25"/>
      <c r="D45" s="297" t="s">
        <v>15</v>
      </c>
      <c r="E45" s="297"/>
      <c r="F45" s="25">
        <f>SUM(F46)</f>
        <v>1</v>
      </c>
      <c r="G45" s="26">
        <f>SUM(G46)</f>
        <v>3813100</v>
      </c>
    </row>
    <row r="46" spans="1:9" ht="63">
      <c r="A46" s="27" t="s">
        <v>63</v>
      </c>
      <c r="B46" s="27" t="s">
        <v>217</v>
      </c>
      <c r="C46" s="27" t="s">
        <v>177</v>
      </c>
      <c r="D46" s="28" t="s">
        <v>218</v>
      </c>
      <c r="E46" s="39" t="s">
        <v>219</v>
      </c>
      <c r="F46" s="27">
        <v>1</v>
      </c>
      <c r="G46" s="29">
        <v>3813100</v>
      </c>
    </row>
    <row r="47" spans="1:9">
      <c r="A47" s="25" t="s">
        <v>63</v>
      </c>
      <c r="B47" s="25" t="s">
        <v>143</v>
      </c>
      <c r="C47" s="25"/>
      <c r="D47" s="297" t="s">
        <v>15</v>
      </c>
      <c r="E47" s="297"/>
      <c r="F47" s="25">
        <f>SUM(F48)</f>
        <v>1</v>
      </c>
      <c r="G47" s="26">
        <f>SUM(G48)</f>
        <v>380000</v>
      </c>
    </row>
    <row r="48" spans="1:9" ht="42">
      <c r="A48" s="27" t="s">
        <v>63</v>
      </c>
      <c r="B48" s="27" t="s">
        <v>143</v>
      </c>
      <c r="C48" s="27" t="s">
        <v>183</v>
      </c>
      <c r="D48" s="28" t="s">
        <v>220</v>
      </c>
      <c r="E48" s="39" t="s">
        <v>145</v>
      </c>
      <c r="F48" s="27">
        <v>1</v>
      </c>
      <c r="G48" s="29">
        <v>380000</v>
      </c>
    </row>
    <row r="49" spans="1:7">
      <c r="A49" s="8" t="s">
        <v>149</v>
      </c>
      <c r="B49" s="8" t="s">
        <v>221</v>
      </c>
      <c r="C49" s="8"/>
      <c r="D49" s="296" t="s">
        <v>15</v>
      </c>
      <c r="E49" s="296"/>
      <c r="F49" s="8">
        <f>SUM(F50:F50)</f>
        <v>1</v>
      </c>
      <c r="G49" s="9">
        <f>SUM(G50:G50)</f>
        <v>4330000</v>
      </c>
    </row>
    <row r="50" spans="1:7" ht="47.25" customHeight="1">
      <c r="A50" s="35" t="s">
        <v>149</v>
      </c>
      <c r="B50" s="35" t="s">
        <v>221</v>
      </c>
      <c r="C50" s="35" t="s">
        <v>177</v>
      </c>
      <c r="D50" s="36" t="s">
        <v>222</v>
      </c>
      <c r="E50" s="40" t="s">
        <v>223</v>
      </c>
      <c r="F50" s="35">
        <v>1</v>
      </c>
      <c r="G50" s="37">
        <v>4330000</v>
      </c>
    </row>
    <row r="51" spans="1:7">
      <c r="A51" s="8" t="s">
        <v>149</v>
      </c>
      <c r="B51" s="8" t="s">
        <v>160</v>
      </c>
      <c r="C51" s="8"/>
      <c r="D51" s="296" t="s">
        <v>15</v>
      </c>
      <c r="E51" s="296"/>
      <c r="F51" s="8">
        <f>SUM(F52:F52)</f>
        <v>1</v>
      </c>
      <c r="G51" s="9">
        <f>SUM(G52:G52)</f>
        <v>243000</v>
      </c>
    </row>
    <row r="52" spans="1:7" ht="63">
      <c r="A52" s="35" t="s">
        <v>149</v>
      </c>
      <c r="B52" s="35" t="s">
        <v>160</v>
      </c>
      <c r="C52" s="35" t="s">
        <v>177</v>
      </c>
      <c r="D52" s="36" t="s">
        <v>224</v>
      </c>
      <c r="E52" s="40" t="s">
        <v>162</v>
      </c>
      <c r="F52" s="35">
        <v>1</v>
      </c>
      <c r="G52" s="37">
        <v>243000</v>
      </c>
    </row>
  </sheetData>
  <mergeCells count="27">
    <mergeCell ref="A8:E8"/>
    <mergeCell ref="A1:G1"/>
    <mergeCell ref="A4:E4"/>
    <mergeCell ref="A5:E5"/>
    <mergeCell ref="A6:E6"/>
    <mergeCell ref="A7:E7"/>
    <mergeCell ref="D30:E30"/>
    <mergeCell ref="B9:C9"/>
    <mergeCell ref="D9:E9"/>
    <mergeCell ref="B11:C11"/>
    <mergeCell ref="D11:E11"/>
    <mergeCell ref="D13:E13"/>
    <mergeCell ref="D15:E15"/>
    <mergeCell ref="D18:E18"/>
    <mergeCell ref="D20:E20"/>
    <mergeCell ref="D22:E22"/>
    <mergeCell ref="D25:E25"/>
    <mergeCell ref="D27:E27"/>
    <mergeCell ref="D47:E47"/>
    <mergeCell ref="D49:E49"/>
    <mergeCell ref="D51:E51"/>
    <mergeCell ref="D32:E32"/>
    <mergeCell ref="D34:E34"/>
    <mergeCell ref="D37:E37"/>
    <mergeCell ref="D41:E41"/>
    <mergeCell ref="D43:E43"/>
    <mergeCell ref="D45:E4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10</vt:i4>
      </vt:variant>
    </vt:vector>
  </HeadingPairs>
  <TitlesOfParts>
    <vt:vector size="26" baseType="lpstr">
      <vt:lpstr>สรุปยานพาหนะ 67-70 (2)</vt:lpstr>
      <vt:lpstr>BudgetData</vt:lpstr>
      <vt:lpstr>รวมครุภัณฑ์ 70 (data)</vt:lpstr>
      <vt:lpstr>BudgetData (สูตร)</vt:lpstr>
      <vt:lpstr>สรุปยานพาหนะ 67-70</vt:lpstr>
      <vt:lpstr>สรุป</vt:lpstr>
      <vt:lpstr>ครุภัณฑ์ 67 (data)</vt:lpstr>
      <vt:lpstr>ครุภัณฑ์ 68 (data)</vt:lpstr>
      <vt:lpstr>ครุภัณฑ์ 69 (data)</vt:lpstr>
      <vt:lpstr>ครุภัณฑ์ 67</vt:lpstr>
      <vt:lpstr>สิ่งก่อสร้าง 67</vt:lpstr>
      <vt:lpstr>ครุภัณฑ์ 68</vt:lpstr>
      <vt:lpstr>สิ่งก่อสร้าง 68</vt:lpstr>
      <vt:lpstr>ครุภัณฑ์ 69</vt:lpstr>
      <vt:lpstr>รวมครุภัณฑ์ 70</vt:lpstr>
      <vt:lpstr>สิ่งก่อสร้าง 69</vt:lpstr>
      <vt:lpstr>'ครุภัณฑ์ 67'!Print_Area</vt:lpstr>
      <vt:lpstr>'ครุภัณฑ์ 67 (data)'!Print_Area</vt:lpstr>
      <vt:lpstr>'ครุภัณฑ์ 68'!Print_Area</vt:lpstr>
      <vt:lpstr>'ครุภัณฑ์ 68 (data)'!Print_Area</vt:lpstr>
      <vt:lpstr>'ครุภัณฑ์ 69'!Print_Area</vt:lpstr>
      <vt:lpstr>'ครุภัณฑ์ 69 (data)'!Print_Area</vt:lpstr>
      <vt:lpstr>'รวมครุภัณฑ์ 70'!Print_Area</vt:lpstr>
      <vt:lpstr>'รวมครุภัณฑ์ 70 (data)'!Print_Area</vt:lpstr>
      <vt:lpstr>'รวมครุภัณฑ์ 70'!Print_Titles</vt:lpstr>
      <vt:lpstr>'รวมครุภัณฑ์ 70 (data)'!Print_Titles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wrp</dc:creator>
  <cp:lastModifiedBy>Worapon Namthong</cp:lastModifiedBy>
  <cp:lastPrinted>2026-07-26T05:34:31Z</cp:lastPrinted>
  <dcterms:created xsi:type="dcterms:W3CDTF">2025-09-25T03:19:35Z</dcterms:created>
  <dcterms:modified xsi:type="dcterms:W3CDTF">2026-08-03T15:18:36Z</dcterms:modified>
</cp:coreProperties>
</file>